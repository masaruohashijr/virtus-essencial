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/>
  <bookViews>
    <workbookView xWindow="-15" yWindow="3930" windowWidth="19290" windowHeight="6780" tabRatio="770" activeTab="1"/>
  </bookViews>
  <sheets>
    <sheet name="Digitar aqui Notas e Pesos" sheetId="1" r:id="rId1"/>
    <sheet name="Notas_ARCs" sheetId="47" r:id="rId2"/>
    <sheet name="Add_On" sheetId="49" r:id="rId3"/>
    <sheet name="Matriz de Pesos e Notas" sheetId="4" r:id="rId4"/>
    <sheet name="Quanti_Apres" sheetId="9" r:id="rId5"/>
    <sheet name="Quanti_CONCLU" sheetId="10" r:id="rId6"/>
    <sheet name="Graf_Quanti" sheetId="37" r:id="rId7"/>
    <sheet name="SRC_AnteriorxAtual" sheetId="11" r:id="rId8"/>
    <sheet name="Notas_ARCs_ES" sheetId="48" r:id="rId9"/>
    <sheet name="Graf_Quali" sheetId="44" r:id="rId10"/>
    <sheet name="Trabalhos decorrentes" sheetId="45" r:id="rId11"/>
    <sheet name="Dias_úteisXHomens" sheetId="15" state="hidden" r:id="rId12"/>
    <sheet name="Balancete" sheetId="16" r:id="rId13"/>
    <sheet name="Balancete_Ajustes" sheetId="41" r:id="rId14"/>
    <sheet name="Participação-apenas fórmulas" sheetId="2" r:id="rId15"/>
    <sheet name="Informações" sheetId="34" r:id="rId16"/>
  </sheets>
  <functionGroups builtInGroupCount="17"/>
  <externalReferences>
    <externalReference r:id="rId17"/>
    <externalReference r:id="rId18"/>
    <externalReference r:id="rId19"/>
  </externalReferences>
  <definedNames>
    <definedName name="_xlnm._FilterDatabase" localSheetId="0" hidden="1">'Digitar aqui Notas e Pesos'!$A$3:$AC$138</definedName>
    <definedName name="_xlnm._FilterDatabase" localSheetId="3" hidden="1">'Matriz de Pesos e Notas'!$A$3:$AI$149</definedName>
    <definedName name="_xlnm._FilterDatabase" localSheetId="1" hidden="1">Notas_ARCs!$A$3:$T$138</definedName>
    <definedName name="_xlnm._FilterDatabase" localSheetId="8" hidden="1">Notas_ARCs_ES!$A$3:$T$10</definedName>
    <definedName name="_xlnm._FilterDatabase" localSheetId="14" hidden="1">'Participação-apenas fórmulas'!$A$3:$AH$146</definedName>
    <definedName name="_xlnm.Print_Area" localSheetId="0">'Digitar aqui Notas e Pesos'!$D$1:$AC$138</definedName>
    <definedName name="_xlnm.Print_Area" localSheetId="3">'Matriz de Pesos e Notas'!$G$1:$AH$148</definedName>
    <definedName name="_xlnm.Print_Area" localSheetId="1">Notas_ARCs!$A$3:$S$138</definedName>
    <definedName name="_xlnm.Print_Area" localSheetId="8">Notas_ARCs_ES!$A$3:$S$10</definedName>
    <definedName name="_xlnm.Print_Area" localSheetId="14">'Participação-apenas fórmulas'!$A$1:$AG$146</definedName>
    <definedName name="area2" localSheetId="2">'[1]Matriz de Pesos e Notas'!#REF!</definedName>
    <definedName name="area2" localSheetId="1">'[2]Matriz de Pesos e Notas'!#REF!</definedName>
    <definedName name="area2" localSheetId="8">'[2]Matriz de Pesos e Notas'!#REF!</definedName>
    <definedName name="area2">'[3]Matriz de Pesos e Notas'!#REF!</definedName>
    <definedName name="area2_INFOR" localSheetId="8">'[3]Matriz de Pesos e Notas'!#REF!</definedName>
    <definedName name="area2_INFOR">'[3]Matriz de Pesos e Notas'!#REF!</definedName>
    <definedName name="AreaAuxiliar" localSheetId="2">'[1]Matriz de Pesos e Notas'!#REF!</definedName>
    <definedName name="AreaAuxiliar" localSheetId="0">'Digitar aqui Notas e Pesos'!#REF!</definedName>
    <definedName name="AreaAuxiliar" localSheetId="10">'[3]Matriz de Pesos e Notas'!#REF!</definedName>
    <definedName name="AreaAuxiliar">'Matriz de Pesos e Notas'!$AJ$5:$CN$149</definedName>
    <definedName name="AreaOculta" localSheetId="0">'Digitar aqui Notas e Pesos'!#REF!</definedName>
    <definedName name="AreaOculta" localSheetId="14">'Matriz de Pesos e Notas'!$D$1:$F$1</definedName>
    <definedName name="AreaOculta">'Matriz de Pesos e Notas'!$D$1:$F$1</definedName>
    <definedName name="AreaOcultaApres">#REF!</definedName>
    <definedName name="AreaOcultaP" localSheetId="2">'[1]Participação-apenas fórmulas'!#REF!</definedName>
    <definedName name="AreaOcultaP" localSheetId="10">'[3]Participação-apenas fórmulas'!#REF!</definedName>
    <definedName name="AreaOcultaP">'Participação-apenas fórmulas'!$D$1:$F$1</definedName>
    <definedName name="AreaPlanilha" localSheetId="0">'Digitar aqui Notas e Pesos'!$A$1:$AC$138</definedName>
    <definedName name="AreaPlanilha" localSheetId="14">'Participação-apenas fórmulas'!$A$1:$AH$146</definedName>
    <definedName name="AreaPlanilha">'Matriz de Pesos e Notas'!$A$1:$AI$148</definedName>
    <definedName name="AuxiliarCIF">#REF!</definedName>
    <definedName name="Coluna01">#REF!</definedName>
    <definedName name="Coluna02">#REF!</definedName>
    <definedName name="Coluna03">#REF!</definedName>
    <definedName name="ColunaDuplic" localSheetId="2">'[1]Participação-apenas fórmulas'!#REF!</definedName>
    <definedName name="ColunaDuplic" localSheetId="1">'[2]Participação-apenas fórmulas'!#REF!</definedName>
    <definedName name="ColunaDuplic" localSheetId="8">'[2]Participação-apenas fórmulas'!#REF!</definedName>
    <definedName name="ColunaDuplic">'[3]Participação-apenas fórmulas'!#REF!</definedName>
    <definedName name="ColunaDuplic_INFOR" localSheetId="8">'[3]Participação-apenas fórmulas'!#REF!</definedName>
    <definedName name="ColunaDuplic_INFOR">'[3]Participação-apenas fórmulas'!#REF!</definedName>
    <definedName name="ColunaImprime">#REF!</definedName>
    <definedName name="ColunaNotas" localSheetId="2">'[1]Matriz de Pesos e Notas'!#REF!</definedName>
    <definedName name="ColunaNotas" localSheetId="0">'Digitar aqui Notas e Pesos'!#REF!</definedName>
    <definedName name="ColunaNotas" localSheetId="14">'Matriz de Pesos e Notas'!$AI$1</definedName>
    <definedName name="ColunaNotas" localSheetId="10">'[3]Matriz de Pesos e Notas'!#REF!</definedName>
    <definedName name="ColunaNotas">'Matriz de Pesos e Notas'!$AI$1</definedName>
    <definedName name="ColunaPartic" localSheetId="2">'[1]Participação-apenas fórmulas'!#REF!</definedName>
    <definedName name="ColunaPartic" localSheetId="10">'[3]Participação-apenas fórmulas'!#REF!</definedName>
    <definedName name="ColunaPartic">'Participação-apenas fórmulas'!$AH$1</definedName>
    <definedName name="cruis" localSheetId="8">'[3]Matriz de Pesos e Notas'!#REF!</definedName>
    <definedName name="cruis">'[3]Matriz de Pesos e Notas'!#REF!</definedName>
    <definedName name="Duplic" localSheetId="2">'[1]Matriz de Pesos e Notas'!#REF!</definedName>
    <definedName name="Duplic" localSheetId="1">'[2]Matriz de Pesos e Notas'!#REF!</definedName>
    <definedName name="Duplic" localSheetId="8">'[2]Matriz de Pesos e Notas'!#REF!</definedName>
    <definedName name="Duplic">'[3]Matriz de Pesos e Notas'!#REF!</definedName>
    <definedName name="Duplic_INFOR" localSheetId="8">'[3]Matriz de Pesos e Notas'!#REF!</definedName>
    <definedName name="Duplic_INFOR">'[3]Matriz de Pesos e Notas'!#REF!</definedName>
    <definedName name="Nota_Final" localSheetId="0">'Digitar aqui Notas e Pesos'!$A$1:$C$138</definedName>
    <definedName name="Nota_Final" localSheetId="14">'Matriz de Pesos e Notas'!$A$1:$C$146</definedName>
    <definedName name="Nota_Final">'Matriz de Pesos e Notas'!$A$1:$C$148</definedName>
    <definedName name="NumeroCIFs">#REF!</definedName>
    <definedName name="Partic">'Participação-apenas fórmulas'!$A$1:$E$146</definedName>
    <definedName name="PlanilhaTotal" localSheetId="0">'Digitar aqui Notas e Pesos'!$D$1:$AC$138</definedName>
    <definedName name="PlanilhaTotal" localSheetId="14">'Matriz de Pesos e Notas'!$G$1:$AH$146</definedName>
    <definedName name="PlanilhaTotal">'Matriz de Pesos e Notas'!$G$1:$AH$148</definedName>
    <definedName name="ResumoNotas" localSheetId="0">'Digitar aqui Notas e Pesos'!$A$1:$C$138</definedName>
    <definedName name="ResumoNotas" localSheetId="14">'Participação-apenas fórmulas'!$A$1:$F$145</definedName>
    <definedName name="ResumoNotas">'Matriz de Pesos e Notas'!$A$1:$F$145</definedName>
    <definedName name="_xlnm.Print_Titles" localSheetId="0">'Digitar aqui Notas e Pesos'!$A:$C</definedName>
    <definedName name="_xlnm.Print_Titles" localSheetId="3">'Matriz de Pesos e Notas'!$A:$C</definedName>
    <definedName name="_xlnm.Print_Titles" localSheetId="14">'Participação-apenas fórmulas'!$A:$C</definedName>
  </definedNames>
  <calcPr calcId="145621"/>
</workbook>
</file>

<file path=xl/calcChain.xml><?xml version="1.0" encoding="utf-8"?>
<calcChain xmlns="http://schemas.openxmlformats.org/spreadsheetml/2006/main">
  <c r="G17" i="16" l="1"/>
  <c r="G5" i="16"/>
  <c r="H11" i="16" s="1"/>
  <c r="G7" i="16"/>
  <c r="C7" i="16"/>
  <c r="A103" i="1"/>
  <c r="A87" i="1"/>
  <c r="T86" i="47"/>
  <c r="A71" i="1"/>
  <c r="A55" i="1"/>
  <c r="A23" i="1"/>
  <c r="A23" i="4"/>
  <c r="A24" i="47" s="1"/>
  <c r="A7" i="1"/>
  <c r="A7" i="4"/>
  <c r="A7" i="2" s="1"/>
  <c r="A39" i="1"/>
  <c r="A71" i="4"/>
  <c r="A71" i="2" s="1"/>
  <c r="C4" i="49"/>
  <c r="J39" i="4"/>
  <c r="J7" i="4"/>
  <c r="C11" i="49"/>
  <c r="C10" i="49"/>
  <c r="C9" i="49"/>
  <c r="C8" i="49"/>
  <c r="C7" i="49"/>
  <c r="D6" i="49"/>
  <c r="D5" i="49"/>
  <c r="D4" i="49"/>
  <c r="E10" i="49"/>
  <c r="E9" i="49"/>
  <c r="E8" i="49"/>
  <c r="E7" i="49"/>
  <c r="E5" i="49"/>
  <c r="E4" i="49"/>
  <c r="E3" i="49"/>
  <c r="D10" i="49"/>
  <c r="D9" i="49"/>
  <c r="D8" i="49"/>
  <c r="D7" i="49"/>
  <c r="C5" i="49"/>
  <c r="D11" i="49"/>
  <c r="E11" i="49"/>
  <c r="E6" i="49"/>
  <c r="C6" i="49"/>
  <c r="D3" i="49"/>
  <c r="C3" i="49"/>
  <c r="J131" i="4"/>
  <c r="J129" i="4"/>
  <c r="J127" i="4"/>
  <c r="J125" i="4"/>
  <c r="J123" i="4"/>
  <c r="J121" i="4"/>
  <c r="J119" i="4"/>
  <c r="J115" i="4"/>
  <c r="J113" i="4"/>
  <c r="J111" i="4"/>
  <c r="J109" i="4"/>
  <c r="J107" i="4"/>
  <c r="J105" i="4"/>
  <c r="J103" i="4"/>
  <c r="J99" i="4"/>
  <c r="J97" i="4"/>
  <c r="J95" i="4"/>
  <c r="J93" i="4"/>
  <c r="J91" i="4"/>
  <c r="J89" i="4"/>
  <c r="J87" i="4"/>
  <c r="J83" i="4"/>
  <c r="J81" i="4"/>
  <c r="J79" i="4"/>
  <c r="J77" i="4"/>
  <c r="J75" i="4"/>
  <c r="J73" i="4"/>
  <c r="J71" i="4"/>
  <c r="J67" i="4"/>
  <c r="J65" i="4"/>
  <c r="J63" i="4"/>
  <c r="J61" i="4"/>
  <c r="J59" i="4"/>
  <c r="J57" i="4"/>
  <c r="J55" i="4"/>
  <c r="J51" i="4"/>
  <c r="J49" i="4"/>
  <c r="J47" i="4"/>
  <c r="J45" i="4"/>
  <c r="J43" i="4"/>
  <c r="J41" i="4"/>
  <c r="J35" i="4"/>
  <c r="J33" i="4"/>
  <c r="J31" i="4"/>
  <c r="J29" i="4"/>
  <c r="J27" i="4"/>
  <c r="J25" i="4"/>
  <c r="J23" i="4"/>
  <c r="J19" i="4"/>
  <c r="J17" i="4"/>
  <c r="J15" i="4"/>
  <c r="J13" i="4"/>
  <c r="J11" i="4"/>
  <c r="J9" i="4"/>
  <c r="C2" i="49"/>
  <c r="D2" i="49"/>
  <c r="T4" i="48"/>
  <c r="B3" i="48"/>
  <c r="AG131" i="4"/>
  <c r="AF131" i="4"/>
  <c r="R132" i="47"/>
  <c r="AD131" i="4"/>
  <c r="Q132" i="47" s="1"/>
  <c r="AC131" i="4"/>
  <c r="AA131" i="4"/>
  <c r="Z131" i="4"/>
  <c r="N132" i="47" s="1"/>
  <c r="X131" i="4"/>
  <c r="M132" i="47" s="1"/>
  <c r="W131" i="4"/>
  <c r="L132" i="47"/>
  <c r="U131" i="4"/>
  <c r="K132" i="47" s="1"/>
  <c r="T131" i="4"/>
  <c r="R131" i="4"/>
  <c r="Q131" i="4"/>
  <c r="H132" i="47" s="1"/>
  <c r="O131" i="4"/>
  <c r="G132" i="47" s="1"/>
  <c r="N131" i="4"/>
  <c r="L131" i="4"/>
  <c r="E132" i="47" s="1"/>
  <c r="K131" i="4"/>
  <c r="H131" i="4"/>
  <c r="G131" i="4"/>
  <c r="B132" i="47" s="1"/>
  <c r="C131" i="4"/>
  <c r="CN131" i="4" s="1"/>
  <c r="E130" i="4"/>
  <c r="AG129" i="4"/>
  <c r="AF129" i="4"/>
  <c r="R130" i="47" s="1"/>
  <c r="AD129" i="4"/>
  <c r="AC129" i="4"/>
  <c r="AA129" i="4"/>
  <c r="Z129" i="4"/>
  <c r="N130" i="47" s="1"/>
  <c r="X129" i="4"/>
  <c r="M130" i="47" s="1"/>
  <c r="W129" i="4"/>
  <c r="U129" i="4"/>
  <c r="K130" i="47"/>
  <c r="T129" i="4"/>
  <c r="J130" i="47" s="1"/>
  <c r="R129" i="4"/>
  <c r="I130" i="47"/>
  <c r="Q129" i="4"/>
  <c r="O129" i="4"/>
  <c r="G130" i="47" s="1"/>
  <c r="N129" i="4"/>
  <c r="F130" i="47" s="1"/>
  <c r="L129" i="4"/>
  <c r="E130" i="47"/>
  <c r="K129" i="4"/>
  <c r="H129" i="4"/>
  <c r="C130" i="47" s="1"/>
  <c r="G129" i="4"/>
  <c r="B130" i="47" s="1"/>
  <c r="C129" i="4"/>
  <c r="C129" i="2" s="1"/>
  <c r="E128" i="4"/>
  <c r="AG127" i="4"/>
  <c r="S128" i="47"/>
  <c r="AF127" i="4"/>
  <c r="AD127" i="4"/>
  <c r="AC127" i="4"/>
  <c r="AA127" i="4"/>
  <c r="Z127" i="4"/>
  <c r="N128" i="47" s="1"/>
  <c r="X127" i="4"/>
  <c r="W127" i="4"/>
  <c r="U127" i="4"/>
  <c r="K128" i="47" s="1"/>
  <c r="T127" i="4"/>
  <c r="J128" i="47" s="1"/>
  <c r="R127" i="4"/>
  <c r="I128" i="47" s="1"/>
  <c r="Q127" i="4"/>
  <c r="O127" i="4"/>
  <c r="G128" i="47" s="1"/>
  <c r="N127" i="4"/>
  <c r="L127" i="4"/>
  <c r="E128" i="47" s="1"/>
  <c r="K127" i="4"/>
  <c r="D128" i="47" s="1"/>
  <c r="H127" i="4"/>
  <c r="G127" i="4"/>
  <c r="C127" i="4"/>
  <c r="F127" i="4" s="1"/>
  <c r="E126" i="4"/>
  <c r="AG125" i="4"/>
  <c r="S126" i="47"/>
  <c r="AF125" i="4"/>
  <c r="AD125" i="4"/>
  <c r="AC125" i="4"/>
  <c r="P126" i="47" s="1"/>
  <c r="AA125" i="4"/>
  <c r="Z125" i="4"/>
  <c r="N126" i="47"/>
  <c r="X125" i="4"/>
  <c r="M126" i="47" s="1"/>
  <c r="W125" i="4"/>
  <c r="L126" i="47" s="1"/>
  <c r="U125" i="4"/>
  <c r="T125" i="4"/>
  <c r="J126" i="47" s="1"/>
  <c r="R125" i="4"/>
  <c r="Q125" i="4"/>
  <c r="H126" i="47" s="1"/>
  <c r="O125" i="4"/>
  <c r="G126" i="47" s="1"/>
  <c r="N125" i="4"/>
  <c r="L125" i="4"/>
  <c r="E126" i="47" s="1"/>
  <c r="K125" i="4"/>
  <c r="D126" i="47" s="1"/>
  <c r="H125" i="4"/>
  <c r="C126" i="47"/>
  <c r="G125" i="4"/>
  <c r="B126" i="47" s="1"/>
  <c r="C125" i="4"/>
  <c r="E125" i="4" s="1"/>
  <c r="E124" i="4"/>
  <c r="AG123" i="4"/>
  <c r="S124" i="47" s="1"/>
  <c r="AF123" i="4"/>
  <c r="R124" i="47" s="1"/>
  <c r="AD123" i="4"/>
  <c r="Q124" i="47" s="1"/>
  <c r="AC123" i="4"/>
  <c r="P124" i="47"/>
  <c r="AA123" i="4"/>
  <c r="O124" i="47" s="1"/>
  <c r="Z123" i="4"/>
  <c r="N124" i="47"/>
  <c r="X123" i="4"/>
  <c r="M124" i="47" s="1"/>
  <c r="W123" i="4"/>
  <c r="L124" i="47" s="1"/>
  <c r="U123" i="4"/>
  <c r="K124" i="47"/>
  <c r="T123" i="4"/>
  <c r="R123" i="4"/>
  <c r="I124" i="47"/>
  <c r="Q123" i="4"/>
  <c r="H124" i="47" s="1"/>
  <c r="O123" i="4"/>
  <c r="N123" i="4"/>
  <c r="L123" i="4"/>
  <c r="E124" i="47" s="1"/>
  <c r="K123" i="4"/>
  <c r="D124" i="47" s="1"/>
  <c r="H123" i="4"/>
  <c r="C124" i="47" s="1"/>
  <c r="G123" i="4"/>
  <c r="B124" i="47"/>
  <c r="C123" i="4"/>
  <c r="V123" i="4" s="1"/>
  <c r="E122" i="4"/>
  <c r="AG121" i="4"/>
  <c r="AF121" i="4"/>
  <c r="AD121" i="4"/>
  <c r="AC121" i="4"/>
  <c r="P122" i="47" s="1"/>
  <c r="AA121" i="4"/>
  <c r="Z121" i="4"/>
  <c r="N122" i="47"/>
  <c r="X121" i="4"/>
  <c r="W121" i="4"/>
  <c r="U121" i="4"/>
  <c r="K122" i="47" s="1"/>
  <c r="T121" i="4"/>
  <c r="J122" i="47" s="1"/>
  <c r="R121" i="4"/>
  <c r="Q121" i="4"/>
  <c r="H122" i="47" s="1"/>
  <c r="O121" i="4"/>
  <c r="G122" i="47" s="1"/>
  <c r="N121" i="4"/>
  <c r="F122" i="47" s="1"/>
  <c r="L121" i="4"/>
  <c r="E122" i="47" s="1"/>
  <c r="K121" i="4"/>
  <c r="D122" i="47" s="1"/>
  <c r="H121" i="4"/>
  <c r="C122" i="47"/>
  <c r="G121" i="4"/>
  <c r="B122" i="47" s="1"/>
  <c r="C121" i="4"/>
  <c r="CM121" i="4" s="1"/>
  <c r="E120" i="4"/>
  <c r="AG119" i="4"/>
  <c r="S120" i="47" s="1"/>
  <c r="AF119" i="4"/>
  <c r="AD119" i="4"/>
  <c r="AC119" i="4"/>
  <c r="P120" i="47" s="1"/>
  <c r="AA119" i="4"/>
  <c r="Z119" i="4"/>
  <c r="X119" i="4"/>
  <c r="W119" i="4"/>
  <c r="L120" i="47"/>
  <c r="U119" i="4"/>
  <c r="K120" i="47" s="1"/>
  <c r="T119" i="4"/>
  <c r="R119" i="4"/>
  <c r="I120" i="47" s="1"/>
  <c r="Q119" i="4"/>
  <c r="H120" i="47" s="1"/>
  <c r="O119" i="4"/>
  <c r="G120" i="47" s="1"/>
  <c r="N119" i="4"/>
  <c r="L119" i="4"/>
  <c r="E120" i="47" s="1"/>
  <c r="K119" i="4"/>
  <c r="D120" i="47" s="1"/>
  <c r="H119" i="4"/>
  <c r="C120" i="47" s="1"/>
  <c r="G119" i="4"/>
  <c r="AG115" i="4"/>
  <c r="S116" i="47" s="1"/>
  <c r="AF115" i="4"/>
  <c r="AD115" i="4"/>
  <c r="AC115" i="4"/>
  <c r="P116" i="47"/>
  <c r="AA115" i="4"/>
  <c r="Z115" i="4"/>
  <c r="X115" i="4"/>
  <c r="W115" i="4"/>
  <c r="L116" i="47" s="1"/>
  <c r="U115" i="4"/>
  <c r="T115" i="4"/>
  <c r="R115" i="4"/>
  <c r="Q115" i="4"/>
  <c r="H116" i="47" s="1"/>
  <c r="O115" i="4"/>
  <c r="N115" i="4"/>
  <c r="F116" i="47" s="1"/>
  <c r="L115" i="4"/>
  <c r="K115" i="4"/>
  <c r="D116" i="47" s="1"/>
  <c r="H115" i="4"/>
  <c r="C116" i="47" s="1"/>
  <c r="G115" i="4"/>
  <c r="C115" i="4"/>
  <c r="P115" i="4" s="1"/>
  <c r="E114" i="4"/>
  <c r="AG113" i="4"/>
  <c r="S114" i="47" s="1"/>
  <c r="AF113" i="4"/>
  <c r="R114" i="47"/>
  <c r="AD113" i="4"/>
  <c r="Q114" i="47" s="1"/>
  <c r="AC113" i="4"/>
  <c r="AA113" i="4"/>
  <c r="O114" i="47" s="1"/>
  <c r="Z113" i="4"/>
  <c r="X113" i="4"/>
  <c r="M114" i="47"/>
  <c r="W113" i="4"/>
  <c r="L114" i="47" s="1"/>
  <c r="U113" i="4"/>
  <c r="K114" i="47" s="1"/>
  <c r="T113" i="4"/>
  <c r="J114" i="47" s="1"/>
  <c r="R113" i="4"/>
  <c r="I114" i="47" s="1"/>
  <c r="Q113" i="4"/>
  <c r="O113" i="4"/>
  <c r="G114" i="47" s="1"/>
  <c r="N113" i="4"/>
  <c r="L113" i="4"/>
  <c r="E114" i="47" s="1"/>
  <c r="K113" i="4"/>
  <c r="D114" i="47" s="1"/>
  <c r="H113" i="4"/>
  <c r="C114" i="47"/>
  <c r="G113" i="4"/>
  <c r="B114" i="47" s="1"/>
  <c r="C113" i="4"/>
  <c r="I113" i="4" s="1"/>
  <c r="E112" i="4"/>
  <c r="AG111" i="4"/>
  <c r="S112" i="47" s="1"/>
  <c r="AF111" i="4"/>
  <c r="R112" i="47" s="1"/>
  <c r="AD111" i="4"/>
  <c r="Q112" i="47" s="1"/>
  <c r="AC111" i="4"/>
  <c r="P112" i="47"/>
  <c r="AA111" i="4"/>
  <c r="O112" i="47" s="1"/>
  <c r="Z111" i="4"/>
  <c r="N112" i="47" s="1"/>
  <c r="X111" i="4"/>
  <c r="W111" i="4"/>
  <c r="L112" i="47" s="1"/>
  <c r="U111" i="4"/>
  <c r="K112" i="47" s="1"/>
  <c r="T111" i="4"/>
  <c r="J112" i="47" s="1"/>
  <c r="R111" i="4"/>
  <c r="I112" i="47"/>
  <c r="Q111" i="4"/>
  <c r="H112" i="47" s="1"/>
  <c r="O111" i="4"/>
  <c r="N111" i="4"/>
  <c r="F112" i="47"/>
  <c r="L111" i="4"/>
  <c r="K111" i="4"/>
  <c r="D112" i="47" s="1"/>
  <c r="H111" i="4"/>
  <c r="C112" i="47" s="1"/>
  <c r="G111" i="4"/>
  <c r="B112" i="47" s="1"/>
  <c r="C111" i="4"/>
  <c r="E111" i="4" s="1"/>
  <c r="E110" i="4"/>
  <c r="AG109" i="4"/>
  <c r="S110" i="47" s="1"/>
  <c r="AF109" i="4"/>
  <c r="R110" i="47" s="1"/>
  <c r="AD109" i="4"/>
  <c r="Q110" i="47" s="1"/>
  <c r="AC109" i="4"/>
  <c r="P110" i="47" s="1"/>
  <c r="AA109" i="4"/>
  <c r="O110" i="47" s="1"/>
  <c r="Z109" i="4"/>
  <c r="X109" i="4"/>
  <c r="M110" i="47" s="1"/>
  <c r="W109" i="4"/>
  <c r="U109" i="4"/>
  <c r="K110" i="47" s="1"/>
  <c r="T109" i="4"/>
  <c r="R109" i="4"/>
  <c r="I110" i="47" s="1"/>
  <c r="Q109" i="4"/>
  <c r="O109" i="4"/>
  <c r="N109" i="4"/>
  <c r="L109" i="4"/>
  <c r="E110" i="47" s="1"/>
  <c r="K109" i="4"/>
  <c r="D110" i="47" s="1"/>
  <c r="H109" i="4"/>
  <c r="G109" i="4"/>
  <c r="C109" i="4"/>
  <c r="CN109" i="4" s="1"/>
  <c r="E108" i="4"/>
  <c r="AG107" i="4"/>
  <c r="S108" i="47" s="1"/>
  <c r="AF107" i="4"/>
  <c r="R108" i="47"/>
  <c r="AD107" i="4"/>
  <c r="Q108" i="47" s="1"/>
  <c r="AC107" i="4"/>
  <c r="P108" i="47" s="1"/>
  <c r="AA107" i="4"/>
  <c r="O108" i="47" s="1"/>
  <c r="Z107" i="4"/>
  <c r="X107" i="4"/>
  <c r="M108" i="47" s="1"/>
  <c r="W107" i="4"/>
  <c r="U107" i="4"/>
  <c r="K108" i="47" s="1"/>
  <c r="T107" i="4"/>
  <c r="R107" i="4"/>
  <c r="I108" i="47"/>
  <c r="Q107" i="4"/>
  <c r="O107" i="4"/>
  <c r="G108" i="47" s="1"/>
  <c r="N107" i="4"/>
  <c r="F108" i="47" s="1"/>
  <c r="L107" i="4"/>
  <c r="E108" i="47" s="1"/>
  <c r="K107" i="4"/>
  <c r="D108" i="47" s="1"/>
  <c r="H107" i="4"/>
  <c r="G107" i="4"/>
  <c r="C107" i="4"/>
  <c r="C107" i="2" s="1"/>
  <c r="E106" i="4"/>
  <c r="AG105" i="4"/>
  <c r="S106" i="47"/>
  <c r="AF105" i="4"/>
  <c r="AD105" i="4"/>
  <c r="Q106" i="47" s="1"/>
  <c r="AC105" i="4"/>
  <c r="P106" i="47" s="1"/>
  <c r="AA105" i="4"/>
  <c r="Z105" i="4"/>
  <c r="X105" i="4"/>
  <c r="M106" i="47"/>
  <c r="W105" i="4"/>
  <c r="U105" i="4"/>
  <c r="T105" i="4"/>
  <c r="R105" i="4"/>
  <c r="I106" i="47" s="1"/>
  <c r="Q105" i="4"/>
  <c r="H106" i="47" s="1"/>
  <c r="O105" i="4"/>
  <c r="G106" i="47" s="1"/>
  <c r="N105" i="4"/>
  <c r="L105" i="4"/>
  <c r="E106" i="47" s="1"/>
  <c r="K105" i="4"/>
  <c r="H105" i="4"/>
  <c r="C106" i="47" s="1"/>
  <c r="G105" i="4"/>
  <c r="B106" i="47" s="1"/>
  <c r="C105" i="4"/>
  <c r="V105" i="4" s="1"/>
  <c r="E104" i="4"/>
  <c r="AG103" i="4"/>
  <c r="S104" i="47" s="1"/>
  <c r="AF103" i="4"/>
  <c r="R104" i="47" s="1"/>
  <c r="AD103" i="4"/>
  <c r="AC103" i="4"/>
  <c r="P104" i="47" s="1"/>
  <c r="AA103" i="4"/>
  <c r="O104" i="47" s="1"/>
  <c r="Z103" i="4"/>
  <c r="N104" i="47"/>
  <c r="X103" i="4"/>
  <c r="M104" i="47" s="1"/>
  <c r="W103" i="4"/>
  <c r="L104" i="47" s="1"/>
  <c r="U103" i="4"/>
  <c r="T103" i="4"/>
  <c r="J104" i="47"/>
  <c r="R103" i="4"/>
  <c r="I104" i="47" s="1"/>
  <c r="Q103" i="4"/>
  <c r="H104" i="47"/>
  <c r="O103" i="4"/>
  <c r="G104" i="47" s="1"/>
  <c r="N103" i="4"/>
  <c r="L103" i="4"/>
  <c r="E104" i="47" s="1"/>
  <c r="K103" i="4"/>
  <c r="D104" i="47" s="1"/>
  <c r="H103" i="4"/>
  <c r="C104" i="47" s="1"/>
  <c r="G103" i="4"/>
  <c r="AG99" i="4"/>
  <c r="AF99" i="4"/>
  <c r="R100" i="47" s="1"/>
  <c r="AD99" i="4"/>
  <c r="AC99" i="4"/>
  <c r="P100" i="47" s="1"/>
  <c r="AA99" i="4"/>
  <c r="O100" i="47" s="1"/>
  <c r="Z99" i="4"/>
  <c r="X99" i="4"/>
  <c r="W99" i="4"/>
  <c r="L100" i="47" s="1"/>
  <c r="U99" i="4"/>
  <c r="K100" i="47" s="1"/>
  <c r="T99" i="4"/>
  <c r="R99" i="4"/>
  <c r="I100" i="47" s="1"/>
  <c r="Q99" i="4"/>
  <c r="H100" i="47" s="1"/>
  <c r="O99" i="4"/>
  <c r="G100" i="47" s="1"/>
  <c r="N99" i="4"/>
  <c r="F100" i="47" s="1"/>
  <c r="L99" i="4"/>
  <c r="K99" i="4"/>
  <c r="H99" i="4"/>
  <c r="G99" i="4"/>
  <c r="B100" i="47" s="1"/>
  <c r="C99" i="4"/>
  <c r="D99" i="4" s="1"/>
  <c r="E98" i="4"/>
  <c r="AG97" i="4"/>
  <c r="AF97" i="4"/>
  <c r="R98" i="47" s="1"/>
  <c r="AD97" i="4"/>
  <c r="Q98" i="47" s="1"/>
  <c r="AC97" i="4"/>
  <c r="P98" i="47" s="1"/>
  <c r="AA97" i="4"/>
  <c r="O98" i="47"/>
  <c r="Z97" i="4"/>
  <c r="N98" i="47" s="1"/>
  <c r="X97" i="4"/>
  <c r="M98" i="47" s="1"/>
  <c r="W97" i="4"/>
  <c r="U97" i="4"/>
  <c r="T97" i="4"/>
  <c r="R97" i="4"/>
  <c r="I98" i="47" s="1"/>
  <c r="Q97" i="4"/>
  <c r="H98" i="47" s="1"/>
  <c r="O97" i="4"/>
  <c r="G98" i="47" s="1"/>
  <c r="N97" i="4"/>
  <c r="L97" i="4"/>
  <c r="E98" i="47" s="1"/>
  <c r="K97" i="4"/>
  <c r="D98" i="47" s="1"/>
  <c r="H97" i="4"/>
  <c r="C98" i="47" s="1"/>
  <c r="G97" i="4"/>
  <c r="C97" i="4"/>
  <c r="F97" i="4" s="1"/>
  <c r="E96" i="4"/>
  <c r="AG95" i="4"/>
  <c r="AF95" i="4"/>
  <c r="AD95" i="4"/>
  <c r="Q96" i="47" s="1"/>
  <c r="AC95" i="4"/>
  <c r="AA95" i="4"/>
  <c r="O96" i="47" s="1"/>
  <c r="Z95" i="4"/>
  <c r="N96" i="47" s="1"/>
  <c r="X95" i="4"/>
  <c r="M96" i="47" s="1"/>
  <c r="W95" i="4"/>
  <c r="L96" i="47" s="1"/>
  <c r="U95" i="4"/>
  <c r="K96" i="47" s="1"/>
  <c r="T95" i="4"/>
  <c r="R95" i="4"/>
  <c r="I96" i="47" s="1"/>
  <c r="Q95" i="4"/>
  <c r="H96" i="47"/>
  <c r="O95" i="4"/>
  <c r="G96" i="47" s="1"/>
  <c r="N95" i="4"/>
  <c r="L95" i="4"/>
  <c r="E96" i="47"/>
  <c r="K95" i="4"/>
  <c r="H95" i="4"/>
  <c r="C96" i="47" s="1"/>
  <c r="G95" i="4"/>
  <c r="C95" i="4"/>
  <c r="AE95" i="4" s="1"/>
  <c r="E94" i="4"/>
  <c r="AG93" i="4"/>
  <c r="AF93" i="4"/>
  <c r="AD93" i="4"/>
  <c r="Q94" i="47"/>
  <c r="AC93" i="4"/>
  <c r="AA93" i="4"/>
  <c r="O94" i="47" s="1"/>
  <c r="Z93" i="4"/>
  <c r="N94" i="47" s="1"/>
  <c r="X93" i="4"/>
  <c r="M94" i="47" s="1"/>
  <c r="W93" i="4"/>
  <c r="U93" i="4"/>
  <c r="K94" i="47" s="1"/>
  <c r="T93" i="4"/>
  <c r="R93" i="4"/>
  <c r="I94" i="47" s="1"/>
  <c r="Q93" i="4"/>
  <c r="H94" i="47" s="1"/>
  <c r="O93" i="4"/>
  <c r="G94" i="47" s="1"/>
  <c r="N93" i="4"/>
  <c r="F94" i="47" s="1"/>
  <c r="L93" i="4"/>
  <c r="E94" i="47" s="1"/>
  <c r="K93" i="4"/>
  <c r="D94" i="47" s="1"/>
  <c r="H93" i="4"/>
  <c r="C94" i="47" s="1"/>
  <c r="G93" i="4"/>
  <c r="B94" i="47"/>
  <c r="C93" i="4"/>
  <c r="C93" i="2" s="1"/>
  <c r="E92" i="4"/>
  <c r="AG91" i="4"/>
  <c r="AF91" i="4"/>
  <c r="R92" i="47" s="1"/>
  <c r="AD91" i="4"/>
  <c r="AC91" i="4"/>
  <c r="P92" i="47" s="1"/>
  <c r="AA91" i="4"/>
  <c r="O92" i="47" s="1"/>
  <c r="Z91" i="4"/>
  <c r="N92" i="47" s="1"/>
  <c r="X91" i="4"/>
  <c r="W91" i="4"/>
  <c r="L92" i="47" s="1"/>
  <c r="U91" i="4"/>
  <c r="K92" i="47" s="1"/>
  <c r="T91" i="4"/>
  <c r="R91" i="4"/>
  <c r="Q91" i="4"/>
  <c r="H92" i="47"/>
  <c r="O91" i="4"/>
  <c r="G92" i="47" s="1"/>
  <c r="N91" i="4"/>
  <c r="F92" i="47" s="1"/>
  <c r="L91" i="4"/>
  <c r="K91" i="4"/>
  <c r="D92" i="47" s="1"/>
  <c r="H91" i="4"/>
  <c r="G91" i="4"/>
  <c r="B92" i="47" s="1"/>
  <c r="C91" i="4"/>
  <c r="CM91" i="4" s="1"/>
  <c r="P91" i="4"/>
  <c r="E90" i="4"/>
  <c r="AG89" i="4"/>
  <c r="AF89" i="4"/>
  <c r="R90" i="47"/>
  <c r="AD89" i="4"/>
  <c r="Q90" i="47" s="1"/>
  <c r="AC89" i="4"/>
  <c r="AA89" i="4"/>
  <c r="O90" i="47"/>
  <c r="Z89" i="4"/>
  <c r="X89" i="4"/>
  <c r="W89" i="4"/>
  <c r="U89" i="4"/>
  <c r="K90" i="47" s="1"/>
  <c r="T89" i="4"/>
  <c r="R89" i="4"/>
  <c r="I90" i="47"/>
  <c r="Q89" i="4"/>
  <c r="H90" i="47" s="1"/>
  <c r="O89" i="4"/>
  <c r="G90" i="47" s="1"/>
  <c r="N89" i="4"/>
  <c r="L89" i="4"/>
  <c r="E90" i="47" s="1"/>
  <c r="K89" i="4"/>
  <c r="H89" i="4"/>
  <c r="G89" i="4"/>
  <c r="C89" i="4"/>
  <c r="CM89" i="4" s="1"/>
  <c r="E88" i="4"/>
  <c r="AG87" i="4"/>
  <c r="S88" i="47" s="1"/>
  <c r="AF87" i="4"/>
  <c r="R88" i="47" s="1"/>
  <c r="AD87" i="4"/>
  <c r="AC87" i="4"/>
  <c r="P88" i="47"/>
  <c r="AA87" i="4"/>
  <c r="Z87" i="4"/>
  <c r="N88" i="47" s="1"/>
  <c r="X87" i="4"/>
  <c r="M88" i="47" s="1"/>
  <c r="W87" i="4"/>
  <c r="L88" i="47" s="1"/>
  <c r="U87" i="4"/>
  <c r="T87" i="4"/>
  <c r="J88" i="47" s="1"/>
  <c r="R87" i="4"/>
  <c r="I88" i="47" s="1"/>
  <c r="Q87" i="4"/>
  <c r="H88" i="47"/>
  <c r="O87" i="4"/>
  <c r="G88" i="47" s="1"/>
  <c r="N87" i="4"/>
  <c r="F88" i="47" s="1"/>
  <c r="L87" i="4"/>
  <c r="E88" i="47" s="1"/>
  <c r="K87" i="4"/>
  <c r="D88" i="47" s="1"/>
  <c r="H87" i="4"/>
  <c r="C88" i="47" s="1"/>
  <c r="G87" i="4"/>
  <c r="B88" i="47" s="1"/>
  <c r="AG83" i="4"/>
  <c r="AF83" i="4"/>
  <c r="R84" i="47" s="1"/>
  <c r="AD83" i="4"/>
  <c r="AC83" i="4"/>
  <c r="AA83" i="4"/>
  <c r="O84" i="47" s="1"/>
  <c r="Z83" i="4"/>
  <c r="N84" i="47" s="1"/>
  <c r="X83" i="4"/>
  <c r="M84" i="47"/>
  <c r="W83" i="4"/>
  <c r="U83" i="4"/>
  <c r="T83" i="4"/>
  <c r="R83" i="4"/>
  <c r="Q83" i="4"/>
  <c r="O83" i="4"/>
  <c r="N83" i="4"/>
  <c r="F84" i="47" s="1"/>
  <c r="L83" i="4"/>
  <c r="E84" i="47" s="1"/>
  <c r="K83" i="4"/>
  <c r="H83" i="4"/>
  <c r="G83" i="4"/>
  <c r="C83" i="4"/>
  <c r="CM83" i="4" s="1"/>
  <c r="E82" i="4"/>
  <c r="AG81" i="4"/>
  <c r="AF81" i="4"/>
  <c r="AD81" i="4"/>
  <c r="AC81" i="4"/>
  <c r="P82" i="47" s="1"/>
  <c r="AA81" i="4"/>
  <c r="O82" i="47" s="1"/>
  <c r="Z81" i="4"/>
  <c r="N82" i="47" s="1"/>
  <c r="X81" i="4"/>
  <c r="M82" i="47" s="1"/>
  <c r="W81" i="4"/>
  <c r="L82" i="47" s="1"/>
  <c r="U81" i="4"/>
  <c r="T81" i="4"/>
  <c r="R81" i="4"/>
  <c r="Q81" i="4"/>
  <c r="O81" i="4"/>
  <c r="N81" i="4"/>
  <c r="L81" i="4"/>
  <c r="E82" i="47" s="1"/>
  <c r="K81" i="4"/>
  <c r="H81" i="4"/>
  <c r="C82" i="47" s="1"/>
  <c r="G81" i="4"/>
  <c r="C81" i="4"/>
  <c r="C81" i="2" s="1"/>
  <c r="E80" i="4"/>
  <c r="AG79" i="4"/>
  <c r="S80" i="47" s="1"/>
  <c r="AF79" i="4"/>
  <c r="R80" i="47" s="1"/>
  <c r="AD79" i="4"/>
  <c r="AC79" i="4"/>
  <c r="AA79" i="4"/>
  <c r="O80" i="47" s="1"/>
  <c r="Z79" i="4"/>
  <c r="X79" i="4"/>
  <c r="W79" i="4"/>
  <c r="U79" i="4"/>
  <c r="K80" i="47" s="1"/>
  <c r="T79" i="4"/>
  <c r="J80" i="47"/>
  <c r="R79" i="4"/>
  <c r="I80" i="47" s="1"/>
  <c r="Q79" i="4"/>
  <c r="H80" i="47" s="1"/>
  <c r="O79" i="4"/>
  <c r="G80" i="47"/>
  <c r="N79" i="4"/>
  <c r="F80" i="47" s="1"/>
  <c r="L79" i="4"/>
  <c r="E80" i="47"/>
  <c r="K79" i="4"/>
  <c r="D80" i="47" s="1"/>
  <c r="H79" i="4"/>
  <c r="C80" i="47" s="1"/>
  <c r="G79" i="4"/>
  <c r="C79" i="4"/>
  <c r="F79" i="4" s="1"/>
  <c r="E78" i="4"/>
  <c r="AG77" i="4"/>
  <c r="S78" i="47" s="1"/>
  <c r="AF77" i="4"/>
  <c r="R78" i="47" s="1"/>
  <c r="AD77" i="4"/>
  <c r="AC77" i="4"/>
  <c r="AA77" i="4"/>
  <c r="O78" i="47" s="1"/>
  <c r="Z77" i="4"/>
  <c r="N78" i="47" s="1"/>
  <c r="X77" i="4"/>
  <c r="M78" i="47"/>
  <c r="W77" i="4"/>
  <c r="U77" i="4"/>
  <c r="K78" i="47" s="1"/>
  <c r="T77" i="4"/>
  <c r="R77" i="4"/>
  <c r="I78" i="47" s="1"/>
  <c r="Q77" i="4"/>
  <c r="H78" i="47" s="1"/>
  <c r="O77" i="4"/>
  <c r="G78" i="47"/>
  <c r="N77" i="4"/>
  <c r="F78" i="47" s="1"/>
  <c r="L77" i="4"/>
  <c r="K77" i="4"/>
  <c r="D78" i="47" s="1"/>
  <c r="H77" i="4"/>
  <c r="G77" i="4"/>
  <c r="B78" i="47" s="1"/>
  <c r="C77" i="4"/>
  <c r="Y77" i="4" s="1"/>
  <c r="E76" i="4"/>
  <c r="AG75" i="4"/>
  <c r="S76" i="47" s="1"/>
  <c r="AF75" i="4"/>
  <c r="R76" i="47" s="1"/>
  <c r="AD75" i="4"/>
  <c r="AC75" i="4"/>
  <c r="P76" i="47"/>
  <c r="AA75" i="4"/>
  <c r="O76" i="47" s="1"/>
  <c r="Z75" i="4"/>
  <c r="N76" i="47"/>
  <c r="X75" i="4"/>
  <c r="M76" i="47" s="1"/>
  <c r="W75" i="4"/>
  <c r="U75" i="4"/>
  <c r="T75" i="4"/>
  <c r="R75" i="4"/>
  <c r="I76" i="47" s="1"/>
  <c r="Q75" i="4"/>
  <c r="O75" i="4"/>
  <c r="G76" i="47" s="1"/>
  <c r="N75" i="4"/>
  <c r="F76" i="47" s="1"/>
  <c r="L75" i="4"/>
  <c r="E76" i="47" s="1"/>
  <c r="K75" i="4"/>
  <c r="D76" i="47" s="1"/>
  <c r="H75" i="4"/>
  <c r="G75" i="4"/>
  <c r="C75" i="4"/>
  <c r="F75" i="4" s="1"/>
  <c r="E74" i="4"/>
  <c r="AG73" i="4"/>
  <c r="S74" i="47"/>
  <c r="AF73" i="4"/>
  <c r="R74" i="47" s="1"/>
  <c r="AD73" i="4"/>
  <c r="AC73" i="4"/>
  <c r="P74" i="47"/>
  <c r="AA73" i="4"/>
  <c r="Z73" i="4"/>
  <c r="N74" i="47"/>
  <c r="X73" i="4"/>
  <c r="W73" i="4"/>
  <c r="L74" i="47" s="1"/>
  <c r="U73" i="4"/>
  <c r="K74" i="47" s="1"/>
  <c r="T73" i="4"/>
  <c r="R73" i="4"/>
  <c r="I74" i="47" s="1"/>
  <c r="Q73" i="4"/>
  <c r="O73" i="4"/>
  <c r="N73" i="4"/>
  <c r="L73" i="4"/>
  <c r="E74" i="47" s="1"/>
  <c r="K73" i="4"/>
  <c r="H73" i="4"/>
  <c r="C74" i="47" s="1"/>
  <c r="G73" i="4"/>
  <c r="C73" i="4"/>
  <c r="D73" i="4" s="1"/>
  <c r="E72" i="4"/>
  <c r="AG71" i="4"/>
  <c r="AF71" i="4"/>
  <c r="R72" i="47" s="1"/>
  <c r="AD71" i="4"/>
  <c r="Q72" i="47" s="1"/>
  <c r="AC71" i="4"/>
  <c r="AA71" i="4"/>
  <c r="Z71" i="4"/>
  <c r="X71" i="4"/>
  <c r="M72" i="47" s="1"/>
  <c r="W71" i="4"/>
  <c r="U71" i="4"/>
  <c r="K72" i="47" s="1"/>
  <c r="T71" i="4"/>
  <c r="R71" i="4"/>
  <c r="I72" i="47"/>
  <c r="Q71" i="4"/>
  <c r="H72" i="47" s="1"/>
  <c r="O71" i="4"/>
  <c r="N71" i="4"/>
  <c r="F72" i="47" s="1"/>
  <c r="L71" i="4"/>
  <c r="E72" i="47" s="1"/>
  <c r="K71" i="4"/>
  <c r="D72" i="47" s="1"/>
  <c r="H71" i="4"/>
  <c r="C72" i="47" s="1"/>
  <c r="G71" i="4"/>
  <c r="B72" i="47" s="1"/>
  <c r="AG67" i="4"/>
  <c r="AF67" i="4"/>
  <c r="R68" i="47"/>
  <c r="AD67" i="4"/>
  <c r="AC67" i="4"/>
  <c r="P68" i="47" s="1"/>
  <c r="AA67" i="4"/>
  <c r="Z67" i="4"/>
  <c r="X67" i="4"/>
  <c r="M68" i="47"/>
  <c r="W67" i="4"/>
  <c r="L68" i="47" s="1"/>
  <c r="U67" i="4"/>
  <c r="T67" i="4"/>
  <c r="J68" i="47" s="1"/>
  <c r="R67" i="4"/>
  <c r="Q67" i="4"/>
  <c r="H68" i="47"/>
  <c r="O67" i="4"/>
  <c r="G68" i="47" s="1"/>
  <c r="N67" i="4"/>
  <c r="F68" i="47" s="1"/>
  <c r="L67" i="4"/>
  <c r="K67" i="4"/>
  <c r="D68" i="47" s="1"/>
  <c r="H67" i="4"/>
  <c r="G67" i="4"/>
  <c r="B68" i="47" s="1"/>
  <c r="C67" i="4"/>
  <c r="D67" i="4" s="1"/>
  <c r="E66" i="4"/>
  <c r="AG65" i="4"/>
  <c r="AF65" i="4"/>
  <c r="AD65" i="4"/>
  <c r="Q66" i="47" s="1"/>
  <c r="AC65" i="4"/>
  <c r="AA65" i="4"/>
  <c r="Z65" i="4"/>
  <c r="N66" i="47" s="1"/>
  <c r="X65" i="4"/>
  <c r="M66" i="47" s="1"/>
  <c r="W65" i="4"/>
  <c r="U65" i="4"/>
  <c r="T65" i="4"/>
  <c r="R65" i="4"/>
  <c r="Q65" i="4"/>
  <c r="H66" i="47" s="1"/>
  <c r="O65" i="4"/>
  <c r="G66" i="47"/>
  <c r="N65" i="4"/>
  <c r="L65" i="4"/>
  <c r="E66" i="47" s="1"/>
  <c r="K65" i="4"/>
  <c r="H65" i="4"/>
  <c r="G65" i="4"/>
  <c r="B66" i="47"/>
  <c r="C65" i="4"/>
  <c r="E64" i="4"/>
  <c r="AG63" i="4"/>
  <c r="AF63" i="4"/>
  <c r="AD63" i="4"/>
  <c r="Q64" i="47" s="1"/>
  <c r="AC63" i="4"/>
  <c r="AA63" i="4"/>
  <c r="O64" i="47"/>
  <c r="Z63" i="4"/>
  <c r="N64" i="47" s="1"/>
  <c r="X63" i="4"/>
  <c r="W63" i="4"/>
  <c r="U63" i="4"/>
  <c r="K64" i="47" s="1"/>
  <c r="T63" i="4"/>
  <c r="J64" i="47" s="1"/>
  <c r="R63" i="4"/>
  <c r="I64" i="47" s="1"/>
  <c r="Q63" i="4"/>
  <c r="H64" i="47" s="1"/>
  <c r="O63" i="4"/>
  <c r="G64" i="47" s="1"/>
  <c r="N63" i="4"/>
  <c r="L63" i="4"/>
  <c r="E64" i="47" s="1"/>
  <c r="K63" i="4"/>
  <c r="D64" i="47" s="1"/>
  <c r="H63" i="4"/>
  <c r="G63" i="4"/>
  <c r="C63" i="4"/>
  <c r="AE63" i="4" s="1"/>
  <c r="E62" i="4"/>
  <c r="AG61" i="4"/>
  <c r="S62" i="47" s="1"/>
  <c r="AF61" i="4"/>
  <c r="AD61" i="4"/>
  <c r="Q62" i="47" s="1"/>
  <c r="AC61" i="4"/>
  <c r="P62" i="47" s="1"/>
  <c r="AA61" i="4"/>
  <c r="Z61" i="4"/>
  <c r="N62" i="47" s="1"/>
  <c r="X61" i="4"/>
  <c r="M62" i="47" s="1"/>
  <c r="W61" i="4"/>
  <c r="L62" i="47" s="1"/>
  <c r="U61" i="4"/>
  <c r="K62" i="47" s="1"/>
  <c r="T61" i="4"/>
  <c r="J62" i="47" s="1"/>
  <c r="R61" i="4"/>
  <c r="I62" i="47"/>
  <c r="Q61" i="4"/>
  <c r="H62" i="47"/>
  <c r="O61" i="4"/>
  <c r="N61" i="4"/>
  <c r="L61" i="4"/>
  <c r="E62" i="47"/>
  <c r="K61" i="4"/>
  <c r="D62" i="47"/>
  <c r="H61" i="4"/>
  <c r="C62" i="47" s="1"/>
  <c r="G61" i="4"/>
  <c r="C61" i="4"/>
  <c r="S61" i="4" s="1"/>
  <c r="CM61" i="4"/>
  <c r="E60" i="4"/>
  <c r="AG59" i="4"/>
  <c r="S60" i="47" s="1"/>
  <c r="AF59" i="4"/>
  <c r="R60" i="47" s="1"/>
  <c r="AD59" i="4"/>
  <c r="AC59" i="4"/>
  <c r="P60" i="47" s="1"/>
  <c r="AA59" i="4"/>
  <c r="O60" i="47"/>
  <c r="Z59" i="4"/>
  <c r="X59" i="4"/>
  <c r="M60" i="47" s="1"/>
  <c r="W59" i="4"/>
  <c r="U59" i="4"/>
  <c r="T59" i="4"/>
  <c r="R59" i="4"/>
  <c r="I60" i="47" s="1"/>
  <c r="Q59" i="4"/>
  <c r="H60" i="47" s="1"/>
  <c r="O59" i="4"/>
  <c r="N59" i="4"/>
  <c r="F60" i="47"/>
  <c r="L59" i="4"/>
  <c r="E60" i="47" s="1"/>
  <c r="K59" i="4"/>
  <c r="D60" i="47" s="1"/>
  <c r="H59" i="4"/>
  <c r="G59" i="4"/>
  <c r="B60" i="47" s="1"/>
  <c r="C59" i="4"/>
  <c r="CM59" i="4" s="1"/>
  <c r="E58" i="4"/>
  <c r="AG57" i="4"/>
  <c r="AF57" i="4"/>
  <c r="AD57" i="4"/>
  <c r="Q58" i="47"/>
  <c r="AC57" i="4"/>
  <c r="P58" i="47" s="1"/>
  <c r="AA57" i="4"/>
  <c r="Z57" i="4"/>
  <c r="N58" i="47"/>
  <c r="X57" i="4"/>
  <c r="M58" i="47" s="1"/>
  <c r="W57" i="4"/>
  <c r="L58" i="47"/>
  <c r="U57" i="4"/>
  <c r="T57" i="4"/>
  <c r="J58" i="47" s="1"/>
  <c r="R57" i="4"/>
  <c r="I58" i="47"/>
  <c r="Q57" i="4"/>
  <c r="H58" i="47" s="1"/>
  <c r="O57" i="4"/>
  <c r="N57" i="4"/>
  <c r="F58" i="47"/>
  <c r="L57" i="4"/>
  <c r="E58" i="47" s="1"/>
  <c r="K57" i="4"/>
  <c r="D58" i="47"/>
  <c r="H57" i="4"/>
  <c r="C58" i="47" s="1"/>
  <c r="G57" i="4"/>
  <c r="B58" i="47"/>
  <c r="C57" i="4"/>
  <c r="CN57" i="4" s="1"/>
  <c r="E56" i="4"/>
  <c r="AG55" i="4"/>
  <c r="S56" i="47" s="1"/>
  <c r="AF55" i="4"/>
  <c r="R56" i="47" s="1"/>
  <c r="AD55" i="4"/>
  <c r="AC55" i="4"/>
  <c r="P56" i="47"/>
  <c r="AA55" i="4"/>
  <c r="O56" i="47" s="1"/>
  <c r="Z55" i="4"/>
  <c r="N56" i="47" s="1"/>
  <c r="X55" i="4"/>
  <c r="M56" i="47" s="1"/>
  <c r="W55" i="4"/>
  <c r="L56" i="47" s="1"/>
  <c r="U55" i="4"/>
  <c r="K56" i="47" s="1"/>
  <c r="T55" i="4"/>
  <c r="J56" i="47" s="1"/>
  <c r="R55" i="4"/>
  <c r="I56" i="47" s="1"/>
  <c r="Q55" i="4"/>
  <c r="H56" i="47"/>
  <c r="O55" i="4"/>
  <c r="N55" i="4"/>
  <c r="F56" i="47"/>
  <c r="L55" i="4"/>
  <c r="K55" i="4"/>
  <c r="D56" i="47" s="1"/>
  <c r="H55" i="4"/>
  <c r="G55" i="4"/>
  <c r="AG51" i="4"/>
  <c r="S52" i="47" s="1"/>
  <c r="AF51" i="4"/>
  <c r="R52" i="47"/>
  <c r="AD51" i="4"/>
  <c r="Q52" i="47" s="1"/>
  <c r="AC51" i="4"/>
  <c r="AA51" i="4"/>
  <c r="O52" i="47" s="1"/>
  <c r="Z51" i="4"/>
  <c r="X51" i="4"/>
  <c r="W51" i="4"/>
  <c r="U51" i="4"/>
  <c r="K52" i="47"/>
  <c r="T51" i="4"/>
  <c r="R51" i="4"/>
  <c r="Q51" i="4"/>
  <c r="O51" i="4"/>
  <c r="G52" i="47" s="1"/>
  <c r="N51" i="4"/>
  <c r="F52" i="47"/>
  <c r="L51" i="4"/>
  <c r="E52" i="47" s="1"/>
  <c r="K51" i="4"/>
  <c r="H51" i="4"/>
  <c r="G51" i="4"/>
  <c r="B52" i="47" s="1"/>
  <c r="C51" i="4"/>
  <c r="E51" i="4" s="1"/>
  <c r="E50" i="4"/>
  <c r="AG49" i="4"/>
  <c r="AF49" i="4"/>
  <c r="R50" i="47" s="1"/>
  <c r="AD49" i="4"/>
  <c r="Q50" i="47" s="1"/>
  <c r="AC49" i="4"/>
  <c r="AA49" i="4"/>
  <c r="Z49" i="4"/>
  <c r="X49" i="4"/>
  <c r="M50" i="47" s="1"/>
  <c r="W49" i="4"/>
  <c r="L50" i="47"/>
  <c r="U49" i="4"/>
  <c r="K50" i="47" s="1"/>
  <c r="T49" i="4"/>
  <c r="R49" i="4"/>
  <c r="I50" i="47" s="1"/>
  <c r="Q49" i="4"/>
  <c r="H50" i="47" s="1"/>
  <c r="O49" i="4"/>
  <c r="N49" i="4"/>
  <c r="F50" i="47" s="1"/>
  <c r="L49" i="4"/>
  <c r="K49" i="4"/>
  <c r="D50" i="47" s="1"/>
  <c r="H49" i="4"/>
  <c r="G49" i="4"/>
  <c r="B50" i="47"/>
  <c r="C49" i="4"/>
  <c r="CN49" i="4" s="1"/>
  <c r="E48" i="4"/>
  <c r="AG47" i="4"/>
  <c r="S48" i="47"/>
  <c r="AF47" i="4"/>
  <c r="R48" i="47" s="1"/>
  <c r="AD47" i="4"/>
  <c r="Q48" i="47" s="1"/>
  <c r="AC47" i="4"/>
  <c r="P48" i="47" s="1"/>
  <c r="AA47" i="4"/>
  <c r="O48" i="47" s="1"/>
  <c r="Z47" i="4"/>
  <c r="X47" i="4"/>
  <c r="M48" i="47" s="1"/>
  <c r="W47" i="4"/>
  <c r="L48" i="47" s="1"/>
  <c r="U47" i="4"/>
  <c r="T47" i="4"/>
  <c r="J48" i="47" s="1"/>
  <c r="R47" i="4"/>
  <c r="I48" i="47"/>
  <c r="Q47" i="4"/>
  <c r="H48" i="47" s="1"/>
  <c r="O47" i="4"/>
  <c r="N47" i="4"/>
  <c r="L47" i="4"/>
  <c r="E48" i="47" s="1"/>
  <c r="K47" i="4"/>
  <c r="D48" i="47"/>
  <c r="H47" i="4"/>
  <c r="G47" i="4"/>
  <c r="B48" i="47"/>
  <c r="C47" i="4"/>
  <c r="F47" i="4" s="1"/>
  <c r="E46" i="4"/>
  <c r="AG45" i="4"/>
  <c r="AF45" i="4"/>
  <c r="R46" i="47"/>
  <c r="AD45" i="4"/>
  <c r="Q46" i="47" s="1"/>
  <c r="AC45" i="4"/>
  <c r="AA45" i="4"/>
  <c r="O46" i="47" s="1"/>
  <c r="Z45" i="4"/>
  <c r="N46" i="47" s="1"/>
  <c r="X45" i="4"/>
  <c r="W45" i="4"/>
  <c r="L46" i="47" s="1"/>
  <c r="U45" i="4"/>
  <c r="T45" i="4"/>
  <c r="J46" i="47" s="1"/>
  <c r="R45" i="4"/>
  <c r="I46" i="47" s="1"/>
  <c r="Q45" i="4"/>
  <c r="H46" i="47" s="1"/>
  <c r="O45" i="4"/>
  <c r="N45" i="4"/>
  <c r="F46" i="47" s="1"/>
  <c r="L45" i="4"/>
  <c r="K45" i="4"/>
  <c r="H45" i="4"/>
  <c r="G45" i="4"/>
  <c r="B46" i="47" s="1"/>
  <c r="C45" i="4"/>
  <c r="CN45" i="4" s="1"/>
  <c r="E44" i="4"/>
  <c r="AG43" i="4"/>
  <c r="AF43" i="4"/>
  <c r="AD43" i="4"/>
  <c r="Q44" i="47" s="1"/>
  <c r="AC43" i="4"/>
  <c r="AA43" i="4"/>
  <c r="O44" i="47" s="1"/>
  <c r="Z43" i="4"/>
  <c r="X43" i="4"/>
  <c r="M44" i="47" s="1"/>
  <c r="W43" i="4"/>
  <c r="L44" i="47" s="1"/>
  <c r="U43" i="4"/>
  <c r="K44" i="47" s="1"/>
  <c r="T43" i="4"/>
  <c r="J44" i="47"/>
  <c r="R43" i="4"/>
  <c r="I44" i="47" s="1"/>
  <c r="Q43" i="4"/>
  <c r="H44" i="47" s="1"/>
  <c r="O43" i="4"/>
  <c r="N43" i="4"/>
  <c r="F44" i="47" s="1"/>
  <c r="L43" i="4"/>
  <c r="E44" i="47" s="1"/>
  <c r="K43" i="4"/>
  <c r="D44" i="47" s="1"/>
  <c r="H43" i="4"/>
  <c r="C44" i="47" s="1"/>
  <c r="G43" i="4"/>
  <c r="B44" i="47" s="1"/>
  <c r="C43" i="4"/>
  <c r="D43" i="4" s="1"/>
  <c r="E42" i="4"/>
  <c r="AG41" i="4"/>
  <c r="S42" i="47"/>
  <c r="AF41" i="4"/>
  <c r="R42" i="47"/>
  <c r="AD41" i="4"/>
  <c r="AC41" i="4"/>
  <c r="P42" i="47" s="1"/>
  <c r="AA41" i="4"/>
  <c r="O42" i="47"/>
  <c r="Z41" i="4"/>
  <c r="N42" i="47"/>
  <c r="X41" i="4"/>
  <c r="W41" i="4"/>
  <c r="L42" i="47" s="1"/>
  <c r="U41" i="4"/>
  <c r="T41" i="4"/>
  <c r="J42" i="47" s="1"/>
  <c r="R41" i="4"/>
  <c r="Q41" i="4"/>
  <c r="O41" i="4"/>
  <c r="G42" i="47" s="1"/>
  <c r="N41" i="4"/>
  <c r="L41" i="4"/>
  <c r="K41" i="4"/>
  <c r="H41" i="4"/>
  <c r="C42" i="47" s="1"/>
  <c r="G41" i="4"/>
  <c r="B42" i="47" s="1"/>
  <c r="C41" i="4"/>
  <c r="AB41" i="4" s="1"/>
  <c r="E40" i="4"/>
  <c r="AG39" i="4"/>
  <c r="AF39" i="4"/>
  <c r="AD39" i="4"/>
  <c r="Q40" i="47" s="1"/>
  <c r="AC39" i="4"/>
  <c r="P40" i="47" s="1"/>
  <c r="AA39" i="4"/>
  <c r="O40" i="47"/>
  <c r="Z39" i="4"/>
  <c r="N40" i="47" s="1"/>
  <c r="X39" i="4"/>
  <c r="W39" i="4"/>
  <c r="L40" i="47" s="1"/>
  <c r="U39" i="4"/>
  <c r="K40" i="47" s="1"/>
  <c r="T39" i="4"/>
  <c r="J40" i="47"/>
  <c r="R39" i="4"/>
  <c r="I40" i="47" s="1"/>
  <c r="Q39" i="4"/>
  <c r="O39" i="4"/>
  <c r="G40" i="47" s="1"/>
  <c r="N39" i="4"/>
  <c r="F40" i="47" s="1"/>
  <c r="L39" i="4"/>
  <c r="E40" i="47"/>
  <c r="K39" i="4"/>
  <c r="D40" i="47" s="1"/>
  <c r="H39" i="4"/>
  <c r="C40" i="47"/>
  <c r="G39" i="4"/>
  <c r="AG35" i="4"/>
  <c r="AF35" i="4"/>
  <c r="R36" i="47"/>
  <c r="AD35" i="4"/>
  <c r="Q36" i="47" s="1"/>
  <c r="AC35" i="4"/>
  <c r="AA35" i="4"/>
  <c r="O36" i="47"/>
  <c r="Z35" i="4"/>
  <c r="X35" i="4"/>
  <c r="W35" i="4"/>
  <c r="U35" i="4"/>
  <c r="K36" i="47"/>
  <c r="T35" i="4"/>
  <c r="J36" i="47"/>
  <c r="R35" i="4"/>
  <c r="I36" i="47"/>
  <c r="Q35" i="4"/>
  <c r="H36" i="47"/>
  <c r="O35" i="4"/>
  <c r="G36" i="47" s="1"/>
  <c r="N35" i="4"/>
  <c r="F36" i="47" s="1"/>
  <c r="L35" i="4"/>
  <c r="E36" i="47" s="1"/>
  <c r="K35" i="4"/>
  <c r="H35" i="4"/>
  <c r="C36" i="47"/>
  <c r="G35" i="4"/>
  <c r="B36" i="47"/>
  <c r="C35" i="4"/>
  <c r="CN35" i="4" s="1"/>
  <c r="E34" i="4"/>
  <c r="AG33" i="4"/>
  <c r="S34" i="47"/>
  <c r="AF33" i="4"/>
  <c r="AD33" i="4"/>
  <c r="AC33" i="4"/>
  <c r="AA33" i="4"/>
  <c r="O34" i="47" s="1"/>
  <c r="Z33" i="4"/>
  <c r="N34" i="47" s="1"/>
  <c r="X33" i="4"/>
  <c r="M34" i="47" s="1"/>
  <c r="W33" i="4"/>
  <c r="L34" i="47"/>
  <c r="U33" i="4"/>
  <c r="K34" i="47" s="1"/>
  <c r="T33" i="4"/>
  <c r="J34" i="47" s="1"/>
  <c r="R33" i="4"/>
  <c r="Q33" i="4"/>
  <c r="H34" i="47" s="1"/>
  <c r="O33" i="4"/>
  <c r="G34" i="47"/>
  <c r="N33" i="4"/>
  <c r="F34" i="47" s="1"/>
  <c r="L33" i="4"/>
  <c r="E34" i="47" s="1"/>
  <c r="K33" i="4"/>
  <c r="H33" i="4"/>
  <c r="C34" i="47" s="1"/>
  <c r="G33" i="4"/>
  <c r="B34" i="47" s="1"/>
  <c r="C33" i="4"/>
  <c r="E32" i="4"/>
  <c r="AG31" i="4"/>
  <c r="S32" i="47" s="1"/>
  <c r="AF31" i="4"/>
  <c r="AD31" i="4"/>
  <c r="AC31" i="4"/>
  <c r="AA31" i="4"/>
  <c r="O32" i="47" s="1"/>
  <c r="Z31" i="4"/>
  <c r="N32" i="47" s="1"/>
  <c r="X31" i="4"/>
  <c r="M32" i="47" s="1"/>
  <c r="W31" i="4"/>
  <c r="L32" i="47" s="1"/>
  <c r="U31" i="4"/>
  <c r="K32" i="47" s="1"/>
  <c r="T31" i="4"/>
  <c r="J32" i="47"/>
  <c r="R31" i="4"/>
  <c r="I32" i="47" s="1"/>
  <c r="Q31" i="4"/>
  <c r="O31" i="4"/>
  <c r="N31" i="4"/>
  <c r="F32" i="47"/>
  <c r="L31" i="4"/>
  <c r="K31" i="4"/>
  <c r="H31" i="4"/>
  <c r="C32" i="47"/>
  <c r="G31" i="4"/>
  <c r="B32" i="47" s="1"/>
  <c r="C31" i="4"/>
  <c r="C31" i="2" s="1"/>
  <c r="T31" i="2" s="1"/>
  <c r="E30" i="4"/>
  <c r="AG29" i="4"/>
  <c r="AF29" i="4"/>
  <c r="R30" i="47"/>
  <c r="AD29" i="4"/>
  <c r="Q30" i="47" s="1"/>
  <c r="AC29" i="4"/>
  <c r="P30" i="47" s="1"/>
  <c r="AA29" i="4"/>
  <c r="Z29" i="4"/>
  <c r="X29" i="4"/>
  <c r="M30" i="47" s="1"/>
  <c r="W29" i="4"/>
  <c r="L30" i="47" s="1"/>
  <c r="U29" i="4"/>
  <c r="T29" i="4"/>
  <c r="J30" i="47" s="1"/>
  <c r="R29" i="4"/>
  <c r="I30" i="47" s="1"/>
  <c r="Q29" i="4"/>
  <c r="O29" i="4"/>
  <c r="N29" i="4"/>
  <c r="F30" i="47" s="1"/>
  <c r="L29" i="4"/>
  <c r="E30" i="47"/>
  <c r="K29" i="4"/>
  <c r="D30" i="47" s="1"/>
  <c r="H29" i="4"/>
  <c r="G29" i="4"/>
  <c r="C29" i="4"/>
  <c r="E28" i="4"/>
  <c r="AG27" i="4"/>
  <c r="S28" i="47" s="1"/>
  <c r="AF27" i="4"/>
  <c r="AD27" i="4"/>
  <c r="Q28" i="47" s="1"/>
  <c r="AC27" i="4"/>
  <c r="P28" i="47" s="1"/>
  <c r="AA27" i="4"/>
  <c r="O28" i="47" s="1"/>
  <c r="Z27" i="4"/>
  <c r="N28" i="47" s="1"/>
  <c r="X27" i="4"/>
  <c r="M28" i="47" s="1"/>
  <c r="W27" i="4"/>
  <c r="U27" i="4"/>
  <c r="K28" i="47" s="1"/>
  <c r="T27" i="4"/>
  <c r="J28" i="47" s="1"/>
  <c r="R27" i="4"/>
  <c r="I28" i="47"/>
  <c r="Q27" i="4"/>
  <c r="O27" i="4"/>
  <c r="G28" i="47" s="1"/>
  <c r="N27" i="4"/>
  <c r="F28" i="47" s="1"/>
  <c r="L27" i="4"/>
  <c r="E28" i="47" s="1"/>
  <c r="K27" i="4"/>
  <c r="D28" i="47" s="1"/>
  <c r="H27" i="4"/>
  <c r="G27" i="4"/>
  <c r="B28" i="47"/>
  <c r="C27" i="4"/>
  <c r="P27" i="4" s="1"/>
  <c r="E26" i="4"/>
  <c r="AG25" i="4"/>
  <c r="S26" i="47"/>
  <c r="AF25" i="4"/>
  <c r="AD25" i="4"/>
  <c r="Q26" i="47" s="1"/>
  <c r="AC25" i="4"/>
  <c r="P26" i="47" s="1"/>
  <c r="AA25" i="4"/>
  <c r="O26" i="47" s="1"/>
  <c r="Z25" i="4"/>
  <c r="N26" i="47" s="1"/>
  <c r="X25" i="4"/>
  <c r="M26" i="47" s="1"/>
  <c r="W25" i="4"/>
  <c r="U25" i="4"/>
  <c r="K26" i="47"/>
  <c r="T25" i="4"/>
  <c r="R25" i="4"/>
  <c r="I26" i="47" s="1"/>
  <c r="Q25" i="4"/>
  <c r="H26" i="47" s="1"/>
  <c r="O25" i="4"/>
  <c r="N25" i="4"/>
  <c r="L25" i="4"/>
  <c r="K25" i="4"/>
  <c r="D26" i="47"/>
  <c r="H25" i="4"/>
  <c r="C26" i="47" s="1"/>
  <c r="G25" i="4"/>
  <c r="E24" i="4"/>
  <c r="AG23" i="4"/>
  <c r="S24" i="47" s="1"/>
  <c r="AF23" i="4"/>
  <c r="R24" i="47" s="1"/>
  <c r="AD23" i="4"/>
  <c r="Q24" i="47"/>
  <c r="AC23" i="4"/>
  <c r="P24" i="47" s="1"/>
  <c r="AA23" i="4"/>
  <c r="O24" i="47" s="1"/>
  <c r="Z23" i="4"/>
  <c r="N24" i="47" s="1"/>
  <c r="X23" i="4"/>
  <c r="M24" i="47" s="1"/>
  <c r="W23" i="4"/>
  <c r="L24" i="47" s="1"/>
  <c r="U23" i="4"/>
  <c r="T23" i="4"/>
  <c r="J24" i="47"/>
  <c r="R23" i="4"/>
  <c r="I24" i="47" s="1"/>
  <c r="Q23" i="4"/>
  <c r="H24" i="47" s="1"/>
  <c r="O23" i="4"/>
  <c r="G24" i="47"/>
  <c r="N23" i="4"/>
  <c r="L23" i="4"/>
  <c r="E24" i="47" s="1"/>
  <c r="K23" i="4"/>
  <c r="D24" i="47" s="1"/>
  <c r="H23" i="4"/>
  <c r="C24" i="47" s="1"/>
  <c r="G23" i="4"/>
  <c r="B24" i="47" s="1"/>
  <c r="AG19" i="4"/>
  <c r="AF19" i="4"/>
  <c r="R20" i="47" s="1"/>
  <c r="AG17" i="4"/>
  <c r="S18" i="47" s="1"/>
  <c r="AF17" i="4"/>
  <c r="R18" i="47" s="1"/>
  <c r="AG15" i="4"/>
  <c r="S16" i="47" s="1"/>
  <c r="AF15" i="4"/>
  <c r="R16" i="47"/>
  <c r="AG13" i="4"/>
  <c r="S14" i="47" s="1"/>
  <c r="AF13" i="4"/>
  <c r="AG11" i="4"/>
  <c r="AF11" i="4"/>
  <c r="R12" i="47" s="1"/>
  <c r="AG9" i="4"/>
  <c r="S10" i="47" s="1"/>
  <c r="AF9" i="4"/>
  <c r="R10" i="47" s="1"/>
  <c r="AG7" i="4"/>
  <c r="S8" i="47" s="1"/>
  <c r="AF7" i="4"/>
  <c r="R8" i="47" s="1"/>
  <c r="C19" i="4"/>
  <c r="D19" i="4" s="1"/>
  <c r="C134" i="47"/>
  <c r="B134" i="47"/>
  <c r="T118" i="47"/>
  <c r="T70" i="47"/>
  <c r="T4" i="47"/>
  <c r="B3" i="47"/>
  <c r="E4" i="37"/>
  <c r="C11" i="10"/>
  <c r="E9" i="37"/>
  <c r="E8" i="37"/>
  <c r="D6" i="10"/>
  <c r="E7" i="37"/>
  <c r="E6" i="37"/>
  <c r="D2" i="10"/>
  <c r="E5" i="15"/>
  <c r="C2" i="10"/>
  <c r="C4" i="10"/>
  <c r="D4" i="10"/>
  <c r="C6" i="10"/>
  <c r="C8" i="10"/>
  <c r="D8" i="10"/>
  <c r="G1" i="4"/>
  <c r="G1" i="2" s="1"/>
  <c r="AF1" i="4"/>
  <c r="AI1" i="4"/>
  <c r="B2" i="4"/>
  <c r="B2" i="2" s="1"/>
  <c r="A5" i="4"/>
  <c r="G7" i="4"/>
  <c r="B8" i="47" s="1"/>
  <c r="H7" i="4"/>
  <c r="C8" i="47" s="1"/>
  <c r="K7" i="4"/>
  <c r="L7" i="4"/>
  <c r="N7" i="4"/>
  <c r="F8" i="47" s="1"/>
  <c r="O7" i="4"/>
  <c r="G8" i="47" s="1"/>
  <c r="Q7" i="4"/>
  <c r="H8" i="47" s="1"/>
  <c r="R7" i="4"/>
  <c r="I8" i="47"/>
  <c r="T7" i="4"/>
  <c r="J8" i="47" s="1"/>
  <c r="U7" i="4"/>
  <c r="K8" i="47" s="1"/>
  <c r="W7" i="4"/>
  <c r="L8" i="47" s="1"/>
  <c r="X7" i="4"/>
  <c r="M8" i="47"/>
  <c r="Z7" i="4"/>
  <c r="N8" i="47" s="1"/>
  <c r="AA7" i="4"/>
  <c r="O8" i="47" s="1"/>
  <c r="AC7" i="4"/>
  <c r="P8" i="47" s="1"/>
  <c r="AD7" i="4"/>
  <c r="Q8" i="47" s="1"/>
  <c r="E8" i="4"/>
  <c r="A9" i="4"/>
  <c r="A9" i="2" s="1"/>
  <c r="G9" i="4"/>
  <c r="B10" i="47" s="1"/>
  <c r="H9" i="4"/>
  <c r="C10" i="47" s="1"/>
  <c r="K9" i="4"/>
  <c r="D10" i="47" s="1"/>
  <c r="L9" i="4"/>
  <c r="E10" i="47" s="1"/>
  <c r="N9" i="4"/>
  <c r="F10" i="47" s="1"/>
  <c r="O9" i="4"/>
  <c r="G10" i="47" s="1"/>
  <c r="Q9" i="4"/>
  <c r="H10" i="47" s="1"/>
  <c r="R9" i="4"/>
  <c r="I10" i="47" s="1"/>
  <c r="T9" i="4"/>
  <c r="J10" i="47" s="1"/>
  <c r="U9" i="4"/>
  <c r="K10" i="47" s="1"/>
  <c r="W9" i="4"/>
  <c r="L10" i="47" s="1"/>
  <c r="X9" i="4"/>
  <c r="Z9" i="4"/>
  <c r="AA9" i="4"/>
  <c r="AC9" i="4"/>
  <c r="P10" i="47" s="1"/>
  <c r="AD9" i="4"/>
  <c r="Q10" i="47" s="1"/>
  <c r="E10" i="4"/>
  <c r="A11" i="4"/>
  <c r="G11" i="4"/>
  <c r="H11" i="4"/>
  <c r="C12" i="47" s="1"/>
  <c r="K11" i="4"/>
  <c r="L11" i="4"/>
  <c r="E12" i="47" s="1"/>
  <c r="N11" i="4"/>
  <c r="F12" i="47"/>
  <c r="O11" i="4"/>
  <c r="G12" i="47"/>
  <c r="Q11" i="4"/>
  <c r="H12" i="47"/>
  <c r="R11" i="4"/>
  <c r="T11" i="4"/>
  <c r="U11" i="4"/>
  <c r="W11" i="4"/>
  <c r="L12" i="47" s="1"/>
  <c r="X11" i="4"/>
  <c r="M12" i="47" s="1"/>
  <c r="Z11" i="4"/>
  <c r="N12" i="47" s="1"/>
  <c r="AA11" i="4"/>
  <c r="O12" i="47" s="1"/>
  <c r="AC11" i="4"/>
  <c r="AD11" i="4"/>
  <c r="Q12" i="47" s="1"/>
  <c r="E12" i="4"/>
  <c r="A13" i="4"/>
  <c r="A14" i="47" s="1"/>
  <c r="G13" i="4"/>
  <c r="H13" i="4"/>
  <c r="C14" i="47"/>
  <c r="K13" i="4"/>
  <c r="D14" i="47" s="1"/>
  <c r="L13" i="4"/>
  <c r="N13" i="4"/>
  <c r="F14" i="47"/>
  <c r="O13" i="4"/>
  <c r="G14" i="47" s="1"/>
  <c r="Q13" i="4"/>
  <c r="R13" i="4"/>
  <c r="I14" i="47"/>
  <c r="T13" i="4"/>
  <c r="J14" i="47"/>
  <c r="U13" i="4"/>
  <c r="W13" i="4"/>
  <c r="X13" i="4"/>
  <c r="M14" i="47"/>
  <c r="Z13" i="4"/>
  <c r="N14" i="47"/>
  <c r="AA13" i="4"/>
  <c r="AC13" i="4"/>
  <c r="P14" i="47" s="1"/>
  <c r="AD13" i="4"/>
  <c r="Q14" i="47"/>
  <c r="E14" i="4"/>
  <c r="A15" i="4"/>
  <c r="G15" i="4"/>
  <c r="B16" i="47"/>
  <c r="H15" i="4"/>
  <c r="K15" i="4"/>
  <c r="L15" i="4"/>
  <c r="N15" i="4"/>
  <c r="F16" i="47" s="1"/>
  <c r="O15" i="4"/>
  <c r="G16" i="47" s="1"/>
  <c r="Q15" i="4"/>
  <c r="H16" i="47" s="1"/>
  <c r="R15" i="4"/>
  <c r="I16" i="47"/>
  <c r="T15" i="4"/>
  <c r="U15" i="4"/>
  <c r="K16" i="47" s="1"/>
  <c r="W15" i="4"/>
  <c r="L16" i="47"/>
  <c r="X15" i="4"/>
  <c r="M16" i="47" s="1"/>
  <c r="Z15" i="4"/>
  <c r="N16" i="47" s="1"/>
  <c r="AA15" i="4"/>
  <c r="AC15" i="4"/>
  <c r="P16" i="47"/>
  <c r="AD15" i="4"/>
  <c r="Q16" i="47"/>
  <c r="E16" i="4"/>
  <c r="A17" i="4"/>
  <c r="G17" i="4"/>
  <c r="H17" i="4"/>
  <c r="C18" i="47"/>
  <c r="K17" i="4"/>
  <c r="D18" i="47"/>
  <c r="L17" i="4"/>
  <c r="N17" i="4"/>
  <c r="F18" i="47" s="1"/>
  <c r="O17" i="4"/>
  <c r="G18" i="47" s="1"/>
  <c r="Q17" i="4"/>
  <c r="R17" i="4"/>
  <c r="I18" i="47" s="1"/>
  <c r="T17" i="4"/>
  <c r="J18" i="47"/>
  <c r="U17" i="4"/>
  <c r="W17" i="4"/>
  <c r="L18" i="47" s="1"/>
  <c r="X17" i="4"/>
  <c r="M18" i="47" s="1"/>
  <c r="Z17" i="4"/>
  <c r="AA17" i="4"/>
  <c r="O18" i="47" s="1"/>
  <c r="AC17" i="4"/>
  <c r="P18" i="47" s="1"/>
  <c r="AD17" i="4"/>
  <c r="Q18" i="47" s="1"/>
  <c r="E18" i="4"/>
  <c r="A19" i="4"/>
  <c r="G19" i="4"/>
  <c r="H19" i="4"/>
  <c r="C20" i="47" s="1"/>
  <c r="K19" i="4"/>
  <c r="D20" i="47" s="1"/>
  <c r="L19" i="4"/>
  <c r="E20" i="47" s="1"/>
  <c r="N19" i="4"/>
  <c r="F20" i="47" s="1"/>
  <c r="O19" i="4"/>
  <c r="G20" i="47" s="1"/>
  <c r="Q19" i="4"/>
  <c r="H20" i="47"/>
  <c r="R19" i="4"/>
  <c r="T19" i="4"/>
  <c r="U19" i="4"/>
  <c r="K20" i="47"/>
  <c r="W19" i="4"/>
  <c r="X19" i="4"/>
  <c r="M20" i="47" s="1"/>
  <c r="Z19" i="4"/>
  <c r="AA19" i="4"/>
  <c r="O20" i="47" s="1"/>
  <c r="AC19" i="4"/>
  <c r="P20" i="47" s="1"/>
  <c r="AD19" i="4"/>
  <c r="Q20" i="47" s="1"/>
  <c r="A21" i="4"/>
  <c r="A22" i="47" s="1"/>
  <c r="F24" i="47"/>
  <c r="A25" i="4"/>
  <c r="A25" i="2" s="1"/>
  <c r="L26" i="47"/>
  <c r="A27" i="4"/>
  <c r="A27" i="2" s="1"/>
  <c r="A28" i="47"/>
  <c r="A29" i="4"/>
  <c r="A29" i="2" s="1"/>
  <c r="A31" i="4"/>
  <c r="A32" i="47" s="1"/>
  <c r="E32" i="47"/>
  <c r="R32" i="47"/>
  <c r="A33" i="4"/>
  <c r="Q34" i="47"/>
  <c r="A35" i="4"/>
  <c r="A35" i="2" s="1"/>
  <c r="L36" i="47"/>
  <c r="A37" i="4"/>
  <c r="A38" i="47" s="1"/>
  <c r="H40" i="47"/>
  <c r="A41" i="4"/>
  <c r="A41" i="2" s="1"/>
  <c r="K42" i="47"/>
  <c r="Q42" i="47"/>
  <c r="A43" i="4"/>
  <c r="A44" i="47"/>
  <c r="A43" i="2"/>
  <c r="A45" i="4"/>
  <c r="A45" i="2" s="1"/>
  <c r="A47" i="4"/>
  <c r="A47" i="2" s="1"/>
  <c r="A49" i="4"/>
  <c r="S50" i="47"/>
  <c r="A51" i="4"/>
  <c r="H52" i="47"/>
  <c r="A53" i="4"/>
  <c r="C56" i="47"/>
  <c r="G56" i="47"/>
  <c r="A57" i="4"/>
  <c r="K58" i="47"/>
  <c r="R58" i="47"/>
  <c r="A59" i="4"/>
  <c r="A61" i="4"/>
  <c r="O62" i="47"/>
  <c r="A63" i="4"/>
  <c r="A63" i="2"/>
  <c r="F64" i="47"/>
  <c r="L64" i="47"/>
  <c r="P64" i="47"/>
  <c r="A65" i="4"/>
  <c r="O66" i="47"/>
  <c r="P66" i="47"/>
  <c r="S66" i="47"/>
  <c r="A67" i="4"/>
  <c r="A67" i="2" s="1"/>
  <c r="N68" i="47"/>
  <c r="A69" i="4"/>
  <c r="S72" i="47"/>
  <c r="A73" i="4"/>
  <c r="A74" i="47" s="1"/>
  <c r="G74" i="47"/>
  <c r="O74" i="47"/>
  <c r="A75" i="4"/>
  <c r="A75" i="2" s="1"/>
  <c r="A77" i="4"/>
  <c r="L78" i="47"/>
  <c r="P78" i="47"/>
  <c r="A79" i="4"/>
  <c r="A79" i="2" s="1"/>
  <c r="N80" i="47"/>
  <c r="P80" i="47"/>
  <c r="A81" i="4"/>
  <c r="A82" i="47" s="1"/>
  <c r="G82" i="47"/>
  <c r="I82" i="47"/>
  <c r="R82" i="47"/>
  <c r="S82" i="47"/>
  <c r="A83" i="4"/>
  <c r="A84" i="47" s="1"/>
  <c r="A85" i="4"/>
  <c r="Q88" i="47"/>
  <c r="A89" i="4"/>
  <c r="B90" i="47"/>
  <c r="D90" i="47"/>
  <c r="J90" i="47"/>
  <c r="L90" i="47"/>
  <c r="M90" i="47"/>
  <c r="N90" i="47"/>
  <c r="A91" i="4"/>
  <c r="A92" i="47" s="1"/>
  <c r="C92" i="47"/>
  <c r="E92" i="47"/>
  <c r="I92" i="47"/>
  <c r="J92" i="47"/>
  <c r="M92" i="47"/>
  <c r="A93" i="4"/>
  <c r="A94" i="47" s="1"/>
  <c r="J94" i="47"/>
  <c r="R94" i="47"/>
  <c r="A95" i="4"/>
  <c r="B96" i="47"/>
  <c r="F96" i="47"/>
  <c r="S96" i="47"/>
  <c r="A97" i="4"/>
  <c r="A98" i="47" s="1"/>
  <c r="S98" i="47"/>
  <c r="A99" i="4"/>
  <c r="E100" i="47"/>
  <c r="J100" i="47"/>
  <c r="M100" i="47"/>
  <c r="Q100" i="47"/>
  <c r="S100" i="47"/>
  <c r="A101" i="4"/>
  <c r="A102" i="47" s="1"/>
  <c r="K104" i="47"/>
  <c r="A105" i="4"/>
  <c r="D106" i="47"/>
  <c r="F106" i="47"/>
  <c r="K106" i="47"/>
  <c r="L106" i="47"/>
  <c r="R106" i="47"/>
  <c r="A107" i="4"/>
  <c r="H108" i="47"/>
  <c r="A109" i="4"/>
  <c r="A110" i="47" s="1"/>
  <c r="G110" i="47"/>
  <c r="A111" i="4"/>
  <c r="A111" i="2" s="1"/>
  <c r="A113" i="4"/>
  <c r="N114" i="47"/>
  <c r="P114" i="47"/>
  <c r="A115" i="4"/>
  <c r="A115" i="2"/>
  <c r="G116" i="47"/>
  <c r="K116" i="47"/>
  <c r="A117" i="4"/>
  <c r="A117" i="2"/>
  <c r="A119" i="4"/>
  <c r="A119" i="2"/>
  <c r="F120" i="47"/>
  <c r="J120" i="47"/>
  <c r="A121" i="4"/>
  <c r="A121" i="2" s="1"/>
  <c r="I122" i="47"/>
  <c r="M122" i="47"/>
  <c r="A123" i="4"/>
  <c r="A123" i="2" s="1"/>
  <c r="A125" i="4"/>
  <c r="A125" i="2" s="1"/>
  <c r="I126" i="47"/>
  <c r="K126" i="47"/>
  <c r="O126" i="47"/>
  <c r="Q126" i="47"/>
  <c r="A127" i="4"/>
  <c r="A128" i="47" s="1"/>
  <c r="B128" i="47"/>
  <c r="H128" i="47"/>
  <c r="L128" i="47"/>
  <c r="P128" i="47"/>
  <c r="R128" i="47"/>
  <c r="A129" i="4"/>
  <c r="D130" i="47"/>
  <c r="L130" i="47"/>
  <c r="P130" i="47"/>
  <c r="Q130" i="47"/>
  <c r="A131" i="4"/>
  <c r="C132" i="47"/>
  <c r="F132" i="47"/>
  <c r="S132" i="47"/>
  <c r="A135" i="4"/>
  <c r="C135" i="2"/>
  <c r="D136" i="4"/>
  <c r="E136" i="4"/>
  <c r="G137" i="4"/>
  <c r="H137" i="4"/>
  <c r="I137" i="4" s="1"/>
  <c r="K137" i="4"/>
  <c r="L137" i="4"/>
  <c r="E134" i="47" s="1"/>
  <c r="N137" i="4"/>
  <c r="O137" i="4"/>
  <c r="G134" i="47"/>
  <c r="Q137" i="4"/>
  <c r="H134" i="47" s="1"/>
  <c r="R137" i="4"/>
  <c r="I134" i="47" s="1"/>
  <c r="T137" i="4"/>
  <c r="J134" i="47" s="1"/>
  <c r="U137" i="4"/>
  <c r="K134" i="47"/>
  <c r="W137" i="4"/>
  <c r="L134" i="47" s="1"/>
  <c r="X137" i="4"/>
  <c r="M134" i="47" s="1"/>
  <c r="Z137" i="4"/>
  <c r="N134" i="47" s="1"/>
  <c r="AA137" i="4"/>
  <c r="O134" i="47"/>
  <c r="AC137" i="4"/>
  <c r="P134" i="47" s="1"/>
  <c r="AD137" i="4"/>
  <c r="Q134" i="47" s="1"/>
  <c r="AF137" i="4"/>
  <c r="R134" i="47" s="1"/>
  <c r="AG137" i="4"/>
  <c r="S134" i="47" s="1"/>
  <c r="D138" i="4"/>
  <c r="E138" i="4"/>
  <c r="F138" i="4"/>
  <c r="B144" i="4"/>
  <c r="AH1" i="2"/>
  <c r="D136" i="2"/>
  <c r="E136" i="2"/>
  <c r="C137" i="2"/>
  <c r="D138" i="2"/>
  <c r="E138" i="2"/>
  <c r="A145" i="2"/>
  <c r="A146" i="2"/>
  <c r="Q68" i="47"/>
  <c r="M52" i="47"/>
  <c r="I42" i="47"/>
  <c r="O120" i="47"/>
  <c r="S90" i="47"/>
  <c r="B80" i="47"/>
  <c r="P52" i="47"/>
  <c r="J52" i="47"/>
  <c r="C46" i="47"/>
  <c r="H42" i="47"/>
  <c r="S36" i="47"/>
  <c r="J108" i="47"/>
  <c r="J76" i="47"/>
  <c r="H76" i="47"/>
  <c r="O50" i="47"/>
  <c r="N48" i="47"/>
  <c r="P46" i="47"/>
  <c r="D46" i="47"/>
  <c r="P44" i="47"/>
  <c r="E42" i="47"/>
  <c r="P32" i="47"/>
  <c r="O106" i="47"/>
  <c r="J96" i="47"/>
  <c r="K84" i="47"/>
  <c r="B76" i="47"/>
  <c r="N72" i="47"/>
  <c r="G62" i="47"/>
  <c r="P50" i="47"/>
  <c r="M46" i="47"/>
  <c r="G46" i="47"/>
  <c r="C30" i="47"/>
  <c r="K24" i="47"/>
  <c r="O14" i="47"/>
  <c r="K14" i="47"/>
  <c r="B14" i="47"/>
  <c r="F26" i="47"/>
  <c r="D42" i="47"/>
  <c r="S30" i="47"/>
  <c r="O30" i="47"/>
  <c r="G30" i="47"/>
  <c r="N18" i="47"/>
  <c r="K18" i="47"/>
  <c r="S12" i="47"/>
  <c r="K12" i="47"/>
  <c r="D8" i="47"/>
  <c r="A10" i="47"/>
  <c r="R40" i="47"/>
  <c r="L28" i="47"/>
  <c r="A39" i="4"/>
  <c r="A39" i="2" s="1"/>
  <c r="T38" i="47"/>
  <c r="T22" i="47"/>
  <c r="O72" i="47"/>
  <c r="K68" i="47"/>
  <c r="A60" i="47"/>
  <c r="A59" i="2"/>
  <c r="E56" i="47"/>
  <c r="I52" i="47"/>
  <c r="K48" i="47"/>
  <c r="S46" i="47"/>
  <c r="E46" i="47"/>
  <c r="S44" i="47"/>
  <c r="A42" i="47"/>
  <c r="M40" i="47"/>
  <c r="B40" i="47"/>
  <c r="D36" i="47"/>
  <c r="E8" i="47"/>
  <c r="G44" i="47"/>
  <c r="G48" i="47"/>
  <c r="G58" i="47"/>
  <c r="R62" i="47"/>
  <c r="O58" i="47"/>
  <c r="G72" i="47"/>
  <c r="Q56" i="47"/>
  <c r="L110" i="47"/>
  <c r="F114" i="47"/>
  <c r="M120" i="47"/>
  <c r="C110" i="47"/>
  <c r="S122" i="47"/>
  <c r="K76" i="47"/>
  <c r="E18" i="47"/>
  <c r="F126" i="47"/>
  <c r="A64" i="47"/>
  <c r="P132" i="47"/>
  <c r="Q120" i="47"/>
  <c r="J110" i="47"/>
  <c r="N106" i="47"/>
  <c r="J106" i="47"/>
  <c r="F48" i="47"/>
  <c r="C100" i="47"/>
  <c r="F98" i="47"/>
  <c r="R28" i="47"/>
  <c r="G26" i="47"/>
  <c r="A118" i="47"/>
  <c r="L52" i="47"/>
  <c r="O116" i="47"/>
  <c r="A116" i="47"/>
  <c r="C17" i="4"/>
  <c r="CM17" i="4" s="1"/>
  <c r="C15" i="4"/>
  <c r="F15" i="4" s="1"/>
  <c r="C13" i="4"/>
  <c r="CM13" i="4" s="1"/>
  <c r="C11" i="4"/>
  <c r="CM11" i="4" s="1"/>
  <c r="C9" i="4"/>
  <c r="V9" i="4" s="1"/>
  <c r="D132" i="47"/>
  <c r="Q122" i="47"/>
  <c r="O128" i="47"/>
  <c r="K82" i="47"/>
  <c r="D82" i="47"/>
  <c r="M80" i="47"/>
  <c r="J78" i="47"/>
  <c r="I68" i="47"/>
  <c r="L66" i="47"/>
  <c r="N30" i="47"/>
  <c r="M36" i="47"/>
  <c r="P36" i="47"/>
  <c r="L20" i="47"/>
  <c r="K46" i="47"/>
  <c r="I105" i="4"/>
  <c r="C25" i="4"/>
  <c r="CM25" i="4" s="1"/>
  <c r="A48" i="47"/>
  <c r="K30" i="47"/>
  <c r="D32" i="47"/>
  <c r="C50" i="47"/>
  <c r="N50" i="47"/>
  <c r="G60" i="47"/>
  <c r="K60" i="47"/>
  <c r="E78" i="47"/>
  <c r="B84" i="47"/>
  <c r="S94" i="47"/>
  <c r="F110" i="47"/>
  <c r="D52" i="47"/>
  <c r="M64" i="47"/>
  <c r="S64" i="47"/>
  <c r="K66" i="47"/>
  <c r="J116" i="47"/>
  <c r="N116" i="47"/>
  <c r="R116" i="47"/>
  <c r="B120" i="47"/>
  <c r="N120" i="47"/>
  <c r="R120" i="47"/>
  <c r="R122" i="47"/>
  <c r="F124" i="47"/>
  <c r="J124" i="47"/>
  <c r="I132" i="47"/>
  <c r="O132" i="47"/>
  <c r="A51" i="2"/>
  <c r="A52" i="47"/>
  <c r="A21" i="2"/>
  <c r="I20" i="47"/>
  <c r="E16" i="47"/>
  <c r="C16" i="47"/>
  <c r="R14" i="47"/>
  <c r="R34" i="47"/>
  <c r="B56" i="47"/>
  <c r="J72" i="47"/>
  <c r="L72" i="47"/>
  <c r="P72" i="47"/>
  <c r="P90" i="47"/>
  <c r="C108" i="47"/>
  <c r="G112" i="47"/>
  <c r="M42" i="47"/>
  <c r="L98" i="47"/>
  <c r="F99" i="4"/>
  <c r="N20" i="47"/>
  <c r="B18" i="47"/>
  <c r="M10" i="47"/>
  <c r="H18" i="47"/>
  <c r="J12" i="47"/>
  <c r="J16" i="47"/>
  <c r="D12" i="47"/>
  <c r="F12" i="49"/>
  <c r="CN73" i="4"/>
  <c r="E2" i="49"/>
  <c r="F1" i="49"/>
  <c r="E1" i="49"/>
  <c r="D1" i="49"/>
  <c r="AE89" i="4"/>
  <c r="E65" i="4"/>
  <c r="CN91" i="4"/>
  <c r="F91" i="4"/>
  <c r="D129" i="4"/>
  <c r="D15" i="4"/>
  <c r="F61" i="4"/>
  <c r="D97" i="4"/>
  <c r="A73" i="2"/>
  <c r="A46" i="47"/>
  <c r="V115" i="4"/>
  <c r="F115" i="4"/>
  <c r="E115" i="4"/>
  <c r="CN115" i="4"/>
  <c r="D115" i="4"/>
  <c r="Y123" i="4"/>
  <c r="CM125" i="4"/>
  <c r="P129" i="4"/>
  <c r="E129" i="4"/>
  <c r="CN129" i="4"/>
  <c r="M131" i="4"/>
  <c r="D49" i="4"/>
  <c r="Y49" i="4"/>
  <c r="S99" i="4"/>
  <c r="E91" i="4"/>
  <c r="S91" i="4"/>
  <c r="P105" i="4"/>
  <c r="A65" i="2"/>
  <c r="A66" i="47"/>
  <c r="E14" i="47"/>
  <c r="N10" i="47"/>
  <c r="B26" i="47"/>
  <c r="S40" i="47"/>
  <c r="J60" i="47"/>
  <c r="N60" i="47"/>
  <c r="F62" i="47"/>
  <c r="D84" i="47"/>
  <c r="H84" i="47"/>
  <c r="P84" i="47"/>
  <c r="K88" i="47"/>
  <c r="O88" i="47"/>
  <c r="Q92" i="47"/>
  <c r="AE91" i="4"/>
  <c r="CM93" i="4"/>
  <c r="F93" i="4"/>
  <c r="L94" i="47"/>
  <c r="P94" i="47"/>
  <c r="P96" i="47"/>
  <c r="B104" i="47"/>
  <c r="F104" i="47"/>
  <c r="Q104" i="47"/>
  <c r="M137" i="4"/>
  <c r="D134" i="47"/>
  <c r="A101" i="2"/>
  <c r="A100" i="47"/>
  <c r="A99" i="2"/>
  <c r="E50" i="47"/>
  <c r="B110" i="47"/>
  <c r="S137" i="4"/>
  <c r="A81" i="2"/>
  <c r="N44" i="47"/>
  <c r="E112" i="47"/>
  <c r="M116" i="47"/>
  <c r="C117" i="4"/>
  <c r="BG132" i="4" s="1"/>
  <c r="C119" i="4"/>
  <c r="CM119" i="4" s="1"/>
  <c r="A120" i="47"/>
  <c r="A87" i="4"/>
  <c r="A87" i="2" s="1"/>
  <c r="T6" i="47"/>
  <c r="G50" i="47"/>
  <c r="E26" i="47"/>
  <c r="R26" i="47"/>
  <c r="Q32" i="47"/>
  <c r="C33" i="2"/>
  <c r="Y33" i="2" s="1"/>
  <c r="N52" i="47"/>
  <c r="F66" i="47"/>
  <c r="A55" i="4"/>
  <c r="A56" i="47" s="1"/>
  <c r="T54" i="47"/>
  <c r="A68" i="47"/>
  <c r="P34" i="47"/>
  <c r="A31" i="2"/>
  <c r="G32" i="47"/>
  <c r="A23" i="2"/>
  <c r="H32" i="47"/>
  <c r="D34" i="47"/>
  <c r="I66" i="47"/>
  <c r="A112" i="47"/>
  <c r="F82" i="47"/>
  <c r="D74" i="47"/>
  <c r="E116" i="47"/>
  <c r="A93" i="2"/>
  <c r="A91" i="2"/>
  <c r="H74" i="47"/>
  <c r="L76" i="47"/>
  <c r="Q82" i="47"/>
  <c r="AE81" i="4"/>
  <c r="E83" i="4"/>
  <c r="M91" i="4"/>
  <c r="S92" i="47"/>
  <c r="J98" i="47"/>
  <c r="CM107" i="4"/>
  <c r="N110" i="47"/>
  <c r="B116" i="47"/>
  <c r="I115" i="4"/>
  <c r="C125" i="2"/>
  <c r="P125" i="2" s="1"/>
  <c r="O130" i="47"/>
  <c r="S130" i="47"/>
  <c r="J132" i="47"/>
  <c r="T102" i="47"/>
  <c r="A103" i="4"/>
  <c r="AB125" i="4"/>
  <c r="V83" i="4"/>
  <c r="J84" i="47"/>
  <c r="N100" i="47"/>
  <c r="G124" i="47"/>
  <c r="AB127" i="4"/>
  <c r="M128" i="47"/>
  <c r="Q128" i="47"/>
  <c r="AE127" i="4"/>
  <c r="C84" i="47"/>
  <c r="G84" i="47"/>
  <c r="A108" i="47"/>
  <c r="A107" i="2"/>
  <c r="Q74" i="47"/>
  <c r="S84" i="47"/>
  <c r="AH83" i="4"/>
  <c r="S123" i="4"/>
  <c r="S97" i="4"/>
  <c r="B82" i="47"/>
  <c r="C60" i="47"/>
  <c r="I59" i="4"/>
  <c r="E67" i="4"/>
  <c r="A72" i="47"/>
  <c r="A6" i="47"/>
  <c r="A5" i="2"/>
  <c r="CN61" i="4"/>
  <c r="C61" i="2"/>
  <c r="AB61" i="2" s="1"/>
  <c r="E61" i="4"/>
  <c r="D61" i="4"/>
  <c r="AE61" i="4"/>
  <c r="M61" i="4"/>
  <c r="C64" i="47"/>
  <c r="C66" i="47"/>
  <c r="B74" i="47"/>
  <c r="C76" i="47"/>
  <c r="P79" i="4"/>
  <c r="V79" i="4"/>
  <c r="C79" i="2"/>
  <c r="S79" i="2" s="1"/>
  <c r="I79" i="4"/>
  <c r="AE17" i="4"/>
  <c r="A20" i="47"/>
  <c r="A19" i="2"/>
  <c r="D35" i="4"/>
  <c r="C35" i="2"/>
  <c r="Z35" i="2" s="1"/>
  <c r="CM35" i="4"/>
  <c r="F107" i="4"/>
  <c r="E107" i="4"/>
  <c r="M107" i="4"/>
  <c r="S107" i="4"/>
  <c r="CN107" i="4"/>
  <c r="AH107" i="4"/>
  <c r="C28" i="47"/>
  <c r="C29" i="2"/>
  <c r="AH29" i="4"/>
  <c r="AH15" i="4"/>
  <c r="S15" i="4"/>
  <c r="I49" i="4"/>
  <c r="Y51" i="4"/>
  <c r="C78" i="47"/>
  <c r="CN105" i="4"/>
  <c r="C105" i="2"/>
  <c r="AH105" i="2" s="1"/>
  <c r="AH106" i="2" s="1"/>
  <c r="M109" i="4"/>
  <c r="F109" i="4"/>
  <c r="A109" i="2"/>
  <c r="A97" i="2"/>
  <c r="A80" i="47"/>
  <c r="A30" i="47"/>
  <c r="F27" i="4"/>
  <c r="C52" i="47"/>
  <c r="A54" i="47"/>
  <c r="A53" i="2"/>
  <c r="A37" i="2"/>
  <c r="P59" i="4"/>
  <c r="F59" i="4"/>
  <c r="C68" i="47"/>
  <c r="F89" i="4"/>
  <c r="E89" i="4"/>
  <c r="I31" i="4"/>
  <c r="I111" i="4"/>
  <c r="F111" i="4"/>
  <c r="CN121" i="4"/>
  <c r="F121" i="4"/>
  <c r="E121" i="4"/>
  <c r="V121" i="4"/>
  <c r="AE121" i="4"/>
  <c r="S125" i="4"/>
  <c r="AE125" i="4"/>
  <c r="Y125" i="4"/>
  <c r="M125" i="4"/>
  <c r="AB111" i="4"/>
  <c r="D111" i="4"/>
  <c r="D125" i="4"/>
  <c r="P119" i="4"/>
  <c r="C47" i="2"/>
  <c r="V47" i="2" s="1"/>
  <c r="AH47" i="4"/>
  <c r="CM47" i="4"/>
  <c r="S47" i="4"/>
  <c r="V47" i="4"/>
  <c r="CN47" i="4"/>
  <c r="M47" i="4"/>
  <c r="AE47" i="4"/>
  <c r="C57" i="2"/>
  <c r="N57" i="2" s="1"/>
  <c r="CN95" i="4"/>
  <c r="D95" i="4"/>
  <c r="F95" i="4"/>
  <c r="P113" i="4"/>
  <c r="AH113" i="4"/>
  <c r="W33" i="2"/>
  <c r="P121" i="4"/>
  <c r="V125" i="4"/>
  <c r="P125" i="4"/>
  <c r="D47" i="4"/>
  <c r="D29" i="4"/>
  <c r="AB29" i="4"/>
  <c r="CM29" i="4"/>
  <c r="P29" i="4"/>
  <c r="V29" i="4"/>
  <c r="E29" i="4"/>
  <c r="CN29" i="4"/>
  <c r="M29" i="4"/>
  <c r="F29" i="4"/>
  <c r="AE29" i="4"/>
  <c r="CM43" i="4"/>
  <c r="E45" i="4"/>
  <c r="D45" i="4"/>
  <c r="Y89" i="4"/>
  <c r="M89" i="4"/>
  <c r="AB89" i="4"/>
  <c r="S89" i="4"/>
  <c r="AB19" i="4"/>
  <c r="F63" i="4"/>
  <c r="CM63" i="4"/>
  <c r="Y63" i="4"/>
  <c r="C67" i="2"/>
  <c r="V67" i="4"/>
  <c r="CN79" i="4"/>
  <c r="E79" i="4"/>
  <c r="D79" i="4"/>
  <c r="CM79" i="4"/>
  <c r="Y91" i="4"/>
  <c r="D91" i="4"/>
  <c r="CM105" i="4"/>
  <c r="Y105" i="4"/>
  <c r="AM132" i="4"/>
  <c r="BI132" i="4"/>
  <c r="AR132" i="4"/>
  <c r="K33" i="2"/>
  <c r="A88" i="47"/>
  <c r="P105" i="2"/>
  <c r="AE33" i="2"/>
  <c r="AB33" i="2"/>
  <c r="V33" i="2"/>
  <c r="A103" i="2"/>
  <c r="A104" i="47"/>
  <c r="K35" i="2"/>
  <c r="H79" i="2"/>
  <c r="S29" i="2"/>
  <c r="Y29" i="2"/>
  <c r="N61" i="2"/>
  <c r="H7" i="16"/>
  <c r="H18" i="16"/>
  <c r="H19" i="16"/>
  <c r="H17" i="16"/>
  <c r="P49" i="4"/>
  <c r="E63" i="4"/>
  <c r="Y65" i="4"/>
  <c r="D105" i="4"/>
  <c r="I93" i="4"/>
  <c r="F49" i="4"/>
  <c r="M123" i="4"/>
  <c r="CN15" i="4"/>
  <c r="CM65" i="4"/>
  <c r="E15" i="4"/>
  <c r="AE33" i="4"/>
  <c r="D25" i="4"/>
  <c r="AH33" i="4"/>
  <c r="E73" i="4"/>
  <c r="C73" i="2"/>
  <c r="P73" i="2" s="1"/>
  <c r="S63" i="4"/>
  <c r="D27" i="4"/>
  <c r="CM73" i="4"/>
  <c r="C27" i="2"/>
  <c r="W27" i="2" s="1"/>
  <c r="CM97" i="4"/>
  <c r="AE123" i="4"/>
  <c r="V33" i="4"/>
  <c r="CN33" i="4"/>
  <c r="E33" i="4"/>
  <c r="CN13" i="4"/>
  <c r="V13" i="4"/>
  <c r="M97" i="4"/>
  <c r="Y131" i="4"/>
  <c r="M129" i="4"/>
  <c r="CM115" i="4"/>
  <c r="AB115" i="4"/>
  <c r="C115" i="2"/>
  <c r="Y97" i="4"/>
  <c r="AE15" i="4"/>
  <c r="F31" i="4"/>
  <c r="I15" i="4"/>
  <c r="M115" i="4"/>
  <c r="Z27" i="2"/>
  <c r="Y27" i="2"/>
  <c r="C5" i="16"/>
  <c r="AH27" i="2"/>
  <c r="AH28" i="2" s="1"/>
  <c r="A157" i="2"/>
  <c r="M81" i="4"/>
  <c r="M75" i="4"/>
  <c r="D33" i="4"/>
  <c r="Y35" i="4"/>
  <c r="F45" i="4"/>
  <c r="D63" i="4"/>
  <c r="M93" i="4"/>
  <c r="CN99" i="4"/>
  <c r="BA132" i="4"/>
  <c r="S75" i="4"/>
  <c r="P61" i="4"/>
  <c r="F33" i="4"/>
  <c r="AB33" i="4"/>
  <c r="C25" i="2"/>
  <c r="Q25" i="2" s="1"/>
  <c r="V93" i="4"/>
  <c r="E93" i="4"/>
  <c r="C91" i="2"/>
  <c r="AE91" i="2" s="1"/>
  <c r="E81" i="4"/>
  <c r="AB91" i="4"/>
  <c r="F81" i="4"/>
  <c r="D13" i="16"/>
  <c r="Q91" i="2"/>
  <c r="Y91" i="2"/>
  <c r="V91" i="2"/>
  <c r="W25" i="2"/>
  <c r="H81" i="2" l="1"/>
  <c r="W81" i="2"/>
  <c r="AC81" i="2"/>
  <c r="V81" i="2"/>
  <c r="G81" i="2"/>
  <c r="N81" i="2"/>
  <c r="K81" i="2"/>
  <c r="AE81" i="2"/>
  <c r="K25" i="2"/>
  <c r="Q27" i="2"/>
  <c r="M31" i="4"/>
  <c r="P99" i="4"/>
  <c r="D57" i="4"/>
  <c r="AB17" i="4"/>
  <c r="Y43" i="4"/>
  <c r="D113" i="4"/>
  <c r="AE57" i="4"/>
  <c r="V51" i="4"/>
  <c r="P41" i="4"/>
  <c r="AH25" i="2"/>
  <c r="AH26" i="2" s="1"/>
  <c r="S91" i="2"/>
  <c r="N91" i="2"/>
  <c r="E25" i="4"/>
  <c r="A26" i="4" s="1"/>
  <c r="CM81" i="4"/>
  <c r="CN81" i="4"/>
  <c r="Q57" i="2"/>
  <c r="AE47" i="2"/>
  <c r="AF27" i="2"/>
  <c r="N27" i="2"/>
  <c r="M111" i="4"/>
  <c r="Y45" i="4"/>
  <c r="D81" i="4"/>
  <c r="M61" i="2"/>
  <c r="G105" i="2"/>
  <c r="V109" i="4"/>
  <c r="F105" i="4"/>
  <c r="F77" i="4"/>
  <c r="S67" i="4"/>
  <c r="V41" i="4"/>
  <c r="C45" i="2"/>
  <c r="E43" i="4"/>
  <c r="S43" i="4"/>
  <c r="E57" i="4"/>
  <c r="C111" i="2"/>
  <c r="AB113" i="4"/>
  <c r="Y113" i="4"/>
  <c r="C95" i="2"/>
  <c r="I57" i="4"/>
  <c r="I119" i="4"/>
  <c r="CN111" i="4"/>
  <c r="AE27" i="4"/>
  <c r="C109" i="2"/>
  <c r="P109" i="2" s="1"/>
  <c r="E105" i="4"/>
  <c r="A106" i="4" s="1"/>
  <c r="I81" i="4"/>
  <c r="AB99" i="4"/>
  <c r="C83" i="2"/>
  <c r="AB27" i="4"/>
  <c r="Y25" i="4"/>
  <c r="AH25" i="4"/>
  <c r="I123" i="4"/>
  <c r="C51" i="2"/>
  <c r="G51" i="2" s="1"/>
  <c r="M13" i="4"/>
  <c r="AH67" i="4"/>
  <c r="J105" i="2"/>
  <c r="H27" i="2"/>
  <c r="P27" i="2"/>
  <c r="I43" i="4"/>
  <c r="F25" i="4"/>
  <c r="V31" i="4"/>
  <c r="S61" i="2"/>
  <c r="Y19" i="4"/>
  <c r="E113" i="4"/>
  <c r="I51" i="4"/>
  <c r="AH27" i="4"/>
  <c r="F51" i="4"/>
  <c r="AF25" i="2"/>
  <c r="M91" i="2"/>
  <c r="M17" i="4"/>
  <c r="AB57" i="2"/>
  <c r="P57" i="2"/>
  <c r="AB27" i="2"/>
  <c r="Y27" i="4"/>
  <c r="CM45" i="4"/>
  <c r="E99" i="4"/>
  <c r="D83" i="4"/>
  <c r="J61" i="2"/>
  <c r="W79" i="2"/>
  <c r="P109" i="4"/>
  <c r="C19" i="2"/>
  <c r="AF19" i="2" s="1"/>
  <c r="AE45" i="4"/>
  <c r="M43" i="4"/>
  <c r="C113" i="2"/>
  <c r="I95" i="4"/>
  <c r="CM95" i="4"/>
  <c r="CM57" i="4"/>
  <c r="CM111" i="4"/>
  <c r="CN27" i="4"/>
  <c r="CM27" i="4"/>
  <c r="CM113" i="4"/>
  <c r="CN83" i="4"/>
  <c r="D11" i="16"/>
  <c r="D8" i="16"/>
  <c r="D9" i="16"/>
  <c r="D12" i="16"/>
  <c r="A90" i="47"/>
  <c r="A89" i="2"/>
  <c r="A70" i="47"/>
  <c r="A69" i="2"/>
  <c r="A49" i="2"/>
  <c r="A50" i="47"/>
  <c r="A17" i="2"/>
  <c r="A18" i="47"/>
  <c r="D18" i="16"/>
  <c r="AE115" i="2"/>
  <c r="K115" i="2"/>
  <c r="Q115" i="2"/>
  <c r="Q67" i="2"/>
  <c r="P67" i="2"/>
  <c r="H67" i="2"/>
  <c r="A61" i="2"/>
  <c r="A62" i="47"/>
  <c r="A57" i="2"/>
  <c r="A58" i="47"/>
  <c r="J20" i="47"/>
  <c r="V19" i="4"/>
  <c r="A11" i="2"/>
  <c r="A12" i="47"/>
  <c r="D10" i="16"/>
  <c r="M31" i="2"/>
  <c r="S31" i="2"/>
  <c r="W111" i="2"/>
  <c r="M111" i="2"/>
  <c r="Z111" i="2"/>
  <c r="AF111" i="2"/>
  <c r="K111" i="2"/>
  <c r="H95" i="2"/>
  <c r="T29" i="2"/>
  <c r="G29" i="2"/>
  <c r="AE29" i="2"/>
  <c r="AC29" i="2"/>
  <c r="M29" i="2"/>
  <c r="V29" i="2"/>
  <c r="T125" i="2"/>
  <c r="G125" i="2"/>
  <c r="N125" i="2"/>
  <c r="V125" i="2"/>
  <c r="D11" i="4"/>
  <c r="A12" i="4" s="1"/>
  <c r="P11" i="4"/>
  <c r="E11" i="4"/>
  <c r="C11" i="2"/>
  <c r="A106" i="47"/>
  <c r="A105" i="2"/>
  <c r="A85" i="2"/>
  <c r="A86" i="47"/>
  <c r="A77" i="2"/>
  <c r="A78" i="47"/>
  <c r="A34" i="47"/>
  <c r="A33" i="2"/>
  <c r="K31" i="2"/>
  <c r="D5" i="16"/>
  <c r="D7" i="16"/>
  <c r="CN11" i="4"/>
  <c r="Q111" i="2"/>
  <c r="Z125" i="2"/>
  <c r="A113" i="2"/>
  <c r="A114" i="47"/>
  <c r="M15" i="4"/>
  <c r="D16" i="47"/>
  <c r="A16" i="47"/>
  <c r="A15" i="2"/>
  <c r="S13" i="4"/>
  <c r="H14" i="47"/>
  <c r="P12" i="47"/>
  <c r="AE11" i="4"/>
  <c r="Q113" i="2"/>
  <c r="P83" i="2"/>
  <c r="H33" i="2"/>
  <c r="AB105" i="2"/>
  <c r="N25" i="2"/>
  <c r="M105" i="2"/>
  <c r="AC113" i="2"/>
  <c r="M27" i="2"/>
  <c r="V27" i="2"/>
  <c r="G27" i="2"/>
  <c r="Z61" i="2"/>
  <c r="Z83" i="2"/>
  <c r="F119" i="4"/>
  <c r="A55" i="2"/>
  <c r="AH33" i="2"/>
  <c r="AH34" i="2" s="1"/>
  <c r="C13" i="2"/>
  <c r="CN119" i="4"/>
  <c r="C15" i="2"/>
  <c r="M15" i="2" s="1"/>
  <c r="CM15" i="4"/>
  <c r="A76" i="47"/>
  <c r="A127" i="2"/>
  <c r="S17" i="4"/>
  <c r="S27" i="4"/>
  <c r="I65" i="4"/>
  <c r="P33" i="4"/>
  <c r="AB51" i="4"/>
  <c r="AH105" i="4"/>
  <c r="S68" i="47"/>
  <c r="Y67" i="4"/>
  <c r="Y83" i="4"/>
  <c r="I91" i="4"/>
  <c r="AB95" i="4"/>
  <c r="AB109" i="4"/>
  <c r="P111" i="4"/>
  <c r="CN113" i="4"/>
  <c r="S127" i="4"/>
  <c r="AE129" i="4"/>
  <c r="H13" i="16"/>
  <c r="M113" i="2"/>
  <c r="AB83" i="2"/>
  <c r="D13" i="4"/>
  <c r="B144" i="2"/>
  <c r="H5" i="16"/>
  <c r="H9" i="16"/>
  <c r="AC107" i="2"/>
  <c r="W107" i="2"/>
  <c r="S107" i="2"/>
  <c r="AH107" i="2"/>
  <c r="AH108" i="2" s="1"/>
  <c r="T107" i="2"/>
  <c r="H129" i="2"/>
  <c r="T129" i="2"/>
  <c r="G129" i="2"/>
  <c r="AC129" i="2"/>
  <c r="W129" i="2"/>
  <c r="AF129" i="2"/>
  <c r="AB129" i="2"/>
  <c r="W93" i="2"/>
  <c r="Z93" i="2"/>
  <c r="Y93" i="2"/>
  <c r="J93" i="2"/>
  <c r="J81" i="2"/>
  <c r="AB81" i="2"/>
  <c r="M65" i="4"/>
  <c r="Y73" i="4"/>
  <c r="S83" i="4"/>
  <c r="I97" i="4"/>
  <c r="S129" i="4"/>
  <c r="N73" i="2"/>
  <c r="AH19" i="4"/>
  <c r="V35" i="4"/>
  <c r="V11" i="2"/>
  <c r="M11" i="4"/>
  <c r="T57" i="2"/>
  <c r="AH111" i="2"/>
  <c r="AH112" i="2" s="1"/>
  <c r="AC111" i="2"/>
  <c r="G111" i="2"/>
  <c r="Z29" i="2"/>
  <c r="J29" i="2"/>
  <c r="T79" i="2"/>
  <c r="K79" i="2"/>
  <c r="AE105" i="2"/>
  <c r="W83" i="2"/>
  <c r="T83" i="2"/>
  <c r="Q29" i="2"/>
  <c r="N33" i="2"/>
  <c r="Z33" i="2"/>
  <c r="Q33" i="2"/>
  <c r="J33" i="2"/>
  <c r="D17" i="4"/>
  <c r="F19" i="4"/>
  <c r="E13" i="4"/>
  <c r="AH119" i="4"/>
  <c r="S35" i="4"/>
  <c r="M35" i="4"/>
  <c r="E17" i="4"/>
  <c r="M81" i="2"/>
  <c r="H15" i="2"/>
  <c r="AE73" i="4"/>
  <c r="S81" i="2"/>
  <c r="M59" i="4"/>
  <c r="D93" i="4"/>
  <c r="A94" i="4" s="1"/>
  <c r="AE19" i="4"/>
  <c r="Y81" i="2"/>
  <c r="C121" i="2"/>
  <c r="V121" i="2" s="1"/>
  <c r="AB45" i="4"/>
  <c r="AB97" i="4"/>
  <c r="AB65" i="4"/>
  <c r="E19" i="4"/>
  <c r="D109" i="4"/>
  <c r="I19" i="4"/>
  <c r="I17" i="4"/>
  <c r="AB15" i="4"/>
  <c r="Y13" i="4"/>
  <c r="V11" i="4"/>
  <c r="F57" i="4"/>
  <c r="P57" i="4"/>
  <c r="AH57" i="4"/>
  <c r="M67" i="4"/>
  <c r="M73" i="4"/>
  <c r="S73" i="4"/>
  <c r="AE83" i="4"/>
  <c r="I109" i="4"/>
  <c r="AH121" i="4"/>
  <c r="AC73" i="2"/>
  <c r="A34" i="4"/>
  <c r="Y11" i="2"/>
  <c r="S105" i="2"/>
  <c r="A46" i="4"/>
  <c r="AC67" i="2"/>
  <c r="V13" i="2"/>
  <c r="AF73" i="2"/>
  <c r="W73" i="2"/>
  <c r="H29" i="2"/>
  <c r="AB111" i="2"/>
  <c r="AF67" i="2"/>
  <c r="AB11" i="2"/>
  <c r="V111" i="2"/>
  <c r="K91" i="2"/>
  <c r="S57" i="2"/>
  <c r="A64" i="4"/>
  <c r="AB13" i="4"/>
  <c r="AF11" i="2"/>
  <c r="AH95" i="2"/>
  <c r="AH96" i="2" s="1"/>
  <c r="Z11" i="2"/>
  <c r="W13" i="2"/>
  <c r="M57" i="4"/>
  <c r="A100" i="4"/>
  <c r="AB73" i="4"/>
  <c r="Y57" i="4"/>
  <c r="AB67" i="2"/>
  <c r="Y111" i="2"/>
  <c r="F11" i="4"/>
  <c r="M83" i="4"/>
  <c r="C63" i="2"/>
  <c r="AB63" i="2" s="1"/>
  <c r="AB11" i="4"/>
  <c r="J111" i="2"/>
  <c r="P111" i="2"/>
  <c r="AF29" i="2"/>
  <c r="Y79" i="2"/>
  <c r="K105" i="2"/>
  <c r="Q83" i="2"/>
  <c r="G83" i="2"/>
  <c r="P33" i="2"/>
  <c r="D119" i="4"/>
  <c r="E109" i="4"/>
  <c r="CN59" i="4"/>
  <c r="CN63" i="4"/>
  <c r="CN19" i="4"/>
  <c r="F13" i="4"/>
  <c r="CN89" i="4"/>
  <c r="C89" i="2"/>
  <c r="K89" i="2" s="1"/>
  <c r="F113" i="4"/>
  <c r="V113" i="4"/>
  <c r="E95" i="4"/>
  <c r="A96" i="4" s="1"/>
  <c r="Y95" i="4"/>
  <c r="AE119" i="4"/>
  <c r="D121" i="4"/>
  <c r="A122" i="4" s="1"/>
  <c r="V111" i="4"/>
  <c r="D89" i="4"/>
  <c r="A90" i="4" s="1"/>
  <c r="E59" i="4"/>
  <c r="AH93" i="4"/>
  <c r="E27" i="4"/>
  <c r="CM109" i="4"/>
  <c r="Y109" i="4"/>
  <c r="CM49" i="4"/>
  <c r="Y15" i="4"/>
  <c r="D107" i="4"/>
  <c r="A108" i="4" s="1"/>
  <c r="AE107" i="4"/>
  <c r="E35" i="4"/>
  <c r="AB61" i="4"/>
  <c r="P15" i="2"/>
  <c r="F83" i="4"/>
  <c r="A84" i="4" s="1"/>
  <c r="AH109" i="4"/>
  <c r="AE49" i="4"/>
  <c r="AH11" i="4"/>
  <c r="F73" i="4"/>
  <c r="AB83" i="4"/>
  <c r="S19" i="4"/>
  <c r="V15" i="4"/>
  <c r="V25" i="4"/>
  <c r="I27" i="4"/>
  <c r="S33" i="4"/>
  <c r="S41" i="4"/>
  <c r="M45" i="4"/>
  <c r="AB49" i="4"/>
  <c r="AB57" i="4"/>
  <c r="I61" i="4"/>
  <c r="AH63" i="4"/>
  <c r="I73" i="4"/>
  <c r="P81" i="4"/>
  <c r="V81" i="4"/>
  <c r="AH81" i="4"/>
  <c r="I83" i="4"/>
  <c r="AH89" i="4"/>
  <c r="AE93" i="4"/>
  <c r="M99" i="4"/>
  <c r="I107" i="4"/>
  <c r="Y107" i="4"/>
  <c r="S115" i="4"/>
  <c r="Q31" i="2"/>
  <c r="Z31" i="2"/>
  <c r="Y31" i="2"/>
  <c r="W31" i="2"/>
  <c r="V31" i="2"/>
  <c r="AC115" i="2"/>
  <c r="P115" i="2"/>
  <c r="Z115" i="2"/>
  <c r="M115" i="2"/>
  <c r="AC47" i="2"/>
  <c r="H47" i="2"/>
  <c r="W47" i="2"/>
  <c r="T47" i="2"/>
  <c r="K47" i="2"/>
  <c r="F9" i="4"/>
  <c r="D9" i="4"/>
  <c r="P137" i="4"/>
  <c r="F134" i="47"/>
  <c r="A130" i="47"/>
  <c r="A129" i="2"/>
  <c r="I29" i="4"/>
  <c r="B30" i="47"/>
  <c r="N36" i="47"/>
  <c r="AB35" i="4"/>
  <c r="R44" i="47"/>
  <c r="AH43" i="4"/>
  <c r="L80" i="47"/>
  <c r="Y79" i="4"/>
  <c r="V97" i="4"/>
  <c r="K98" i="47"/>
  <c r="Z73" i="2"/>
  <c r="AE73" i="2"/>
  <c r="S73" i="2"/>
  <c r="V73" i="2"/>
  <c r="G73" i="2"/>
  <c r="AE67" i="2"/>
  <c r="V67" i="2"/>
  <c r="N67" i="2"/>
  <c r="K67" i="2"/>
  <c r="S67" i="2"/>
  <c r="AB19" i="2"/>
  <c r="G19" i="2"/>
  <c r="AH13" i="2"/>
  <c r="AH14" i="2" s="1"/>
  <c r="AB13" i="2"/>
  <c r="H13" i="2"/>
  <c r="AC13" i="2"/>
  <c r="V105" i="2"/>
  <c r="AC105" i="2"/>
  <c r="Y105" i="2"/>
  <c r="Z105" i="2"/>
  <c r="AF61" i="2"/>
  <c r="Q61" i="2"/>
  <c r="H61" i="2"/>
  <c r="K61" i="2"/>
  <c r="AH61" i="2"/>
  <c r="AH62" i="2" s="1"/>
  <c r="AE61" i="2"/>
  <c r="AC125" i="2"/>
  <c r="AH125" i="2"/>
  <c r="AH126" i="2" s="1"/>
  <c r="W125" i="2"/>
  <c r="H125" i="2"/>
  <c r="AF125" i="2"/>
  <c r="AF107" i="2"/>
  <c r="J107" i="2"/>
  <c r="H107" i="2"/>
  <c r="AB107" i="2"/>
  <c r="AZ132" i="4"/>
  <c r="AW132" i="4"/>
  <c r="AO132" i="4"/>
  <c r="AT132" i="4"/>
  <c r="S93" i="2"/>
  <c r="M93" i="2"/>
  <c r="Q93" i="2"/>
  <c r="AC93" i="2"/>
  <c r="V93" i="2"/>
  <c r="AF121" i="2"/>
  <c r="AB51" i="2"/>
  <c r="Q51" i="2"/>
  <c r="AH51" i="2"/>
  <c r="AH52" i="2" s="1"/>
  <c r="K51" i="2"/>
  <c r="N51" i="2"/>
  <c r="AF51" i="2"/>
  <c r="H30" i="47"/>
  <c r="S29" i="4"/>
  <c r="M41" i="4"/>
  <c r="F41" i="4"/>
  <c r="AH41" i="4"/>
  <c r="CM41" i="4"/>
  <c r="CN41" i="4"/>
  <c r="C41" i="2"/>
  <c r="Y41" i="2" s="1"/>
  <c r="L60" i="47"/>
  <c r="Y59" i="4"/>
  <c r="I63" i="4"/>
  <c r="B64" i="47"/>
  <c r="F65" i="4"/>
  <c r="C65" i="2"/>
  <c r="D65" i="4"/>
  <c r="CN65" i="4"/>
  <c r="V65" i="4"/>
  <c r="J66" i="47"/>
  <c r="R66" i="47"/>
  <c r="AH65" i="4"/>
  <c r="AB67" i="4"/>
  <c r="O68" i="47"/>
  <c r="AE75" i="4"/>
  <c r="Q76" i="47"/>
  <c r="E77" i="4"/>
  <c r="CM77" i="4"/>
  <c r="M95" i="4"/>
  <c r="D96" i="47"/>
  <c r="AB107" i="4"/>
  <c r="N108" i="47"/>
  <c r="H110" i="47"/>
  <c r="S109" i="4"/>
  <c r="Y111" i="4"/>
  <c r="M112" i="47"/>
  <c r="L122" i="47"/>
  <c r="Y121" i="4"/>
  <c r="O122" i="47"/>
  <c r="AB121" i="4"/>
  <c r="CM127" i="4"/>
  <c r="D127" i="4"/>
  <c r="E131" i="4"/>
  <c r="F131" i="4"/>
  <c r="P11" i="2"/>
  <c r="H11" i="2"/>
  <c r="G11" i="2"/>
  <c r="AE57" i="2"/>
  <c r="M57" i="2"/>
  <c r="V57" i="2"/>
  <c r="W57" i="2"/>
  <c r="Z79" i="2"/>
  <c r="G79" i="2"/>
  <c r="P79" i="2"/>
  <c r="AC79" i="2"/>
  <c r="AF79" i="2"/>
  <c r="AH79" i="2"/>
  <c r="AH80" i="2" s="1"/>
  <c r="AF83" i="2"/>
  <c r="AC83" i="2"/>
  <c r="V83" i="2"/>
  <c r="Y83" i="2"/>
  <c r="N83" i="2"/>
  <c r="M119" i="4"/>
  <c r="V119" i="4"/>
  <c r="E119" i="4"/>
  <c r="AH81" i="2"/>
  <c r="AH82" i="2" s="1"/>
  <c r="Q81" i="2"/>
  <c r="T81" i="2"/>
  <c r="K129" i="2"/>
  <c r="AH129" i="2"/>
  <c r="AH130" i="2" s="1"/>
  <c r="P129" i="2"/>
  <c r="AE129" i="2"/>
  <c r="CM51" i="4"/>
  <c r="CN51" i="4"/>
  <c r="Q60" i="47"/>
  <c r="AE59" i="4"/>
  <c r="CM67" i="4"/>
  <c r="CN67" i="4"/>
  <c r="F67" i="4"/>
  <c r="A68" i="4" s="1"/>
  <c r="J74" i="47"/>
  <c r="V73" i="4"/>
  <c r="Q78" i="47"/>
  <c r="AE77" i="4"/>
  <c r="AE79" i="4"/>
  <c r="Q80" i="47"/>
  <c r="R96" i="47"/>
  <c r="AH95" i="4"/>
  <c r="H114" i="47"/>
  <c r="S113" i="4"/>
  <c r="AH125" i="4"/>
  <c r="R126" i="47"/>
  <c r="J91" i="2"/>
  <c r="Z91" i="2"/>
  <c r="AH91" i="2"/>
  <c r="AH92" i="2" s="1"/>
  <c r="Y45" i="2"/>
  <c r="Z45" i="2"/>
  <c r="N113" i="2"/>
  <c r="S113" i="2"/>
  <c r="G113" i="2"/>
  <c r="AF113" i="2"/>
  <c r="Y17" i="4"/>
  <c r="F17" i="4"/>
  <c r="A18" i="4" s="1"/>
  <c r="B12" i="47"/>
  <c r="I11" i="4"/>
  <c r="CN31" i="4"/>
  <c r="E31" i="4"/>
  <c r="J50" i="47"/>
  <c r="V49" i="4"/>
  <c r="C90" i="47"/>
  <c r="I89" i="4"/>
  <c r="F90" i="47"/>
  <c r="P89" i="4"/>
  <c r="CN97" i="4"/>
  <c r="E97" i="4"/>
  <c r="A98" i="4" s="1"/>
  <c r="C97" i="2"/>
  <c r="CM123" i="4"/>
  <c r="D123" i="4"/>
  <c r="C123" i="2"/>
  <c r="E123" i="4"/>
  <c r="F123" i="4"/>
  <c r="CN123" i="4"/>
  <c r="I127" i="4"/>
  <c r="C128" i="47"/>
  <c r="A82" i="4"/>
  <c r="P31" i="2"/>
  <c r="AE31" i="2"/>
  <c r="AB31" i="2"/>
  <c r="AB75" i="4"/>
  <c r="M9" i="4"/>
  <c r="AE9" i="4"/>
  <c r="AH17" i="4"/>
  <c r="AE35" i="4"/>
  <c r="M47" i="2"/>
  <c r="S47" i="2"/>
  <c r="S115" i="2"/>
  <c r="J115" i="2"/>
  <c r="J47" i="2"/>
  <c r="AB81" i="4"/>
  <c r="Q35" i="2"/>
  <c r="AH13" i="4"/>
  <c r="A114" i="4"/>
  <c r="I125" i="4"/>
  <c r="S105" i="4"/>
  <c r="P9" i="4"/>
  <c r="A8" i="47"/>
  <c r="P83" i="4"/>
  <c r="AH123" i="4"/>
  <c r="L108" i="47"/>
  <c r="I116" i="47"/>
  <c r="F42" i="47"/>
  <c r="H28" i="47"/>
  <c r="B108" i="47"/>
  <c r="R64" i="47"/>
  <c r="D66" i="47"/>
  <c r="I84" i="47"/>
  <c r="L84" i="47"/>
  <c r="Q84" i="47"/>
  <c r="D100" i="47"/>
  <c r="Y127" i="4"/>
  <c r="J31" i="2"/>
  <c r="H31" i="2"/>
  <c r="AC31" i="2"/>
  <c r="Y31" i="4"/>
  <c r="AH127" i="4"/>
  <c r="H51" i="2"/>
  <c r="CM9" i="4"/>
  <c r="AQ132" i="4"/>
  <c r="P61" i="2"/>
  <c r="AH19" i="2"/>
  <c r="AH20" i="2" s="1"/>
  <c r="CM75" i="4"/>
  <c r="P13" i="4"/>
  <c r="M51" i="2"/>
  <c r="M19" i="2"/>
  <c r="AB47" i="2"/>
  <c r="S13" i="2"/>
  <c r="AF47" i="2"/>
  <c r="G13" i="2"/>
  <c r="N13" i="2"/>
  <c r="T115" i="2"/>
  <c r="Q73" i="2"/>
  <c r="H73" i="2"/>
  <c r="M73" i="2"/>
  <c r="N115" i="2"/>
  <c r="AE99" i="4"/>
  <c r="AC51" i="2"/>
  <c r="H93" i="2"/>
  <c r="K125" i="2"/>
  <c r="Y11" i="4"/>
  <c r="AH67" i="2"/>
  <c r="AH68" i="2" s="1"/>
  <c r="V35" i="2"/>
  <c r="J67" i="2"/>
  <c r="A16" i="4"/>
  <c r="AC89" i="2"/>
  <c r="Q13" i="2"/>
  <c r="T61" i="2"/>
  <c r="Y61" i="2"/>
  <c r="V61" i="2"/>
  <c r="Y35" i="2"/>
  <c r="N105" i="2"/>
  <c r="M107" i="2"/>
  <c r="N107" i="2"/>
  <c r="Y107" i="2"/>
  <c r="AE125" i="2"/>
  <c r="J125" i="2"/>
  <c r="AK132" i="4"/>
  <c r="AU132" i="4"/>
  <c r="BC132" i="4"/>
  <c r="A92" i="4"/>
  <c r="AH59" i="4"/>
  <c r="S79" i="4"/>
  <c r="P77" i="4"/>
  <c r="M121" i="4"/>
  <c r="T93" i="2"/>
  <c r="AB93" i="2"/>
  <c r="CM99" i="4"/>
  <c r="I67" i="4"/>
  <c r="S59" i="4"/>
  <c r="S77" i="4"/>
  <c r="W105" i="2"/>
  <c r="I77" i="4"/>
  <c r="S9" i="4"/>
  <c r="V61" i="4"/>
  <c r="AH61" i="4"/>
  <c r="AC61" i="2"/>
  <c r="CN127" i="4"/>
  <c r="AH97" i="4"/>
  <c r="J82" i="47"/>
  <c r="V131" i="4"/>
  <c r="AH91" i="4"/>
  <c r="S65" i="4"/>
  <c r="S31" i="4"/>
  <c r="A40" i="47"/>
  <c r="W51" i="2"/>
  <c r="S95" i="4"/>
  <c r="B62" i="47"/>
  <c r="AE105" i="4"/>
  <c r="E127" i="4"/>
  <c r="AH73" i="4"/>
  <c r="C75" i="2"/>
  <c r="O16" i="47"/>
  <c r="S20" i="47"/>
  <c r="H130" i="47"/>
  <c r="A26" i="47"/>
  <c r="AB9" i="4"/>
  <c r="I34" i="47"/>
  <c r="I47" i="4"/>
  <c r="S58" i="47"/>
  <c r="P65" i="4"/>
  <c r="E68" i="47"/>
  <c r="M74" i="47"/>
  <c r="V75" i="4"/>
  <c r="AB79" i="4"/>
  <c r="Y81" i="4"/>
  <c r="P95" i="4"/>
  <c r="I99" i="4"/>
  <c r="AE111" i="4"/>
  <c r="Y115" i="4"/>
  <c r="Y119" i="4"/>
  <c r="I121" i="4"/>
  <c r="C127" i="2"/>
  <c r="N31" i="2"/>
  <c r="AF31" i="2"/>
  <c r="AH31" i="2"/>
  <c r="AH32" i="2" s="1"/>
  <c r="G31" i="2"/>
  <c r="M27" i="4"/>
  <c r="P131" i="4"/>
  <c r="P51" i="2"/>
  <c r="H121" i="2"/>
  <c r="P81" i="2"/>
  <c r="D81" i="2" s="1"/>
  <c r="BF132" i="4"/>
  <c r="V19" i="2"/>
  <c r="H57" i="2"/>
  <c r="P17" i="4"/>
  <c r="V91" i="4"/>
  <c r="AH9" i="4"/>
  <c r="S51" i="2"/>
  <c r="AE51" i="2"/>
  <c r="M67" i="2"/>
  <c r="CN9" i="4"/>
  <c r="Q47" i="2"/>
  <c r="P47" i="2"/>
  <c r="N47" i="2"/>
  <c r="S11" i="2"/>
  <c r="J13" i="2"/>
  <c r="Z13" i="2"/>
  <c r="M13" i="2"/>
  <c r="AH73" i="2"/>
  <c r="AH74" i="2" s="1"/>
  <c r="J73" i="2"/>
  <c r="T73" i="2"/>
  <c r="V115" i="2"/>
  <c r="W115" i="2"/>
  <c r="Y125" i="2"/>
  <c r="P13" i="2"/>
  <c r="I41" i="4"/>
  <c r="V43" i="4"/>
  <c r="AH31" i="4"/>
  <c r="AE19" i="2"/>
  <c r="N19" i="2"/>
  <c r="G67" i="2"/>
  <c r="M11" i="2"/>
  <c r="T11" i="2"/>
  <c r="Q11" i="2"/>
  <c r="S49" i="4"/>
  <c r="M49" i="4"/>
  <c r="M77" i="4"/>
  <c r="C119" i="2"/>
  <c r="Y67" i="2"/>
  <c r="AC19" i="2"/>
  <c r="K13" i="2"/>
  <c r="G47" i="2"/>
  <c r="G61" i="2"/>
  <c r="W61" i="2"/>
  <c r="M79" i="2"/>
  <c r="AB79" i="2"/>
  <c r="S35" i="2"/>
  <c r="H105" i="2"/>
  <c r="AE107" i="2"/>
  <c r="Z107" i="2"/>
  <c r="G107" i="2"/>
  <c r="S125" i="2"/>
  <c r="S83" i="2"/>
  <c r="AH83" i="2"/>
  <c r="AH84" i="2" s="1"/>
  <c r="H83" i="2"/>
  <c r="J83" i="2"/>
  <c r="M125" i="2"/>
  <c r="Q125" i="2"/>
  <c r="AB125" i="2"/>
  <c r="AF105" i="2"/>
  <c r="T105" i="2"/>
  <c r="S119" i="4"/>
  <c r="BJ132" i="4"/>
  <c r="AB77" i="4"/>
  <c r="AE67" i="4"/>
  <c r="P67" i="4"/>
  <c r="Y41" i="4"/>
  <c r="M19" i="4"/>
  <c r="V89" i="4"/>
  <c r="P43" i="4"/>
  <c r="Y29" i="4"/>
  <c r="S57" i="4"/>
  <c r="P47" i="4"/>
  <c r="AB47" i="4"/>
  <c r="V129" i="2"/>
  <c r="AB119" i="4"/>
  <c r="Q129" i="2"/>
  <c r="N129" i="2"/>
  <c r="G152" i="4"/>
  <c r="S121" i="4"/>
  <c r="AH93" i="2"/>
  <c r="AH94" i="2" s="1"/>
  <c r="N93" i="2"/>
  <c r="C99" i="2"/>
  <c r="W99" i="2" s="1"/>
  <c r="Q105" i="2"/>
  <c r="P51" i="4"/>
  <c r="P15" i="4"/>
  <c r="B98" i="47"/>
  <c r="P107" i="4"/>
  <c r="E9" i="4"/>
  <c r="AF81" i="2"/>
  <c r="AE79" i="2"/>
  <c r="Y61" i="4"/>
  <c r="A13" i="2"/>
  <c r="K15" i="2"/>
  <c r="V127" i="4"/>
  <c r="A126" i="47"/>
  <c r="AB129" i="4"/>
  <c r="J51" i="2"/>
  <c r="Y129" i="2"/>
  <c r="AH51" i="4"/>
  <c r="AF93" i="2"/>
  <c r="A124" i="47"/>
  <c r="AH111" i="4"/>
  <c r="Z81" i="2"/>
  <c r="M127" i="4"/>
  <c r="AB123" i="4"/>
  <c r="I33" i="4"/>
  <c r="P97" i="4"/>
  <c r="W15" i="2"/>
  <c r="E47" i="4"/>
  <c r="A48" i="4" s="1"/>
  <c r="L14" i="47"/>
  <c r="J26" i="47"/>
  <c r="O10" i="47"/>
  <c r="C48" i="47"/>
  <c r="M51" i="4"/>
  <c r="V59" i="4"/>
  <c r="AE65" i="4"/>
  <c r="A74" i="4"/>
  <c r="P123" i="4"/>
  <c r="F128" i="47"/>
  <c r="P127" i="4"/>
  <c r="A132" i="47"/>
  <c r="A131" i="2"/>
  <c r="A95" i="2"/>
  <c r="A96" i="47"/>
  <c r="S11" i="4"/>
  <c r="I12" i="47"/>
  <c r="H82" i="47"/>
  <c r="S81" i="4"/>
  <c r="Q116" i="47"/>
  <c r="AE115" i="4"/>
  <c r="P73" i="4"/>
  <c r="AH115" i="4"/>
  <c r="AE97" i="4"/>
  <c r="M33" i="4"/>
  <c r="S111" i="4"/>
  <c r="A28" i="4"/>
  <c r="E49" i="4"/>
  <c r="A50" i="4" s="1"/>
  <c r="AE109" i="4"/>
  <c r="C59" i="2"/>
  <c r="D59" i="4"/>
  <c r="A60" i="4" s="1"/>
  <c r="AH77" i="4"/>
  <c r="P63" i="4"/>
  <c r="CM19" i="4"/>
  <c r="P19" i="4"/>
  <c r="M113" i="4"/>
  <c r="AE113" i="4"/>
  <c r="V95" i="4"/>
  <c r="V57" i="4"/>
  <c r="Y47" i="4"/>
  <c r="A112" i="4"/>
  <c r="F125" i="4"/>
  <c r="A126" i="4" s="1"/>
  <c r="CN125" i="4"/>
  <c r="AH49" i="4"/>
  <c r="V107" i="4"/>
  <c r="I9" i="4"/>
  <c r="AB59" i="4"/>
  <c r="C49" i="2"/>
  <c r="A116" i="4"/>
  <c r="A36" i="47"/>
  <c r="A110" i="4"/>
  <c r="A83" i="2"/>
  <c r="AB25" i="4"/>
  <c r="A122" i="47"/>
  <c r="B20" i="47"/>
  <c r="V27" i="4"/>
  <c r="Y33" i="4"/>
  <c r="V63" i="4"/>
  <c r="F74" i="47"/>
  <c r="M105" i="4"/>
  <c r="AB105" i="4"/>
  <c r="P35" i="4"/>
  <c r="V45" i="4"/>
  <c r="P93" i="4"/>
  <c r="Y129" i="4"/>
  <c r="J109" i="2"/>
  <c r="H109" i="2"/>
  <c r="V109" i="2"/>
  <c r="W109" i="2"/>
  <c r="Z109" i="2"/>
  <c r="AE109" i="2"/>
  <c r="Y109" i="2"/>
  <c r="AF109" i="2"/>
  <c r="Q109" i="2"/>
  <c r="AH109" i="2"/>
  <c r="AH110" i="2" s="1"/>
  <c r="M109" i="2"/>
  <c r="S109" i="2"/>
  <c r="T109" i="2"/>
  <c r="AB109" i="2"/>
  <c r="N109" i="2"/>
  <c r="K109" i="2"/>
  <c r="G109" i="2"/>
  <c r="AC109" i="2"/>
  <c r="M25" i="2"/>
  <c r="G25" i="2"/>
  <c r="T25" i="2"/>
  <c r="P25" i="2"/>
  <c r="H25" i="2"/>
  <c r="Z25" i="2"/>
  <c r="S25" i="2"/>
  <c r="AB25" i="2"/>
  <c r="AC25" i="2"/>
  <c r="G91" i="2"/>
  <c r="AC91" i="2"/>
  <c r="AF91" i="2"/>
  <c r="W91" i="2"/>
  <c r="AB91" i="2"/>
  <c r="H91" i="2"/>
  <c r="T91" i="2"/>
  <c r="P91" i="2"/>
  <c r="T63" i="2"/>
  <c r="AC63" i="2"/>
  <c r="AF63" i="2"/>
  <c r="M63" i="2"/>
  <c r="J25" i="2"/>
  <c r="AE25" i="2"/>
  <c r="Y25" i="2"/>
  <c r="V25" i="2"/>
  <c r="Q89" i="2"/>
  <c r="J19" i="2"/>
  <c r="Q19" i="2"/>
  <c r="Y19" i="2"/>
  <c r="W19" i="2"/>
  <c r="P19" i="2"/>
  <c r="Z19" i="2"/>
  <c r="K19" i="2"/>
  <c r="H19" i="2"/>
  <c r="S19" i="2"/>
  <c r="T19" i="2"/>
  <c r="AC45" i="2"/>
  <c r="AF45" i="2"/>
  <c r="AH45" i="2"/>
  <c r="AH46" i="2" s="1"/>
  <c r="P45" i="2"/>
  <c r="AB45" i="2"/>
  <c r="T45" i="2"/>
  <c r="Q45" i="2"/>
  <c r="S45" i="2"/>
  <c r="H45" i="2"/>
  <c r="V45" i="2"/>
  <c r="M45" i="2"/>
  <c r="K45" i="2"/>
  <c r="N45" i="2"/>
  <c r="G45" i="2"/>
  <c r="AE45" i="2"/>
  <c r="W45" i="2"/>
  <c r="J45" i="2"/>
  <c r="J57" i="2"/>
  <c r="Z57" i="2"/>
  <c r="Y57" i="2"/>
  <c r="G57" i="2"/>
  <c r="AC57" i="2"/>
  <c r="K57" i="2"/>
  <c r="AF57" i="2"/>
  <c r="AH57" i="2"/>
  <c r="AH58" i="2" s="1"/>
  <c r="P99" i="2"/>
  <c r="AE35" i="2"/>
  <c r="G35" i="2"/>
  <c r="AC35" i="2"/>
  <c r="N35" i="2"/>
  <c r="AB35" i="2"/>
  <c r="H35" i="2"/>
  <c r="AH35" i="2"/>
  <c r="AH36" i="2" s="1"/>
  <c r="M35" i="2"/>
  <c r="T35" i="2"/>
  <c r="J35" i="2"/>
  <c r="AF35" i="2"/>
  <c r="W35" i="2"/>
  <c r="P35" i="2"/>
  <c r="A62" i="4"/>
  <c r="P113" i="2"/>
  <c r="Z113" i="2"/>
  <c r="T113" i="2"/>
  <c r="Y113" i="2"/>
  <c r="W113" i="2"/>
  <c r="V113" i="2"/>
  <c r="AE113" i="2"/>
  <c r="AC95" i="2"/>
  <c r="G95" i="2"/>
  <c r="Y47" i="2"/>
  <c r="Z47" i="2"/>
  <c r="AH47" i="2"/>
  <c r="AH48" i="2" s="1"/>
  <c r="M41" i="2"/>
  <c r="S41" i="2"/>
  <c r="AB73" i="2"/>
  <c r="K73" i="2"/>
  <c r="Y73" i="2"/>
  <c r="N11" i="2"/>
  <c r="W11" i="2"/>
  <c r="AE11" i="2"/>
  <c r="J11" i="2"/>
  <c r="AH11" i="2"/>
  <c r="AH12" i="2" s="1"/>
  <c r="N29" i="2"/>
  <c r="P29" i="2"/>
  <c r="W29" i="2"/>
  <c r="AH29" i="2"/>
  <c r="AH30" i="2" s="1"/>
  <c r="AB29" i="2"/>
  <c r="K29" i="2"/>
  <c r="AH115" i="2"/>
  <c r="AH116" i="2" s="1"/>
  <c r="H115" i="2"/>
  <c r="Y115" i="2"/>
  <c r="K27" i="2"/>
  <c r="AC27" i="2"/>
  <c r="T27" i="2"/>
  <c r="A80" i="4"/>
  <c r="AB115" i="2"/>
  <c r="AF115" i="2"/>
  <c r="G115" i="2"/>
  <c r="J27" i="2"/>
  <c r="AE27" i="2"/>
  <c r="S27" i="2"/>
  <c r="Z67" i="2"/>
  <c r="T67" i="2"/>
  <c r="W67" i="2"/>
  <c r="V79" i="2"/>
  <c r="N79" i="2"/>
  <c r="Q79" i="2"/>
  <c r="J79" i="2"/>
  <c r="M33" i="2"/>
  <c r="S33" i="2"/>
  <c r="T33" i="2"/>
  <c r="G33" i="2"/>
  <c r="AF33" i="2"/>
  <c r="AC33" i="2"/>
  <c r="A30" i="4"/>
  <c r="T51" i="2"/>
  <c r="I25" i="4"/>
  <c r="P107" i="2"/>
  <c r="Q107" i="2"/>
  <c r="V107" i="2"/>
  <c r="K107" i="2"/>
  <c r="AX132" i="4"/>
  <c r="BD132" i="4"/>
  <c r="AN132" i="4"/>
  <c r="AL132" i="4"/>
  <c r="C17" i="2"/>
  <c r="M79" i="4"/>
  <c r="D77" i="4"/>
  <c r="C77" i="2"/>
  <c r="CN77" i="4"/>
  <c r="M63" i="4"/>
  <c r="AB63" i="4"/>
  <c r="AE41" i="4"/>
  <c r="I13" i="4"/>
  <c r="J75" i="2"/>
  <c r="AH45" i="4"/>
  <c r="P45" i="4"/>
  <c r="CN43" i="4"/>
  <c r="AE43" i="4"/>
  <c r="Z129" i="2"/>
  <c r="S129" i="2"/>
  <c r="K93" i="2"/>
  <c r="P93" i="2"/>
  <c r="G93" i="2"/>
  <c r="AE93" i="2"/>
  <c r="AE25" i="4"/>
  <c r="Y99" i="4"/>
  <c r="CN93" i="4"/>
  <c r="D51" i="4"/>
  <c r="I35" i="4"/>
  <c r="F35" i="4"/>
  <c r="A36" i="4" s="1"/>
  <c r="AH35" i="4"/>
  <c r="V17" i="4"/>
  <c r="Y9" i="4"/>
  <c r="C9" i="2"/>
  <c r="AH79" i="4"/>
  <c r="I75" i="4"/>
  <c r="AC65" i="2"/>
  <c r="S131" i="4"/>
  <c r="V129" i="4"/>
  <c r="AH129" i="4"/>
  <c r="I131" i="4"/>
  <c r="Z51" i="2"/>
  <c r="AE51" i="4"/>
  <c r="AB31" i="4"/>
  <c r="I45" i="4"/>
  <c r="CM33" i="4"/>
  <c r="AE31" i="4"/>
  <c r="M25" i="4"/>
  <c r="S65" i="2"/>
  <c r="AE13" i="4"/>
  <c r="Y93" i="4"/>
  <c r="AB93" i="4"/>
  <c r="S93" i="4"/>
  <c r="AH99" i="4"/>
  <c r="S51" i="4"/>
  <c r="D131" i="4"/>
  <c r="M129" i="2"/>
  <c r="F129" i="4"/>
  <c r="A130" i="4" s="1"/>
  <c r="I129" i="4"/>
  <c r="E41" i="4"/>
  <c r="AH75" i="4"/>
  <c r="D31" i="4"/>
  <c r="V77" i="4"/>
  <c r="CM131" i="4"/>
  <c r="AB43" i="4"/>
  <c r="E75" i="4"/>
  <c r="CN75" i="4"/>
  <c r="Y51" i="2"/>
  <c r="CN25" i="4"/>
  <c r="CN17" i="4"/>
  <c r="F43" i="4"/>
  <c r="A44" i="4" s="1"/>
  <c r="D75" i="4"/>
  <c r="AB131" i="4"/>
  <c r="Y75" i="4"/>
  <c r="V51" i="2"/>
  <c r="AH131" i="4"/>
  <c r="P25" i="4"/>
  <c r="J129" i="2"/>
  <c r="P31" i="4"/>
  <c r="S25" i="4"/>
  <c r="G121" i="2"/>
  <c r="V99" i="4"/>
  <c r="S45" i="4"/>
  <c r="C43" i="2"/>
  <c r="AE131" i="4"/>
  <c r="CM129" i="4"/>
  <c r="C131" i="2"/>
  <c r="P75" i="4"/>
  <c r="D41" i="4"/>
  <c r="CM31" i="4"/>
  <c r="AF8" i="4"/>
  <c r="W126" i="4"/>
  <c r="Z28" i="4"/>
  <c r="L34" i="4"/>
  <c r="T26" i="4"/>
  <c r="W98" i="4"/>
  <c r="O108" i="4"/>
  <c r="R112" i="4"/>
  <c r="U32" i="4"/>
  <c r="H116" i="4"/>
  <c r="AF94" i="4"/>
  <c r="AD104" i="4"/>
  <c r="N24" i="4"/>
  <c r="AI109" i="4"/>
  <c r="AI33" i="4"/>
  <c r="AF110" i="4"/>
  <c r="K68" i="4"/>
  <c r="T10" i="4"/>
  <c r="L10" i="4"/>
  <c r="H56" i="4"/>
  <c r="H40" i="4"/>
  <c r="AD130" i="4"/>
  <c r="R40" i="4"/>
  <c r="N20" i="4"/>
  <c r="AG126" i="4"/>
  <c r="AG66" i="4"/>
  <c r="AG94" i="4"/>
  <c r="U130" i="4"/>
  <c r="AD44" i="4"/>
  <c r="T100" i="4"/>
  <c r="N8" i="4"/>
  <c r="H68" i="4"/>
  <c r="Q14" i="4"/>
  <c r="H126" i="4"/>
  <c r="R106" i="4"/>
  <c r="H130" i="4"/>
  <c r="O34" i="4"/>
  <c r="AD88" i="4"/>
  <c r="AG130" i="4"/>
  <c r="AA112" i="4"/>
  <c r="K46" i="4"/>
  <c r="AG16" i="4"/>
  <c r="BD111" i="4"/>
  <c r="T48" i="4"/>
  <c r="G46" i="4"/>
  <c r="H98" i="4"/>
  <c r="AF126" i="4"/>
  <c r="T24" i="4"/>
  <c r="L48" i="4"/>
  <c r="K120" i="4"/>
  <c r="G30" i="4"/>
  <c r="H8" i="4"/>
  <c r="T8" i="4"/>
  <c r="L62" i="4"/>
  <c r="C69" i="4"/>
  <c r="AC44" i="4"/>
  <c r="H122" i="4"/>
  <c r="T98" i="4"/>
  <c r="H46" i="4"/>
  <c r="AG104" i="4"/>
  <c r="L30" i="4"/>
  <c r="L88" i="4"/>
  <c r="AF68" i="4"/>
  <c r="L56" i="4"/>
  <c r="AA50" i="4"/>
  <c r="U68" i="4"/>
  <c r="O8" i="4"/>
  <c r="AC64" i="4"/>
  <c r="AA78" i="4"/>
  <c r="O126" i="4"/>
  <c r="X80" i="4"/>
  <c r="Q20" i="4"/>
  <c r="H106" i="4"/>
  <c r="BM105" i="4" s="1"/>
  <c r="C23" i="4"/>
  <c r="K12" i="4"/>
  <c r="H104" i="4"/>
  <c r="AG84" i="4"/>
  <c r="AC24" i="4"/>
  <c r="T96" i="4"/>
  <c r="X58" i="4"/>
  <c r="AF20" i="4"/>
  <c r="AC52" i="4"/>
  <c r="CG51" i="4" s="1"/>
  <c r="X82" i="4"/>
  <c r="AA96" i="4"/>
  <c r="G88" i="4"/>
  <c r="AC100" i="4"/>
  <c r="T66" i="4"/>
  <c r="AG128" i="4"/>
  <c r="AI129" i="4"/>
  <c r="BP33" i="4"/>
  <c r="W106" i="4"/>
  <c r="AD42" i="4"/>
  <c r="W104" i="4"/>
  <c r="R72" i="4"/>
  <c r="L104" i="4"/>
  <c r="AI81" i="4"/>
  <c r="Q128" i="4"/>
  <c r="Z132" i="4"/>
  <c r="H14" i="4"/>
  <c r="AG98" i="4"/>
  <c r="O78" i="4"/>
  <c r="L94" i="4"/>
  <c r="U66" i="4"/>
  <c r="AI97" i="4"/>
  <c r="O104" i="4"/>
  <c r="Q94" i="4"/>
  <c r="W82" i="4"/>
  <c r="BV39" i="4"/>
  <c r="AG90" i="4"/>
  <c r="T68" i="4"/>
  <c r="Q50" i="4"/>
  <c r="L90" i="4"/>
  <c r="T28" i="4"/>
  <c r="L98" i="4"/>
  <c r="H24" i="4"/>
  <c r="X64" i="4"/>
  <c r="AG8" i="4"/>
  <c r="U52" i="4"/>
  <c r="AI123" i="4"/>
  <c r="L76" i="4"/>
  <c r="R66" i="4"/>
  <c r="AC84" i="4"/>
  <c r="BF83" i="4" s="1"/>
  <c r="H76" i="4"/>
  <c r="O36" i="4"/>
  <c r="X20" i="4"/>
  <c r="G44" i="4"/>
  <c r="L46" i="4"/>
  <c r="Q124" i="4"/>
  <c r="R92" i="4"/>
  <c r="K28" i="4"/>
  <c r="R116" i="4"/>
  <c r="G48" i="4"/>
  <c r="X112" i="4"/>
  <c r="AF50" i="4"/>
  <c r="AG52" i="4"/>
  <c r="L72" i="4"/>
  <c r="AA58" i="4"/>
  <c r="T128" i="4"/>
  <c r="AT19" i="4"/>
  <c r="Z46" i="4"/>
  <c r="AF64" i="4"/>
  <c r="Z60" i="4"/>
  <c r="AI13" i="4"/>
  <c r="R64" i="4"/>
  <c r="Q72" i="4"/>
  <c r="BP75" i="4"/>
  <c r="T90" i="4"/>
  <c r="AF14" i="4"/>
  <c r="AA128" i="4"/>
  <c r="C103" i="4"/>
  <c r="AA130" i="4"/>
  <c r="CK83" i="4"/>
  <c r="U100" i="4"/>
  <c r="N64" i="4"/>
  <c r="X16" i="4"/>
  <c r="U122" i="4"/>
  <c r="R108" i="4"/>
  <c r="AU107" i="4" s="1"/>
  <c r="U34" i="4"/>
  <c r="O120" i="4"/>
  <c r="Z50" i="4"/>
  <c r="BC49" i="4" s="1"/>
  <c r="AF112" i="4"/>
  <c r="AG100" i="4"/>
  <c r="L16" i="4"/>
  <c r="G106" i="4"/>
  <c r="AC36" i="4"/>
  <c r="O76" i="4"/>
  <c r="AA18" i="4"/>
  <c r="H60" i="4"/>
  <c r="AA104" i="4"/>
  <c r="AG120" i="4"/>
  <c r="O72" i="4"/>
  <c r="AA30" i="4"/>
  <c r="K124" i="4"/>
  <c r="Q16" i="4"/>
  <c r="O96" i="4"/>
  <c r="BY129" i="4"/>
  <c r="Z12" i="4"/>
  <c r="AA20" i="4"/>
  <c r="U40" i="4"/>
  <c r="AF30" i="4"/>
  <c r="CJ111" i="4"/>
  <c r="R10" i="4"/>
  <c r="AD64" i="4"/>
  <c r="Q8" i="4"/>
  <c r="AA48" i="4"/>
  <c r="K52" i="4"/>
  <c r="O80" i="4"/>
  <c r="G78" i="4"/>
  <c r="AK77" i="4" s="1"/>
  <c r="U80" i="4"/>
  <c r="H132" i="4"/>
  <c r="U30" i="4"/>
  <c r="L110" i="4"/>
  <c r="U26" i="4"/>
  <c r="BI125" i="4"/>
  <c r="AI111" i="4"/>
  <c r="BP87" i="4"/>
  <c r="L68" i="4"/>
  <c r="R36" i="4"/>
  <c r="G66" i="4"/>
  <c r="AG68" i="4"/>
  <c r="G122" i="4"/>
  <c r="AC26" i="4"/>
  <c r="U126" i="4"/>
  <c r="BX25" i="4"/>
  <c r="Q18" i="4"/>
  <c r="R56" i="4"/>
  <c r="W12" i="4"/>
  <c r="T12" i="4"/>
  <c r="K130" i="4"/>
  <c r="Q24" i="4"/>
  <c r="AI65" i="4"/>
  <c r="AG18" i="4"/>
  <c r="W10" i="4"/>
  <c r="AC68" i="4"/>
  <c r="T32" i="4"/>
  <c r="R16" i="4"/>
  <c r="BJ17" i="4"/>
  <c r="H84" i="4"/>
  <c r="AG58" i="4"/>
  <c r="R76" i="4"/>
  <c r="N68" i="4"/>
  <c r="L20" i="4"/>
  <c r="O66" i="4"/>
  <c r="G28" i="4"/>
  <c r="N116" i="4"/>
  <c r="AD12" i="4"/>
  <c r="K30" i="4"/>
  <c r="K36" i="4"/>
  <c r="U78" i="4"/>
  <c r="N88" i="4"/>
  <c r="Z80" i="4"/>
  <c r="R60" i="4"/>
  <c r="AG36" i="4"/>
  <c r="AA110" i="4"/>
  <c r="K48" i="4"/>
  <c r="AC60" i="4"/>
  <c r="Z104" i="4"/>
  <c r="BX31" i="4"/>
  <c r="X78" i="4"/>
  <c r="N12" i="4"/>
  <c r="AC80" i="4"/>
  <c r="AG74" i="4"/>
  <c r="CK93" i="4"/>
  <c r="AG124" i="4"/>
  <c r="AG20" i="4"/>
  <c r="L42" i="4"/>
  <c r="W80" i="4"/>
  <c r="R74" i="4"/>
  <c r="K50" i="4"/>
  <c r="Z82" i="4"/>
  <c r="O130" i="4"/>
  <c r="AL125" i="4"/>
  <c r="O98" i="4"/>
  <c r="AI19" i="4"/>
  <c r="G50" i="4"/>
  <c r="AG40" i="4"/>
  <c r="AN45" i="4"/>
  <c r="BP41" i="4"/>
  <c r="BU127" i="4"/>
  <c r="H100" i="4"/>
  <c r="BL77" i="4"/>
  <c r="AI93" i="4"/>
  <c r="U114" i="4"/>
  <c r="AA100" i="4"/>
  <c r="X52" i="4"/>
  <c r="G104" i="4"/>
  <c r="AN123" i="4"/>
  <c r="AD26" i="4"/>
  <c r="T60" i="4"/>
  <c r="AG116" i="4"/>
  <c r="C5" i="4"/>
  <c r="AD106" i="4"/>
  <c r="AA10" i="4"/>
  <c r="AD78" i="4"/>
  <c r="Q60" i="4"/>
  <c r="N44" i="4"/>
  <c r="Q132" i="4"/>
  <c r="Q74" i="4"/>
  <c r="T126" i="4"/>
  <c r="N10" i="4"/>
  <c r="AI35" i="4"/>
  <c r="G68" i="4"/>
  <c r="R100" i="4"/>
  <c r="AU99" i="4" s="1"/>
  <c r="Z94" i="4"/>
  <c r="Q12" i="4"/>
  <c r="AF12" i="4"/>
  <c r="Q96" i="4"/>
  <c r="X44" i="4"/>
  <c r="N138" i="4"/>
  <c r="R96" i="4"/>
  <c r="U48" i="4"/>
  <c r="AG30" i="4"/>
  <c r="AI117" i="4"/>
  <c r="AG96" i="4"/>
  <c r="CK95" i="4" s="1"/>
  <c r="H124" i="4"/>
  <c r="X60" i="4"/>
  <c r="N100" i="4"/>
  <c r="BR99" i="4" s="1"/>
  <c r="Q116" i="4"/>
  <c r="AC12" i="4"/>
  <c r="CG11" i="4" s="1"/>
  <c r="X30" i="4"/>
  <c r="CB29" i="4" s="1"/>
  <c r="AD90" i="4"/>
  <c r="AI31" i="4"/>
  <c r="L24" i="4"/>
  <c r="AI43" i="4"/>
  <c r="AT123" i="4"/>
  <c r="Q52" i="4"/>
  <c r="O44" i="4"/>
  <c r="Q120" i="4"/>
  <c r="R12" i="4"/>
  <c r="Z66" i="4"/>
  <c r="Q88" i="4"/>
  <c r="Q10" i="4"/>
  <c r="T110" i="4"/>
  <c r="BM55" i="4"/>
  <c r="AF84" i="4"/>
  <c r="H82" i="4"/>
  <c r="BM39" i="4"/>
  <c r="BS119" i="4"/>
  <c r="Z114" i="4"/>
  <c r="AD58" i="4"/>
  <c r="X50" i="4"/>
  <c r="C39" i="4"/>
  <c r="N76" i="4"/>
  <c r="AG80" i="4"/>
  <c r="AD110" i="4"/>
  <c r="Q46" i="4"/>
  <c r="AX33" i="4"/>
  <c r="AC106" i="4"/>
  <c r="BF105" i="4" s="1"/>
  <c r="X42" i="4"/>
  <c r="Z108" i="4"/>
  <c r="Q100" i="4"/>
  <c r="AG76" i="4"/>
  <c r="O26" i="4"/>
  <c r="T112" i="4"/>
  <c r="AD24" i="4"/>
  <c r="CK115" i="4"/>
  <c r="L96" i="4"/>
  <c r="BG77" i="4"/>
  <c r="T88" i="4"/>
  <c r="AC120" i="4"/>
  <c r="AA90" i="4"/>
  <c r="AA12" i="4"/>
  <c r="N84" i="4"/>
  <c r="K74" i="4"/>
  <c r="K112" i="4"/>
  <c r="Q104" i="4"/>
  <c r="AA106" i="4"/>
  <c r="O122" i="4"/>
  <c r="W44" i="4"/>
  <c r="N128" i="4"/>
  <c r="X120" i="4"/>
  <c r="K8" i="4"/>
  <c r="L50" i="4"/>
  <c r="T130" i="4"/>
  <c r="AI51" i="4"/>
  <c r="AF36" i="4"/>
  <c r="K90" i="4"/>
  <c r="CE17" i="4"/>
  <c r="K44" i="4"/>
  <c r="R52" i="4"/>
  <c r="N48" i="4"/>
  <c r="BD49" i="4"/>
  <c r="Z26" i="4"/>
  <c r="K104" i="4"/>
  <c r="AF40" i="4"/>
  <c r="AQ63" i="4"/>
  <c r="AG62" i="4"/>
  <c r="AF76" i="4"/>
  <c r="AD114" i="4"/>
  <c r="G128" i="4"/>
  <c r="H48" i="4"/>
  <c r="BO11" i="4"/>
  <c r="AI5" i="4"/>
  <c r="AG24" i="4"/>
  <c r="Q90" i="4"/>
  <c r="G112" i="4"/>
  <c r="AR35" i="4"/>
  <c r="BA49" i="4"/>
  <c r="BO73" i="4"/>
  <c r="AL103" i="4"/>
  <c r="AX113" i="4"/>
  <c r="AA14" i="4"/>
  <c r="U88" i="4"/>
  <c r="W14" i="4"/>
  <c r="Q64" i="4"/>
  <c r="AR97" i="4"/>
  <c r="AI131" i="4"/>
  <c r="O30" i="4"/>
  <c r="BS29" i="4" s="1"/>
  <c r="Z36" i="4"/>
  <c r="BC35" i="4" s="1"/>
  <c r="AI115" i="4"/>
  <c r="AG110" i="4"/>
  <c r="CK109" i="4" s="1"/>
  <c r="H108" i="4"/>
  <c r="AL107" i="4"/>
  <c r="AI29" i="4"/>
  <c r="X130" i="4"/>
  <c r="O64" i="4"/>
  <c r="R18" i="4"/>
  <c r="R62" i="4"/>
  <c r="AC34" i="4"/>
  <c r="AI99" i="4"/>
  <c r="AC20" i="4"/>
  <c r="G108" i="4"/>
  <c r="AD128" i="4"/>
  <c r="BG127" i="4" s="1"/>
  <c r="U60" i="4"/>
  <c r="AX29" i="4"/>
  <c r="CB79" i="4"/>
  <c r="W120" i="4"/>
  <c r="N106" i="4"/>
  <c r="AD124" i="4"/>
  <c r="X8" i="4"/>
  <c r="BJ97" i="4"/>
  <c r="R122" i="4"/>
  <c r="H96" i="4"/>
  <c r="X74" i="4"/>
  <c r="AG108" i="4"/>
  <c r="BJ107" i="4" s="1"/>
  <c r="U18" i="4"/>
  <c r="L64" i="4"/>
  <c r="AI77" i="4"/>
  <c r="CG67" i="4"/>
  <c r="H138" i="4"/>
  <c r="Z18" i="4"/>
  <c r="CD17" i="4" s="1"/>
  <c r="U124" i="4"/>
  <c r="K56" i="4"/>
  <c r="C85" i="4"/>
  <c r="AM27" i="4"/>
  <c r="BU19" i="4"/>
  <c r="AL75" i="4"/>
  <c r="U14" i="4"/>
  <c r="AD40" i="4"/>
  <c r="CH105" i="4"/>
  <c r="K14" i="4"/>
  <c r="N108" i="4"/>
  <c r="AC96" i="4"/>
  <c r="R44" i="4"/>
  <c r="AD116" i="4"/>
  <c r="N98" i="4"/>
  <c r="AI73" i="4"/>
  <c r="R114" i="4"/>
  <c r="H112" i="4"/>
  <c r="N58" i="4"/>
  <c r="O128" i="4"/>
  <c r="AR127" i="4" s="1"/>
  <c r="BC45" i="4"/>
  <c r="AF66" i="4"/>
  <c r="CK73" i="4"/>
  <c r="BP15" i="4"/>
  <c r="Z88" i="4"/>
  <c r="CK119" i="4"/>
  <c r="BU45" i="4"/>
  <c r="Z14" i="4"/>
  <c r="Q58" i="4"/>
  <c r="R32" i="4"/>
  <c r="BY47" i="4"/>
  <c r="BX59" i="4"/>
  <c r="Z98" i="4"/>
  <c r="AA108" i="4"/>
  <c r="AI25" i="4"/>
  <c r="BG43" i="4"/>
  <c r="BF95" i="4"/>
  <c r="AF122" i="4"/>
  <c r="AU121" i="4"/>
  <c r="R124" i="4"/>
  <c r="AK111" i="4"/>
  <c r="G36" i="4"/>
  <c r="AQ67" i="4"/>
  <c r="BM99" i="4"/>
  <c r="CJ11" i="4"/>
  <c r="W46" i="4"/>
  <c r="T108" i="4"/>
  <c r="BI93" i="4"/>
  <c r="AM127" i="4"/>
  <c r="W76" i="4"/>
  <c r="G60" i="4"/>
  <c r="U8" i="4"/>
  <c r="AA64" i="4"/>
  <c r="K58" i="4"/>
  <c r="O84" i="4"/>
  <c r="Z64" i="4"/>
  <c r="W26" i="4"/>
  <c r="AF44" i="4"/>
  <c r="Z40" i="4"/>
  <c r="W114" i="4"/>
  <c r="Z130" i="4"/>
  <c r="O50" i="4"/>
  <c r="N120" i="4"/>
  <c r="K76" i="4"/>
  <c r="W52" i="4"/>
  <c r="H92" i="4"/>
  <c r="U84" i="4"/>
  <c r="BO89" i="4"/>
  <c r="AW67" i="4"/>
  <c r="L28" i="4"/>
  <c r="Z42" i="4"/>
  <c r="AC66" i="4"/>
  <c r="U58" i="4"/>
  <c r="CE29" i="4"/>
  <c r="BP45" i="4"/>
  <c r="BV9" i="4"/>
  <c r="AZ105" i="4"/>
  <c r="X34" i="4"/>
  <c r="AQ57" i="4"/>
  <c r="BM111" i="4"/>
  <c r="BR63" i="4"/>
  <c r="BV111" i="4"/>
  <c r="AI23" i="4"/>
  <c r="K32" i="4"/>
  <c r="BD77" i="4"/>
  <c r="AF80" i="4"/>
  <c r="AX79" i="4"/>
  <c r="U96" i="4"/>
  <c r="CK51" i="4"/>
  <c r="AN89" i="4"/>
  <c r="R128" i="4"/>
  <c r="Q48" i="4"/>
  <c r="O60" i="4"/>
  <c r="BX11" i="4"/>
  <c r="AQ47" i="4"/>
  <c r="BO119" i="4"/>
  <c r="AL99" i="4"/>
  <c r="AG60" i="4"/>
  <c r="W40" i="4"/>
  <c r="X122" i="4"/>
  <c r="BM123" i="4"/>
  <c r="BD9" i="4"/>
  <c r="CB63" i="4"/>
  <c r="N112" i="4"/>
  <c r="H78" i="4"/>
  <c r="W90" i="4"/>
  <c r="AA116" i="4"/>
  <c r="L122" i="4"/>
  <c r="T80" i="4"/>
  <c r="T82" i="4"/>
  <c r="K16" i="4"/>
  <c r="BM137" i="4"/>
  <c r="O42" i="4"/>
  <c r="U36" i="4"/>
  <c r="BO103" i="4"/>
  <c r="C53" i="4"/>
  <c r="G114" i="4"/>
  <c r="BV11" i="4"/>
  <c r="BD105" i="4"/>
  <c r="BS75" i="4"/>
  <c r="AC50" i="4"/>
  <c r="AC88" i="4"/>
  <c r="CK103" i="4"/>
  <c r="BU131" i="4"/>
  <c r="BY25" i="4"/>
  <c r="AD48" i="4"/>
  <c r="L18" i="4"/>
  <c r="Z8" i="4"/>
  <c r="N104" i="4"/>
  <c r="G52" i="4"/>
  <c r="AF32" i="4"/>
  <c r="O20" i="4"/>
  <c r="BA111" i="4"/>
  <c r="N46" i="4"/>
  <c r="AK107" i="4"/>
  <c r="Q80" i="4"/>
  <c r="CE77" i="4"/>
  <c r="Q122" i="4"/>
  <c r="Z48" i="4"/>
  <c r="H28" i="4"/>
  <c r="AD18" i="4"/>
  <c r="X72" i="4"/>
  <c r="L8" i="4"/>
  <c r="AO93" i="4"/>
  <c r="H34" i="4"/>
  <c r="AW97" i="4"/>
  <c r="U116" i="4"/>
  <c r="AR79" i="4"/>
  <c r="AG72" i="4"/>
  <c r="K92" i="4"/>
  <c r="CH127" i="4"/>
  <c r="O46" i="4"/>
  <c r="X138" i="4"/>
  <c r="G138" i="4"/>
  <c r="AO121" i="4"/>
  <c r="BY125" i="4"/>
  <c r="Q30" i="4"/>
  <c r="BO91" i="4"/>
  <c r="BP29" i="4"/>
  <c r="BR127" i="4"/>
  <c r="BL127" i="4"/>
  <c r="N126" i="4"/>
  <c r="G98" i="4"/>
  <c r="BS103" i="4"/>
  <c r="L80" i="4"/>
  <c r="AX77" i="4"/>
  <c r="BG123" i="4"/>
  <c r="AL77" i="4"/>
  <c r="AU127" i="4"/>
  <c r="BC47" i="4"/>
  <c r="BY113" i="4"/>
  <c r="R26" i="4"/>
  <c r="AK47" i="4"/>
  <c r="CD65" i="4"/>
  <c r="BD63" i="4"/>
  <c r="AW65" i="4"/>
  <c r="BJ103" i="4"/>
  <c r="Z138" i="4"/>
  <c r="CD137" i="4" s="1"/>
  <c r="AG26" i="4"/>
  <c r="AI75" i="4"/>
  <c r="T30" i="4"/>
  <c r="AD66" i="4"/>
  <c r="CH65" i="4" s="1"/>
  <c r="R46" i="4"/>
  <c r="Q92" i="4"/>
  <c r="AQ23" i="4"/>
  <c r="U28" i="4"/>
  <c r="BY27" i="4" s="1"/>
  <c r="BM125" i="4"/>
  <c r="H88" i="4"/>
  <c r="AF132" i="4"/>
  <c r="L132" i="4"/>
  <c r="G16" i="4"/>
  <c r="AK15" i="4" s="1"/>
  <c r="L92" i="4"/>
  <c r="BP91" i="4" s="1"/>
  <c r="AG50" i="4"/>
  <c r="AC32" i="4"/>
  <c r="BF33" i="4"/>
  <c r="N110" i="4"/>
  <c r="AC40" i="4"/>
  <c r="G74" i="4"/>
  <c r="AI79" i="4"/>
  <c r="H30" i="4"/>
  <c r="AF74" i="4"/>
  <c r="AA62" i="4"/>
  <c r="Z68" i="4"/>
  <c r="Q28" i="4"/>
  <c r="AG56" i="4"/>
  <c r="CK55" i="4" s="1"/>
  <c r="AG44" i="4"/>
  <c r="AC90" i="4"/>
  <c r="AD36" i="4"/>
  <c r="AF18" i="4"/>
  <c r="BI17" i="4" s="1"/>
  <c r="AF42" i="4"/>
  <c r="L116" i="4"/>
  <c r="AC62" i="4"/>
  <c r="AD120" i="4"/>
  <c r="AI61" i="4"/>
  <c r="Q130" i="4"/>
  <c r="AT129" i="4" s="1"/>
  <c r="BL27" i="4"/>
  <c r="AG14" i="4"/>
  <c r="U64" i="4"/>
  <c r="BY63" i="4" s="1"/>
  <c r="Z110" i="4"/>
  <c r="AA80" i="4"/>
  <c r="AI57" i="4"/>
  <c r="BJ49" i="4"/>
  <c r="X88" i="4"/>
  <c r="CB73" i="4"/>
  <c r="AT15" i="4"/>
  <c r="AF60" i="4"/>
  <c r="BF51" i="4"/>
  <c r="AT131" i="4"/>
  <c r="W84" i="4"/>
  <c r="BP49" i="4"/>
  <c r="BV63" i="4"/>
  <c r="K82" i="4"/>
  <c r="G126" i="4"/>
  <c r="X10" i="4"/>
  <c r="CH63" i="4"/>
  <c r="BS95" i="4"/>
  <c r="Q66" i="4"/>
  <c r="AQ11" i="4"/>
  <c r="H74" i="4"/>
  <c r="G20" i="4"/>
  <c r="BJ123" i="4"/>
  <c r="AK105" i="4"/>
  <c r="BL103" i="4"/>
  <c r="G116" i="4"/>
  <c r="BL115" i="4" s="1"/>
  <c r="U106" i="4"/>
  <c r="BF89" i="4"/>
  <c r="AL129" i="4"/>
  <c r="AZ103" i="4"/>
  <c r="BI35" i="4"/>
  <c r="R130" i="4"/>
  <c r="AO19" i="4"/>
  <c r="BI19" i="4"/>
  <c r="AN51" i="4"/>
  <c r="BA15" i="4"/>
  <c r="AC48" i="4"/>
  <c r="BL19" i="4"/>
  <c r="BD29" i="4"/>
  <c r="AO41" i="4"/>
  <c r="U132" i="4"/>
  <c r="BG23" i="4"/>
  <c r="BJ99" i="4"/>
  <c r="W108" i="4"/>
  <c r="L14" i="4"/>
  <c r="BM47" i="4"/>
  <c r="U10" i="4"/>
  <c r="K10" i="4"/>
  <c r="BJ65" i="4"/>
  <c r="L108" i="4"/>
  <c r="Z124" i="4"/>
  <c r="U76" i="4"/>
  <c r="AC74" i="4"/>
  <c r="T114" i="4"/>
  <c r="BR23" i="4"/>
  <c r="N90" i="4"/>
  <c r="T122" i="4"/>
  <c r="AF116" i="4"/>
  <c r="O82" i="4"/>
  <c r="W100" i="4"/>
  <c r="K98" i="4"/>
  <c r="AN97" i="4" s="1"/>
  <c r="N80" i="4"/>
  <c r="O124" i="4"/>
  <c r="Q84" i="4"/>
  <c r="BY7" i="4"/>
  <c r="BC131" i="4"/>
  <c r="BI131" i="4"/>
  <c r="AZ99" i="4"/>
  <c r="Z20" i="4"/>
  <c r="CB129" i="4"/>
  <c r="U24" i="4"/>
  <c r="BY23" i="4" s="1"/>
  <c r="AD96" i="4"/>
  <c r="H26" i="4"/>
  <c r="W16" i="4"/>
  <c r="BJ35" i="4"/>
  <c r="AM49" i="4"/>
  <c r="CD39" i="4"/>
  <c r="H128" i="4"/>
  <c r="AL127" i="4" s="1"/>
  <c r="CB41" i="4"/>
  <c r="BC27" i="4"/>
  <c r="BI111" i="4"/>
  <c r="BY33" i="4"/>
  <c r="CA113" i="4"/>
  <c r="BV15" i="4"/>
  <c r="BJ79" i="4"/>
  <c r="AR123" i="4"/>
  <c r="BV71" i="4"/>
  <c r="W66" i="4"/>
  <c r="BD57" i="4"/>
  <c r="CK65" i="4"/>
  <c r="AW111" i="4"/>
  <c r="AC76" i="4"/>
  <c r="CK29" i="4"/>
  <c r="Q106" i="4"/>
  <c r="F117" i="4"/>
  <c r="BR47" i="4"/>
  <c r="AD68" i="4"/>
  <c r="CE63" i="4"/>
  <c r="BX65" i="4"/>
  <c r="AM65" i="4"/>
  <c r="AD122" i="4"/>
  <c r="L106" i="4"/>
  <c r="Z74" i="4"/>
  <c r="AG92" i="4"/>
  <c r="AD52" i="4"/>
  <c r="AW59" i="4"/>
  <c r="CE95" i="4"/>
  <c r="Z120" i="4"/>
  <c r="AA76" i="4"/>
  <c r="G40" i="4"/>
  <c r="K138" i="4"/>
  <c r="X76" i="4"/>
  <c r="BD75" i="4"/>
  <c r="AC122" i="4"/>
  <c r="AF114" i="4"/>
  <c r="H50" i="4"/>
  <c r="AU11" i="4"/>
  <c r="AR119" i="4"/>
  <c r="BC119" i="4"/>
  <c r="BR105" i="4"/>
  <c r="AA94" i="4"/>
  <c r="AF82" i="4"/>
  <c r="AL29" i="4"/>
  <c r="BX109" i="4"/>
  <c r="Q98" i="4"/>
  <c r="BU87" i="4"/>
  <c r="AW89" i="4"/>
  <c r="R138" i="4"/>
  <c r="BV137" i="4" s="1"/>
  <c r="U138" i="4"/>
  <c r="K122" i="4"/>
  <c r="O138" i="4"/>
  <c r="AI125" i="4"/>
  <c r="W60" i="4"/>
  <c r="AZ59" i="4" s="1"/>
  <c r="K106" i="4"/>
  <c r="AG34" i="4"/>
  <c r="U92" i="4"/>
  <c r="CD35" i="4"/>
  <c r="Q42" i="4"/>
  <c r="L84" i="4"/>
  <c r="O62" i="4"/>
  <c r="AQ127" i="4"/>
  <c r="Z62" i="4"/>
  <c r="AQ115" i="4"/>
  <c r="N96" i="4"/>
  <c r="BM107" i="4"/>
  <c r="BS61" i="4"/>
  <c r="AQ109" i="4"/>
  <c r="Q76" i="4"/>
  <c r="O28" i="4"/>
  <c r="W68" i="4"/>
  <c r="BJ95" i="4"/>
  <c r="G110" i="4"/>
  <c r="BO51" i="4"/>
  <c r="AF34" i="4"/>
  <c r="H44" i="4"/>
  <c r="W116" i="4"/>
  <c r="BI29" i="4"/>
  <c r="CK123" i="4"/>
  <c r="AO91" i="4"/>
  <c r="BI115" i="4"/>
  <c r="BL111" i="4"/>
  <c r="H12" i="4"/>
  <c r="AM121" i="4"/>
  <c r="Q32" i="4"/>
  <c r="BX67" i="4"/>
  <c r="BG103" i="4"/>
  <c r="G10" i="4"/>
  <c r="AT45" i="4"/>
  <c r="BO111" i="4"/>
  <c r="BO45" i="4"/>
  <c r="AM67" i="4"/>
  <c r="AK113" i="4"/>
  <c r="CA79" i="4"/>
  <c r="U16" i="4"/>
  <c r="BY123" i="4"/>
  <c r="CH95" i="4"/>
  <c r="BM59" i="4"/>
  <c r="AR81" i="4"/>
  <c r="BR57" i="4"/>
  <c r="CH115" i="4"/>
  <c r="CK79" i="4"/>
  <c r="T64" i="4"/>
  <c r="AK121" i="4"/>
  <c r="CH25" i="4"/>
  <c r="R50" i="4"/>
  <c r="AU49" i="4" s="1"/>
  <c r="O58" i="4"/>
  <c r="W36" i="4"/>
  <c r="AZ35" i="4" s="1"/>
  <c r="K62" i="4"/>
  <c r="AN61" i="4" s="1"/>
  <c r="O52" i="4"/>
  <c r="BS51" i="4" s="1"/>
  <c r="Z24" i="4"/>
  <c r="L126" i="4"/>
  <c r="BP125" i="4" s="1"/>
  <c r="AC138" i="4"/>
  <c r="H72" i="4"/>
  <c r="BM71" i="4" s="1"/>
  <c r="W110" i="4"/>
  <c r="AT73" i="4"/>
  <c r="AR125" i="4"/>
  <c r="L40" i="4"/>
  <c r="BV45" i="4"/>
  <c r="G90" i="4"/>
  <c r="O100" i="4"/>
  <c r="AR99" i="4" s="1"/>
  <c r="O56" i="4"/>
  <c r="AA138" i="4"/>
  <c r="X106" i="4"/>
  <c r="L114" i="4"/>
  <c r="X12" i="4"/>
  <c r="X92" i="4"/>
  <c r="BX111" i="4"/>
  <c r="BL47" i="4"/>
  <c r="W32" i="4"/>
  <c r="CA31" i="4" s="1"/>
  <c r="K88" i="4"/>
  <c r="W42" i="4"/>
  <c r="AO49" i="4"/>
  <c r="AI85" i="4"/>
  <c r="AF10" i="4"/>
  <c r="Q62" i="4"/>
  <c r="AA8" i="4"/>
  <c r="AG28" i="4"/>
  <c r="BO55" i="4"/>
  <c r="AU35" i="4"/>
  <c r="L138" i="4"/>
  <c r="AA114" i="4"/>
  <c r="AC98" i="4"/>
  <c r="AC92" i="4"/>
  <c r="AC116" i="4"/>
  <c r="AT127" i="4"/>
  <c r="BD47" i="4"/>
  <c r="CE111" i="4"/>
  <c r="BM81" i="4"/>
  <c r="AC72" i="4"/>
  <c r="BX47" i="4"/>
  <c r="BS43" i="4"/>
  <c r="R104" i="4"/>
  <c r="AI45" i="4"/>
  <c r="CA97" i="4"/>
  <c r="AG64" i="4"/>
  <c r="AN67" i="4"/>
  <c r="AA24" i="4"/>
  <c r="AD126" i="4"/>
  <c r="R90" i="4"/>
  <c r="K80" i="4"/>
  <c r="AM73" i="4"/>
  <c r="BX129" i="4"/>
  <c r="AD92" i="4"/>
  <c r="BG63" i="4"/>
  <c r="AM29" i="4"/>
  <c r="BL121" i="4"/>
  <c r="BF67" i="4"/>
  <c r="O92" i="4"/>
  <c r="AQ119" i="4"/>
  <c r="CD19" i="4"/>
  <c r="AF56" i="4"/>
  <c r="BS107" i="4"/>
  <c r="AN43" i="4"/>
  <c r="BJ13" i="4"/>
  <c r="CK107" i="4"/>
  <c r="W30" i="4"/>
  <c r="BV113" i="4"/>
  <c r="L60" i="4"/>
  <c r="BP59" i="4" s="1"/>
  <c r="AA42" i="4"/>
  <c r="N18" i="4"/>
  <c r="AQ17" i="4" s="1"/>
  <c r="AO45" i="4"/>
  <c r="C87" i="4"/>
  <c r="AI87" i="4" s="1"/>
  <c r="G80" i="4"/>
  <c r="W34" i="4"/>
  <c r="AO125" i="4"/>
  <c r="AI63" i="4"/>
  <c r="BU71" i="4"/>
  <c r="N56" i="4"/>
  <c r="BJ25" i="4"/>
  <c r="BC67" i="4"/>
  <c r="N122" i="4"/>
  <c r="AG82" i="4"/>
  <c r="CE47" i="4"/>
  <c r="CG33" i="4"/>
  <c r="CK25" i="4"/>
  <c r="CG19" i="4"/>
  <c r="U12" i="4"/>
  <c r="U56" i="4"/>
  <c r="U104" i="4"/>
  <c r="O112" i="4"/>
  <c r="Z92" i="4"/>
  <c r="Z52" i="4"/>
  <c r="BY121" i="4"/>
  <c r="AN47" i="4"/>
  <c r="BC59" i="4"/>
  <c r="AW113" i="4"/>
  <c r="X104" i="4"/>
  <c r="AI41" i="4"/>
  <c r="CH91" i="4"/>
  <c r="BX7" i="4"/>
  <c r="AT27" i="4"/>
  <c r="BU11" i="4"/>
  <c r="G82" i="4"/>
  <c r="AO29" i="4"/>
  <c r="CJ35" i="4"/>
  <c r="CB43" i="4"/>
  <c r="CK75" i="4"/>
  <c r="BU105" i="4"/>
  <c r="AI103" i="4"/>
  <c r="BM7" i="4"/>
  <c r="X84" i="4"/>
  <c r="AK43" i="4"/>
  <c r="BS25" i="4"/>
  <c r="H90" i="4"/>
  <c r="BU83" i="4"/>
  <c r="K94" i="4"/>
  <c r="CH119" i="4"/>
  <c r="K96" i="4"/>
  <c r="AU111" i="4"/>
  <c r="CD49" i="4"/>
  <c r="BR43" i="4"/>
  <c r="AT23" i="4"/>
  <c r="W138" i="4"/>
  <c r="BO61" i="4"/>
  <c r="AL105" i="4"/>
  <c r="BG89" i="4"/>
  <c r="CK27" i="4"/>
  <c r="X56" i="4"/>
  <c r="O116" i="4"/>
  <c r="BD13" i="4"/>
  <c r="BU95" i="4"/>
  <c r="AI9" i="4"/>
  <c r="R126" i="4"/>
  <c r="AT79" i="4"/>
  <c r="AN49" i="4"/>
  <c r="AM45" i="4"/>
  <c r="CE113" i="4"/>
  <c r="AM35" i="4"/>
  <c r="X26" i="4"/>
  <c r="BG113" i="4"/>
  <c r="CK125" i="4"/>
  <c r="G76" i="4"/>
  <c r="BV115" i="4"/>
  <c r="CJ93" i="4"/>
  <c r="W50" i="4"/>
  <c r="AF52" i="4"/>
  <c r="AO61" i="4"/>
  <c r="BP95" i="4"/>
  <c r="N60" i="4"/>
  <c r="BI13" i="4"/>
  <c r="R110" i="4"/>
  <c r="N28" i="4"/>
  <c r="BC81" i="4"/>
  <c r="AQ19" i="4"/>
  <c r="BO15" i="4"/>
  <c r="BO13" i="4"/>
  <c r="AF108" i="4"/>
  <c r="BF25" i="4"/>
  <c r="CE89" i="4"/>
  <c r="CD107" i="4"/>
  <c r="AR43" i="4"/>
  <c r="AF48" i="4"/>
  <c r="T36" i="4"/>
  <c r="BS91" i="4"/>
  <c r="BJ15" i="4"/>
  <c r="C37" i="4"/>
  <c r="AZ9" i="4"/>
  <c r="G8" i="4"/>
  <c r="BJ119" i="4"/>
  <c r="AU115" i="4"/>
  <c r="BM83" i="4"/>
  <c r="AU43" i="4"/>
  <c r="BI81" i="4"/>
  <c r="AF120" i="4"/>
  <c r="AD30" i="4"/>
  <c r="AW87" i="4"/>
  <c r="BP93" i="4"/>
  <c r="CD113" i="4"/>
  <c r="AU65" i="4"/>
  <c r="L36" i="4"/>
  <c r="AL11" i="4"/>
  <c r="AC16" i="4"/>
  <c r="AO59" i="4"/>
  <c r="BA51" i="4"/>
  <c r="CD63" i="4"/>
  <c r="AM113" i="4"/>
  <c r="AC126" i="4"/>
  <c r="AD16" i="4"/>
  <c r="K132" i="4"/>
  <c r="CE103" i="4"/>
  <c r="AT87" i="4"/>
  <c r="Z56" i="4"/>
  <c r="X46" i="4"/>
  <c r="BD41" i="4"/>
  <c r="CA109" i="4"/>
  <c r="AZ39" i="4"/>
  <c r="R28" i="4"/>
  <c r="T16" i="4"/>
  <c r="AQ97" i="4"/>
  <c r="N62" i="4"/>
  <c r="BR61" i="4" s="1"/>
  <c r="K100" i="4"/>
  <c r="BO99" i="4" s="1"/>
  <c r="BV107" i="4"/>
  <c r="G72" i="4"/>
  <c r="C101" i="4"/>
  <c r="U20" i="4"/>
  <c r="U90" i="4"/>
  <c r="N32" i="4"/>
  <c r="Q68" i="4"/>
  <c r="T58" i="4"/>
  <c r="BX57" i="4" s="1"/>
  <c r="AA68" i="4"/>
  <c r="CE67" i="4" s="1"/>
  <c r="AD50" i="4"/>
  <c r="CH49" i="4" s="1"/>
  <c r="N42" i="4"/>
  <c r="AQ41" i="4" s="1"/>
  <c r="AC114" i="4"/>
  <c r="CG113" i="4" s="1"/>
  <c r="K26" i="4"/>
  <c r="BU27" i="4"/>
  <c r="G32" i="4"/>
  <c r="BL31" i="4" s="1"/>
  <c r="C21" i="4"/>
  <c r="AI21" i="4" s="1"/>
  <c r="AA52" i="4"/>
  <c r="CE51" i="4" s="1"/>
  <c r="R132" i="4"/>
  <c r="X116" i="4"/>
  <c r="BA115" i="4" s="1"/>
  <c r="W8" i="4"/>
  <c r="CA7" i="4" s="1"/>
  <c r="AF106" i="4"/>
  <c r="BV131" i="4"/>
  <c r="AA46" i="4"/>
  <c r="CE45" i="4" s="1"/>
  <c r="R98" i="4"/>
  <c r="G130" i="4"/>
  <c r="BL129" i="4" s="1"/>
  <c r="CJ13" i="4"/>
  <c r="BF63" i="4"/>
  <c r="BD19" i="4"/>
  <c r="AC10" i="4"/>
  <c r="CK57" i="4"/>
  <c r="AX121" i="4"/>
  <c r="T106" i="4"/>
  <c r="BM75" i="4"/>
  <c r="CJ41" i="4"/>
  <c r="H18" i="4"/>
  <c r="T72" i="4"/>
  <c r="BR19" i="4"/>
  <c r="BU13" i="4"/>
  <c r="W24" i="4"/>
  <c r="BJ127" i="4"/>
  <c r="AO39" i="4"/>
  <c r="CE19" i="4"/>
  <c r="Z112" i="4"/>
  <c r="N66" i="4"/>
  <c r="AU113" i="4"/>
  <c r="X98" i="4"/>
  <c r="L44" i="4"/>
  <c r="H120" i="4"/>
  <c r="AG132" i="4"/>
  <c r="W122" i="4"/>
  <c r="AO109" i="4"/>
  <c r="AU39" i="4"/>
  <c r="U44" i="4"/>
  <c r="BY43" i="4" s="1"/>
  <c r="W28" i="4"/>
  <c r="BX29" i="4"/>
  <c r="CB49" i="4"/>
  <c r="AA98" i="4"/>
  <c r="BD97" i="4" s="1"/>
  <c r="K40" i="4"/>
  <c r="AU89" i="4"/>
  <c r="X66" i="4"/>
  <c r="R24" i="4"/>
  <c r="BD129" i="4"/>
  <c r="CB119" i="4"/>
  <c r="BM127" i="4"/>
  <c r="K20" i="4"/>
  <c r="AA34" i="4"/>
  <c r="BO43" i="4"/>
  <c r="AO47" i="4"/>
  <c r="AF26" i="4"/>
  <c r="AG46" i="4"/>
  <c r="AK125" i="4"/>
  <c r="N124" i="4"/>
  <c r="T138" i="4"/>
  <c r="BX137" i="4" s="1"/>
  <c r="L124" i="4"/>
  <c r="AU15" i="4"/>
  <c r="AI119" i="4"/>
  <c r="AD138" i="4"/>
  <c r="CH137" i="4" s="1"/>
  <c r="CH35" i="4"/>
  <c r="H94" i="4"/>
  <c r="BM93" i="4" s="1"/>
  <c r="CH121" i="4"/>
  <c r="O114" i="4"/>
  <c r="BS113" i="4" s="1"/>
  <c r="AI59" i="4"/>
  <c r="N36" i="4"/>
  <c r="BR35" i="4" s="1"/>
  <c r="AC128" i="4"/>
  <c r="BF127" i="4" s="1"/>
  <c r="R80" i="4"/>
  <c r="AU79" i="4" s="1"/>
  <c r="AO33" i="4"/>
  <c r="K64" i="4"/>
  <c r="N132" i="4"/>
  <c r="T56" i="4"/>
  <c r="Z126" i="4"/>
  <c r="CD125" i="4" s="1"/>
  <c r="AI47" i="4"/>
  <c r="BF99" i="4"/>
  <c r="CK63" i="4"/>
  <c r="AR77" i="4"/>
  <c r="BF19" i="4"/>
  <c r="CD79" i="4"/>
  <c r="BL65" i="4"/>
  <c r="AM79" i="4"/>
  <c r="Z84" i="4"/>
  <c r="BC83" i="4" s="1"/>
  <c r="L74" i="4"/>
  <c r="G92" i="4"/>
  <c r="BL91" i="4" s="1"/>
  <c r="BS99" i="4"/>
  <c r="Z90" i="4"/>
  <c r="CD89" i="4" s="1"/>
  <c r="Z44" i="4"/>
  <c r="O94" i="4"/>
  <c r="AG122" i="4"/>
  <c r="CK121" i="4" s="1"/>
  <c r="AZ97" i="4"/>
  <c r="AL131" i="4"/>
  <c r="AQ125" i="4"/>
  <c r="X40" i="4"/>
  <c r="CG43" i="4"/>
  <c r="BJ81" i="4"/>
  <c r="CG61" i="4"/>
  <c r="O10" i="4"/>
  <c r="CE75" i="4"/>
  <c r="BS57" i="4"/>
  <c r="AM43" i="4"/>
  <c r="AA60" i="4"/>
  <c r="AD98" i="4"/>
  <c r="BR17" i="4"/>
  <c r="G124" i="4"/>
  <c r="AD94" i="4"/>
  <c r="CA27" i="4"/>
  <c r="BS111" i="4"/>
  <c r="D117" i="4"/>
  <c r="BM73" i="4"/>
  <c r="BS81" i="4"/>
  <c r="CA83" i="4"/>
  <c r="BD109" i="4"/>
  <c r="CA39" i="4"/>
  <c r="CA45" i="4"/>
  <c r="BA79" i="4"/>
  <c r="BL113" i="4"/>
  <c r="C55" i="4"/>
  <c r="AR55" i="4" s="1"/>
  <c r="CD23" i="4"/>
  <c r="R120" i="4"/>
  <c r="AN13" i="4"/>
  <c r="AK109" i="4"/>
  <c r="BO9" i="4"/>
  <c r="BA77" i="4"/>
  <c r="T92" i="4"/>
  <c r="CJ105" i="4"/>
  <c r="CK129" i="4"/>
  <c r="AK129" i="4"/>
  <c r="BO31" i="4"/>
  <c r="BV25" i="4"/>
  <c r="AM123" i="4"/>
  <c r="AX9" i="4"/>
  <c r="Y137" i="4"/>
  <c r="AI55" i="4"/>
  <c r="AI67" i="4"/>
  <c r="AG12" i="4"/>
  <c r="AW9" i="4"/>
  <c r="W132" i="4"/>
  <c r="BD17" i="4"/>
  <c r="AA66" i="4"/>
  <c r="G12" i="4"/>
  <c r="BL11" i="4" s="1"/>
  <c r="AC78" i="4"/>
  <c r="Q34" i="4"/>
  <c r="AT33" i="4" s="1"/>
  <c r="U120" i="4"/>
  <c r="BY119" i="4" s="1"/>
  <c r="AL115" i="4"/>
  <c r="W64" i="4"/>
  <c r="AZ63" i="4" s="1"/>
  <c r="AD76" i="4"/>
  <c r="BG75" i="4" s="1"/>
  <c r="AD100" i="4"/>
  <c r="N40" i="4"/>
  <c r="BR39" i="4" s="1"/>
  <c r="R94" i="4"/>
  <c r="G62" i="4"/>
  <c r="AM61" i="4" s="1"/>
  <c r="AC56" i="4"/>
  <c r="BU89" i="4"/>
  <c r="BD107" i="4"/>
  <c r="BD11" i="4"/>
  <c r="BY31" i="4"/>
  <c r="BS97" i="4"/>
  <c r="AF78" i="4"/>
  <c r="AM77" i="4"/>
  <c r="BL59" i="4"/>
  <c r="BM45" i="4"/>
  <c r="BO67" i="4"/>
  <c r="CG39" i="4"/>
  <c r="CB15" i="4"/>
  <c r="T62" i="4"/>
  <c r="AW31" i="4"/>
  <c r="BM91" i="4"/>
  <c r="Q112" i="4"/>
  <c r="BU123" i="4"/>
  <c r="CA105" i="4"/>
  <c r="AT83" i="4"/>
  <c r="AA120" i="4"/>
  <c r="Q82" i="4"/>
  <c r="AL39" i="4"/>
  <c r="AA84" i="4"/>
  <c r="BJ93" i="4"/>
  <c r="T120" i="4"/>
  <c r="AW119" i="4" s="1"/>
  <c r="AL123" i="4"/>
  <c r="X108" i="4"/>
  <c r="K116" i="4"/>
  <c r="AI15" i="4"/>
  <c r="BU73" i="4"/>
  <c r="CD93" i="4"/>
  <c r="BC39" i="4"/>
  <c r="BP19" i="4"/>
  <c r="AA88" i="4"/>
  <c r="BO27" i="4"/>
  <c r="BG57" i="4"/>
  <c r="AU45" i="4"/>
  <c r="H20" i="4"/>
  <c r="BF79" i="4"/>
  <c r="BY57" i="4"/>
  <c r="BI73" i="4"/>
  <c r="BL39" i="4"/>
  <c r="R68" i="4"/>
  <c r="AA32" i="4"/>
  <c r="BP79" i="4"/>
  <c r="AK9" i="4"/>
  <c r="T44" i="4"/>
  <c r="AW43" i="4" s="1"/>
  <c r="BJ73" i="4"/>
  <c r="BG97" i="4"/>
  <c r="R58" i="4"/>
  <c r="AU57" i="4" s="1"/>
  <c r="AE137" i="4"/>
  <c r="BJ23" i="4"/>
  <c r="AN115" i="4"/>
  <c r="AO87" i="4"/>
  <c r="AX47" i="4"/>
  <c r="BY29" i="4"/>
  <c r="AX95" i="4"/>
  <c r="CJ75" i="4"/>
  <c r="X90" i="4"/>
  <c r="AQ107" i="4"/>
  <c r="AZ65" i="4"/>
  <c r="BF97" i="4"/>
  <c r="X18" i="4"/>
  <c r="BU33" i="4"/>
  <c r="AT31" i="4"/>
  <c r="AI53" i="4"/>
  <c r="O88" i="4"/>
  <c r="BM97" i="4"/>
  <c r="AK49" i="4"/>
  <c r="N50" i="4"/>
  <c r="BR123" i="4"/>
  <c r="U50" i="4"/>
  <c r="BV73" i="4"/>
  <c r="CK49" i="4"/>
  <c r="CA35" i="4"/>
  <c r="AG48" i="4"/>
  <c r="BJ39" i="4"/>
  <c r="BY95" i="4"/>
  <c r="C71" i="4"/>
  <c r="AU71" i="4" s="1"/>
  <c r="CD67" i="4"/>
  <c r="BS125" i="4"/>
  <c r="BU15" i="4"/>
  <c r="BL87" i="4"/>
  <c r="BY51" i="4"/>
  <c r="AU31" i="4"/>
  <c r="O32" i="4"/>
  <c r="O24" i="4"/>
  <c r="BU31" i="4"/>
  <c r="BG125" i="4"/>
  <c r="BL73" i="4"/>
  <c r="BJ91" i="4"/>
  <c r="BR87" i="4"/>
  <c r="AR111" i="4"/>
  <c r="AW25" i="4"/>
  <c r="AX87" i="4"/>
  <c r="AF62" i="4"/>
  <c r="CD73" i="4"/>
  <c r="BX97" i="4"/>
  <c r="AL73" i="4"/>
  <c r="AI101" i="4"/>
  <c r="BS49" i="4"/>
  <c r="BF55" i="4"/>
  <c r="AO103" i="4"/>
  <c r="AO23" i="4"/>
  <c r="G18" i="4"/>
  <c r="AL59" i="4"/>
  <c r="BD103" i="4"/>
  <c r="CJ49" i="4"/>
  <c r="CA51" i="4"/>
  <c r="Z122" i="4"/>
  <c r="AT17" i="4"/>
  <c r="AD60" i="4"/>
  <c r="BP9" i="4"/>
  <c r="CG23" i="4"/>
  <c r="BX89" i="4"/>
  <c r="CK23" i="4"/>
  <c r="AK73" i="4"/>
  <c r="AZ83" i="4"/>
  <c r="BG51" i="4"/>
  <c r="AX65" i="4"/>
  <c r="BY39" i="4"/>
  <c r="X62" i="4"/>
  <c r="BI63" i="4"/>
  <c r="BA9" i="4"/>
  <c r="AN91" i="4"/>
  <c r="AK67" i="4"/>
  <c r="CA13" i="4"/>
  <c r="X96" i="4"/>
  <c r="AR113" i="4"/>
  <c r="AO15" i="4"/>
  <c r="BM29" i="4"/>
  <c r="BX99" i="4"/>
  <c r="L130" i="4"/>
  <c r="Z128" i="4"/>
  <c r="CB103" i="4"/>
  <c r="AX67" i="4"/>
  <c r="R48" i="4"/>
  <c r="CH11" i="4"/>
  <c r="BX119" i="4"/>
  <c r="AD112" i="4"/>
  <c r="L120" i="4"/>
  <c r="AI83" i="4"/>
  <c r="AC46" i="4"/>
  <c r="K128" i="4"/>
  <c r="CJ19" i="4"/>
  <c r="AO75" i="4"/>
  <c r="AN57" i="4"/>
  <c r="L82" i="4"/>
  <c r="Z100" i="4"/>
  <c r="CJ131" i="4"/>
  <c r="BA59" i="4"/>
  <c r="AU105" i="4"/>
  <c r="CJ33" i="4"/>
  <c r="BS35" i="4"/>
  <c r="AU59" i="4"/>
  <c r="AQ87" i="4"/>
  <c r="BU47" i="4"/>
  <c r="T14" i="4"/>
  <c r="Q26" i="4"/>
  <c r="AT11" i="4"/>
  <c r="AL33" i="4"/>
  <c r="Z106" i="4"/>
  <c r="BU7" i="4"/>
  <c r="AF96" i="4"/>
  <c r="CH57" i="4"/>
  <c r="CD27" i="4"/>
  <c r="AM59" i="4"/>
  <c r="AK29" i="4"/>
  <c r="H10" i="4"/>
  <c r="BF35" i="4"/>
  <c r="BX23" i="4"/>
  <c r="AK61" i="4"/>
  <c r="L52" i="4"/>
  <c r="BL109" i="4"/>
  <c r="AM111" i="4"/>
  <c r="BO127" i="4"/>
  <c r="CJ107" i="4"/>
  <c r="AF98" i="4"/>
  <c r="AQ75" i="4"/>
  <c r="AT111" i="4"/>
  <c r="AT103" i="4"/>
  <c r="BJ115" i="4"/>
  <c r="AN95" i="4"/>
  <c r="BM131" i="4"/>
  <c r="BG95" i="4"/>
  <c r="AA28" i="4"/>
  <c r="AQ27" i="4"/>
  <c r="AF128" i="4"/>
  <c r="O110" i="4"/>
  <c r="CH93" i="4"/>
  <c r="BM129" i="4"/>
  <c r="T42" i="4"/>
  <c r="CB105" i="4"/>
  <c r="CE61" i="4"/>
  <c r="BU65" i="4"/>
  <c r="AO71" i="4"/>
  <c r="CD111" i="4"/>
  <c r="BG29" i="4"/>
  <c r="BV119" i="4"/>
  <c r="BA55" i="4"/>
  <c r="AQ49" i="4"/>
  <c r="AU27" i="4"/>
  <c r="AO13" i="4"/>
  <c r="CH29" i="4"/>
  <c r="AN55" i="4"/>
  <c r="CB25" i="4"/>
  <c r="BL75" i="4"/>
  <c r="BS71" i="4"/>
  <c r="X68" i="4"/>
  <c r="CG77" i="4"/>
  <c r="AL71" i="4"/>
  <c r="BP129" i="4"/>
  <c r="BJ109" i="4"/>
  <c r="AX23" i="4"/>
  <c r="AL91" i="4"/>
  <c r="CK19" i="4"/>
  <c r="N30" i="4"/>
  <c r="BX107" i="4"/>
  <c r="O48" i="4"/>
  <c r="BC103" i="4"/>
  <c r="BI9" i="4"/>
  <c r="CJ47" i="4"/>
  <c r="BF71" i="4"/>
  <c r="CJ127" i="4"/>
  <c r="AW55" i="4"/>
  <c r="BR107" i="4"/>
  <c r="AW41" i="4"/>
  <c r="AL19" i="4"/>
  <c r="BC125" i="4"/>
  <c r="CA103" i="4"/>
  <c r="AO89" i="4"/>
  <c r="BU119" i="4"/>
  <c r="N78" i="4"/>
  <c r="BG119" i="4"/>
  <c r="CH89" i="4"/>
  <c r="AU91" i="4"/>
  <c r="AL67" i="4"/>
  <c r="BF9" i="4"/>
  <c r="CD13" i="4"/>
  <c r="BS9" i="4"/>
  <c r="AI37" i="4"/>
  <c r="AO129" i="4"/>
  <c r="BV57" i="4"/>
  <c r="BC55" i="4"/>
  <c r="AR115" i="4"/>
  <c r="CJ17" i="4"/>
  <c r="AQ95" i="4"/>
  <c r="AQ77" i="4"/>
  <c r="BA25" i="4"/>
  <c r="AO67" i="4"/>
  <c r="CH109" i="4"/>
  <c r="AN29" i="4"/>
  <c r="BA11" i="4"/>
  <c r="AX75" i="4"/>
  <c r="AQ89" i="4"/>
  <c r="AW61" i="4"/>
  <c r="BG87" i="4"/>
  <c r="CB107" i="4"/>
  <c r="BR131" i="4"/>
  <c r="BJ71" i="4"/>
  <c r="AU47" i="4"/>
  <c r="CD105" i="4"/>
  <c r="BS47" i="4"/>
  <c r="BX127" i="4"/>
  <c r="AU95" i="4"/>
  <c r="BX71" i="4"/>
  <c r="AO43" i="4"/>
  <c r="CK91" i="4"/>
  <c r="BF49" i="4"/>
  <c r="CD25" i="4"/>
  <c r="N94" i="4"/>
  <c r="BR93" i="4" s="1"/>
  <c r="AI11" i="4"/>
  <c r="BL71" i="4"/>
  <c r="AL55" i="4"/>
  <c r="AA74" i="4"/>
  <c r="BO49" i="4"/>
  <c r="K78" i="4"/>
  <c r="BO77" i="4" s="1"/>
  <c r="AO63" i="4"/>
  <c r="AI113" i="4"/>
  <c r="AQ99" i="4"/>
  <c r="BY83" i="4"/>
  <c r="K126" i="4"/>
  <c r="CD97" i="4"/>
  <c r="BP131" i="4"/>
  <c r="AC124" i="4"/>
  <c r="AM91" i="4"/>
  <c r="CJ25" i="4"/>
  <c r="BS121" i="4"/>
  <c r="BI75" i="4"/>
  <c r="AA16" i="4"/>
  <c r="BC113" i="4"/>
  <c r="CG31" i="4"/>
  <c r="W58" i="4"/>
  <c r="BR75" i="4"/>
  <c r="BS33" i="4"/>
  <c r="BI113" i="4"/>
  <c r="BA73" i="4"/>
  <c r="BR119" i="4"/>
  <c r="BS45" i="4"/>
  <c r="BP121" i="4"/>
  <c r="AA126" i="4"/>
  <c r="AD108" i="4"/>
  <c r="AF28" i="4"/>
  <c r="CJ27" i="4" s="1"/>
  <c r="BD115" i="4"/>
  <c r="BF11" i="4"/>
  <c r="Q78" i="4"/>
  <c r="AG78" i="4"/>
  <c r="CB57" i="4"/>
  <c r="AX57" i="4"/>
  <c r="AC82" i="4"/>
  <c r="CB75" i="4"/>
  <c r="W130" i="4"/>
  <c r="CJ83" i="4"/>
  <c r="AA44" i="4"/>
  <c r="BD43" i="4" s="1"/>
  <c r="AN73" i="4"/>
  <c r="CH125" i="4"/>
  <c r="Q40" i="4"/>
  <c r="AT39" i="4" s="1"/>
  <c r="CJ7" i="4"/>
  <c r="E117" i="4"/>
  <c r="AN81" i="4"/>
  <c r="Q126" i="4"/>
  <c r="AK87" i="4"/>
  <c r="BO57" i="4"/>
  <c r="BD83" i="4"/>
  <c r="CB87" i="4"/>
  <c r="BD51" i="4"/>
  <c r="AQ83" i="4"/>
  <c r="BS87" i="4"/>
  <c r="H32" i="4"/>
  <c r="AZ115" i="4"/>
  <c r="X36" i="4"/>
  <c r="BF23" i="4"/>
  <c r="AR87" i="4"/>
  <c r="U98" i="4"/>
  <c r="BM67" i="4"/>
  <c r="AR9" i="4"/>
  <c r="AL9" i="4"/>
  <c r="CJ97" i="4"/>
  <c r="AM17" i="4"/>
  <c r="AM75" i="4"/>
  <c r="BD113" i="4"/>
  <c r="BI119" i="4"/>
  <c r="BX41" i="4"/>
  <c r="G24" i="4"/>
  <c r="AX31" i="4"/>
  <c r="AK23" i="4"/>
  <c r="CA75" i="4"/>
  <c r="AC130" i="4"/>
  <c r="U82" i="4"/>
  <c r="CH113" i="4"/>
  <c r="AO27" i="4"/>
  <c r="BJ89" i="4"/>
  <c r="Q56" i="4"/>
  <c r="BA81" i="4"/>
  <c r="T50" i="4"/>
  <c r="AW49" i="4" s="1"/>
  <c r="Q36" i="4"/>
  <c r="W78" i="4"/>
  <c r="Q108" i="4"/>
  <c r="AT107" i="4" s="1"/>
  <c r="X126" i="4"/>
  <c r="W72" i="4"/>
  <c r="AZ71" i="4" s="1"/>
  <c r="AF100" i="4"/>
  <c r="BI99" i="4" s="1"/>
  <c r="AD28" i="4"/>
  <c r="CH27" i="4" s="1"/>
  <c r="AF58" i="4"/>
  <c r="W128" i="4"/>
  <c r="CH41" i="4"/>
  <c r="AR51" i="4"/>
  <c r="CJ65" i="4"/>
  <c r="X114" i="4"/>
  <c r="AL111" i="4"/>
  <c r="AO9" i="4"/>
  <c r="CD45" i="4"/>
  <c r="AM129" i="4"/>
  <c r="AA56" i="4"/>
  <c r="X132" i="4"/>
  <c r="BA131" i="4" s="1"/>
  <c r="R82" i="4"/>
  <c r="BM23" i="4"/>
  <c r="T116" i="4"/>
  <c r="AW115" i="4" s="1"/>
  <c r="BC109" i="4"/>
  <c r="T18" i="4"/>
  <c r="BR11" i="4"/>
  <c r="AA132" i="4"/>
  <c r="CE131" i="4" s="1"/>
  <c r="H58" i="4"/>
  <c r="AD20" i="4"/>
  <c r="O68" i="4"/>
  <c r="AR67" i="4" s="1"/>
  <c r="AC94" i="4"/>
  <c r="CG93" i="4" s="1"/>
  <c r="BX49" i="4"/>
  <c r="AC8" i="4"/>
  <c r="CG7" i="4" s="1"/>
  <c r="BV35" i="4"/>
  <c r="AC110" i="4"/>
  <c r="AN39" i="4"/>
  <c r="R20" i="4"/>
  <c r="AU19" i="4" s="1"/>
  <c r="AA122" i="4"/>
  <c r="CE121" i="4" s="1"/>
  <c r="K24" i="4"/>
  <c r="BO23" i="4" s="1"/>
  <c r="X94" i="4"/>
  <c r="AI91" i="4"/>
  <c r="BC11" i="4"/>
  <c r="L128" i="4"/>
  <c r="AO127" i="4" s="1"/>
  <c r="BJ51" i="4"/>
  <c r="W56" i="4"/>
  <c r="Z32" i="4"/>
  <c r="N114" i="4"/>
  <c r="AQ113" i="4" s="1"/>
  <c r="N14" i="4"/>
  <c r="AQ13" i="4" s="1"/>
  <c r="G14" i="4"/>
  <c r="BI39" i="4"/>
  <c r="W48" i="4"/>
  <c r="CA47" i="4" s="1"/>
  <c r="BG105" i="4"/>
  <c r="BV43" i="4"/>
  <c r="AT41" i="4"/>
  <c r="BG115" i="4"/>
  <c r="Q138" i="4"/>
  <c r="H16" i="4"/>
  <c r="AL15" i="4" s="1"/>
  <c r="AQ105" i="4"/>
  <c r="CB121" i="4"/>
  <c r="AR59" i="4"/>
  <c r="BI43" i="4"/>
  <c r="BM15" i="4"/>
  <c r="BR7" i="4"/>
  <c r="CE59" i="4"/>
  <c r="U72" i="4"/>
  <c r="BY71" i="4" s="1"/>
  <c r="BY17" i="4"/>
  <c r="AX123" i="4"/>
  <c r="Z76" i="4"/>
  <c r="BS79" i="4"/>
  <c r="BD95" i="4"/>
  <c r="BG65" i="4"/>
  <c r="BC91" i="4"/>
  <c r="CB137" i="4"/>
  <c r="BA129" i="4"/>
  <c r="CG95" i="4"/>
  <c r="AA40" i="4"/>
  <c r="BY67" i="4"/>
  <c r="AQ103" i="4"/>
  <c r="BD55" i="4"/>
  <c r="BO93" i="4"/>
  <c r="BS115" i="4"/>
  <c r="O18" i="4"/>
  <c r="T20" i="4"/>
  <c r="AW19" i="4" s="1"/>
  <c r="AW125" i="4"/>
  <c r="CA65" i="4"/>
  <c r="X128" i="4"/>
  <c r="CB127" i="4" s="1"/>
  <c r="BC129" i="4"/>
  <c r="AB137" i="4"/>
  <c r="BP113" i="4"/>
  <c r="CE127" i="4"/>
  <c r="BG25" i="4"/>
  <c r="AM109" i="4"/>
  <c r="Z58" i="4"/>
  <c r="BC57" i="4" s="1"/>
  <c r="CB81" i="4"/>
  <c r="BF113" i="4"/>
  <c r="CG137" i="4"/>
  <c r="BJ125" i="4"/>
  <c r="BO121" i="4"/>
  <c r="CA41" i="4"/>
  <c r="AZ125" i="4"/>
  <c r="CB39" i="4"/>
  <c r="AC112" i="4"/>
  <c r="CE137" i="4"/>
  <c r="BR83" i="4"/>
  <c r="BL137" i="4"/>
  <c r="AW81" i="4"/>
  <c r="AF92" i="4"/>
  <c r="CJ91" i="4" s="1"/>
  <c r="BD121" i="4"/>
  <c r="BC107" i="4"/>
  <c r="CA125" i="4"/>
  <c r="CK61" i="4"/>
  <c r="CG35" i="4"/>
  <c r="AA92" i="4"/>
  <c r="CD41" i="4"/>
  <c r="CD43" i="4"/>
  <c r="AT97" i="4"/>
  <c r="T46" i="4"/>
  <c r="AW45" i="4" s="1"/>
  <c r="AU75" i="4"/>
  <c r="R84" i="4"/>
  <c r="G120" i="4"/>
  <c r="X124" i="4"/>
  <c r="CB123" i="4" s="1"/>
  <c r="AQ43" i="4"/>
  <c r="AT29" i="4"/>
  <c r="AR129" i="4"/>
  <c r="W20" i="4"/>
  <c r="CA67" i="4"/>
  <c r="K66" i="4"/>
  <c r="AR121" i="4"/>
  <c r="BA97" i="4"/>
  <c r="BD119" i="4"/>
  <c r="BM25" i="4"/>
  <c r="AR57" i="4"/>
  <c r="BM19" i="4"/>
  <c r="AT89" i="4"/>
  <c r="BD99" i="4"/>
  <c r="AL13" i="4"/>
  <c r="AO73" i="4"/>
  <c r="BP105" i="4"/>
  <c r="AI121" i="4"/>
  <c r="BI65" i="4"/>
  <c r="AT71" i="4"/>
  <c r="AW105" i="4"/>
  <c r="CA49" i="4"/>
  <c r="AU17" i="4"/>
  <c r="BG35" i="4"/>
  <c r="AL97" i="4"/>
  <c r="R30" i="4"/>
  <c r="BV29" i="4" s="1"/>
  <c r="CG125" i="4"/>
  <c r="AT99" i="4"/>
  <c r="G84" i="4"/>
  <c r="R14" i="4"/>
  <c r="BG39" i="4"/>
  <c r="BM77" i="4"/>
  <c r="CK97" i="4"/>
  <c r="AR65" i="4"/>
  <c r="BS27" i="4"/>
  <c r="AQ39" i="4"/>
  <c r="BA41" i="4"/>
  <c r="CE9" i="4"/>
  <c r="X28" i="4"/>
  <c r="U128" i="4"/>
  <c r="AX127" i="4" s="1"/>
  <c r="AX51" i="4"/>
  <c r="AL57" i="4"/>
  <c r="AW99" i="4"/>
  <c r="AN105" i="4"/>
  <c r="AO17" i="4"/>
  <c r="BF77" i="4"/>
  <c r="CB45" i="4"/>
  <c r="BV59" i="4"/>
  <c r="AR25" i="4"/>
  <c r="CA9" i="4"/>
  <c r="K72" i="4"/>
  <c r="AN71" i="4" s="1"/>
  <c r="CA115" i="4"/>
  <c r="AM11" i="4"/>
  <c r="CA55" i="4"/>
  <c r="BJ121" i="4"/>
  <c r="BI67" i="4"/>
  <c r="BS127" i="4"/>
  <c r="U74" i="4"/>
  <c r="CJ99" i="4"/>
  <c r="AN11" i="4"/>
  <c r="AZ41" i="4"/>
  <c r="BI59" i="4"/>
  <c r="BA29" i="4"/>
  <c r="BL97" i="4"/>
  <c r="BI77" i="4"/>
  <c r="CK67" i="4"/>
  <c r="BV79" i="4"/>
  <c r="BA65" i="4"/>
  <c r="BI79" i="4"/>
  <c r="CK71" i="4"/>
  <c r="AF138" i="4"/>
  <c r="AN79" i="4"/>
  <c r="BV103" i="4"/>
  <c r="BC65" i="4"/>
  <c r="BP39" i="4"/>
  <c r="W96" i="4"/>
  <c r="BO63" i="4"/>
  <c r="BC25" i="4"/>
  <c r="BL105" i="4"/>
  <c r="BV109" i="4"/>
  <c r="CH123" i="4"/>
  <c r="CB113" i="4"/>
  <c r="AT91" i="4"/>
  <c r="AX131" i="4"/>
  <c r="AU63" i="4"/>
  <c r="BY15" i="4"/>
  <c r="K84" i="4"/>
  <c r="BR67" i="4"/>
  <c r="AK27" i="4"/>
  <c r="CD31" i="4"/>
  <c r="U42" i="4"/>
  <c r="BY41" i="4" s="1"/>
  <c r="BP61" i="4"/>
  <c r="CB65" i="4"/>
  <c r="AQ61" i="4"/>
  <c r="AU73" i="4"/>
  <c r="AW27" i="4"/>
  <c r="BV17" i="4"/>
  <c r="L78" i="4"/>
  <c r="BI105" i="4"/>
  <c r="BV61" i="4"/>
  <c r="CG97" i="4"/>
  <c r="CE31" i="4"/>
  <c r="AT125" i="4"/>
  <c r="AQ93" i="4"/>
  <c r="BX91" i="4"/>
  <c r="BF47" i="4"/>
  <c r="CJ95" i="4"/>
  <c r="BM9" i="4"/>
  <c r="BI97" i="4"/>
  <c r="CB35" i="4"/>
  <c r="T132" i="4"/>
  <c r="BX131" i="4" s="1"/>
  <c r="CK89" i="4"/>
  <c r="CG47" i="4"/>
  <c r="BM89" i="4"/>
  <c r="CB17" i="4"/>
  <c r="Z72" i="4"/>
  <c r="BC71" i="4" s="1"/>
  <c r="BF61" i="4"/>
  <c r="AF90" i="4"/>
  <c r="AR95" i="4"/>
  <c r="CH107" i="4"/>
  <c r="BV67" i="4"/>
  <c r="BR95" i="4"/>
  <c r="BG15" i="4"/>
  <c r="CE55" i="4"/>
  <c r="BU125" i="4"/>
  <c r="BL23" i="4"/>
  <c r="BO83" i="4"/>
  <c r="CJ79" i="4"/>
  <c r="AK45" i="4"/>
  <c r="AR109" i="4"/>
  <c r="CG15" i="4"/>
  <c r="AK103" i="4"/>
  <c r="CA11" i="4"/>
  <c r="BY99" i="4"/>
  <c r="U62" i="4"/>
  <c r="BV51" i="4"/>
  <c r="AF24" i="4"/>
  <c r="BS31" i="4"/>
  <c r="BR121" i="4"/>
  <c r="AK71" i="4"/>
  <c r="BS93" i="4"/>
  <c r="AZ81" i="4"/>
  <c r="CD121" i="4"/>
  <c r="BD125" i="4"/>
  <c r="CK77" i="4"/>
  <c r="BL7" i="4"/>
  <c r="CD75" i="4"/>
  <c r="CG129" i="4"/>
  <c r="AO55" i="4"/>
  <c r="AK17" i="4"/>
  <c r="BA17" i="4"/>
  <c r="BR49" i="4"/>
  <c r="BL123" i="4"/>
  <c r="AN93" i="4"/>
  <c r="AT55" i="4"/>
  <c r="AN83" i="4"/>
  <c r="CB19" i="4"/>
  <c r="AM89" i="4"/>
  <c r="BJ43" i="4"/>
  <c r="CG59" i="4"/>
  <c r="AX13" i="4"/>
  <c r="AO107" i="4"/>
  <c r="BR79" i="4"/>
  <c r="BJ59" i="4"/>
  <c r="AO123" i="4"/>
  <c r="BA87" i="4"/>
  <c r="CE93" i="4"/>
  <c r="V137" i="4"/>
  <c r="BS19" i="4"/>
  <c r="AL43" i="4"/>
  <c r="BA71" i="4"/>
  <c r="AW71" i="4"/>
  <c r="AK83" i="4"/>
  <c r="BG111" i="4"/>
  <c r="CG45" i="4"/>
  <c r="AO81" i="4"/>
  <c r="AW131" i="4"/>
  <c r="AR47" i="4"/>
  <c r="U112" i="4"/>
  <c r="G26" i="4"/>
  <c r="AM25" i="4" s="1"/>
  <c r="W124" i="4"/>
  <c r="R8" i="4"/>
  <c r="BV7" i="4" s="1"/>
  <c r="H64" i="4"/>
  <c r="AL63" i="4" s="1"/>
  <c r="AC104" i="4"/>
  <c r="N92" i="4"/>
  <c r="AQ91" i="4" s="1"/>
  <c r="X48" i="4"/>
  <c r="BA47" i="4" s="1"/>
  <c r="O74" i="4"/>
  <c r="AD14" i="4"/>
  <c r="BG13" i="4" s="1"/>
  <c r="AD32" i="4"/>
  <c r="AF124" i="4"/>
  <c r="CJ123" i="4" s="1"/>
  <c r="AC28" i="4"/>
  <c r="CG27" i="4" s="1"/>
  <c r="AD82" i="4"/>
  <c r="O40" i="4"/>
  <c r="Q110" i="4"/>
  <c r="BL49" i="4"/>
  <c r="BY87" i="4"/>
  <c r="Q44" i="4"/>
  <c r="AN129" i="4"/>
  <c r="T84" i="4"/>
  <c r="O132" i="4"/>
  <c r="AR131" i="4" s="1"/>
  <c r="CB125" i="4"/>
  <c r="L112" i="4"/>
  <c r="BP111" i="4" s="1"/>
  <c r="K34" i="4"/>
  <c r="BO33" i="4" s="1"/>
  <c r="AF88" i="4"/>
  <c r="BL89" i="4"/>
  <c r="CG63" i="4"/>
  <c r="BU49" i="4"/>
  <c r="AG138" i="4"/>
  <c r="E137" i="4" s="1"/>
  <c r="BX95" i="4"/>
  <c r="AZ121" i="4"/>
  <c r="N26" i="4"/>
  <c r="X100" i="4"/>
  <c r="BA99" i="4" s="1"/>
  <c r="T78" i="4"/>
  <c r="AT59" i="4"/>
  <c r="W88" i="4"/>
  <c r="AC58" i="4"/>
  <c r="BF57" i="4" s="1"/>
  <c r="R42" i="4"/>
  <c r="AA82" i="4"/>
  <c r="CE81" i="4" s="1"/>
  <c r="X24" i="4"/>
  <c r="CB23" i="4" s="1"/>
  <c r="BM121" i="4"/>
  <c r="BV55" i="4"/>
  <c r="BP97" i="4"/>
  <c r="CB111" i="4"/>
  <c r="G56" i="4"/>
  <c r="AD84" i="4"/>
  <c r="CH83" i="4" s="1"/>
  <c r="AI69" i="4"/>
  <c r="BO115" i="4"/>
  <c r="K60" i="4"/>
  <c r="BF65" i="4"/>
  <c r="AK31" i="4"/>
  <c r="CD11" i="4"/>
  <c r="AK25" i="4"/>
  <c r="CA127" i="4"/>
  <c r="BU79" i="4"/>
  <c r="BP89" i="4"/>
  <c r="X32" i="4"/>
  <c r="BA31" i="4" s="1"/>
  <c r="AL81" i="4"/>
  <c r="BL15" i="4"/>
  <c r="T124" i="4"/>
  <c r="AW123" i="4" s="1"/>
  <c r="T34" i="4"/>
  <c r="AX43" i="4"/>
  <c r="K18" i="4"/>
  <c r="BO17" i="4" s="1"/>
  <c r="AW129" i="4"/>
  <c r="W94" i="4"/>
  <c r="AZ119" i="4"/>
  <c r="BS129" i="4"/>
  <c r="AZ107" i="4"/>
  <c r="BV125" i="4"/>
  <c r="AK51" i="4"/>
  <c r="CB99" i="4"/>
  <c r="BI11" i="4"/>
  <c r="AN99" i="4"/>
  <c r="AN35" i="4"/>
  <c r="BU75" i="4"/>
  <c r="BM87" i="4"/>
  <c r="BA127" i="4"/>
  <c r="Q114" i="4"/>
  <c r="BU113" i="4" s="1"/>
  <c r="CK131" i="4"/>
  <c r="BC73" i="4"/>
  <c r="AM97" i="4"/>
  <c r="CK99" i="4"/>
  <c r="T40" i="4"/>
  <c r="BD79" i="4"/>
  <c r="CB7" i="4"/>
  <c r="AK81" i="4"/>
  <c r="AO115" i="4"/>
  <c r="BR55" i="4"/>
  <c r="BA57" i="4"/>
  <c r="AI49" i="4"/>
  <c r="CB9" i="4"/>
  <c r="BL119" i="4"/>
  <c r="BU51" i="4"/>
  <c r="BX27" i="4"/>
  <c r="B157" i="2"/>
  <c r="AG114" i="4"/>
  <c r="AR41" i="4"/>
  <c r="BL125" i="4"/>
  <c r="AQ45" i="4"/>
  <c r="CD59" i="4"/>
  <c r="AX105" i="4"/>
  <c r="BA113" i="4"/>
  <c r="H110" i="4"/>
  <c r="AW47" i="4"/>
  <c r="R88" i="4"/>
  <c r="AU87" i="4" s="1"/>
  <c r="CD51" i="4"/>
  <c r="CD91" i="4"/>
  <c r="CJ59" i="4"/>
  <c r="AI89" i="4"/>
  <c r="CB77" i="4"/>
  <c r="T104" i="4"/>
  <c r="CB33" i="4"/>
  <c r="CJ73" i="4"/>
  <c r="BL67" i="4"/>
  <c r="AZ15" i="4"/>
  <c r="BP63" i="4"/>
  <c r="AD132" i="4"/>
  <c r="AI95" i="4"/>
  <c r="AD46" i="4"/>
  <c r="BU29" i="4"/>
  <c r="BJ27" i="4"/>
  <c r="CE11" i="4"/>
  <c r="BA33" i="4"/>
  <c r="AG88" i="4"/>
  <c r="CK87" i="4" s="1"/>
  <c r="CJ113" i="4"/>
  <c r="AI105" i="4"/>
  <c r="AM19" i="4"/>
  <c r="CA23" i="4"/>
  <c r="BR65" i="4"/>
  <c r="T94" i="4"/>
  <c r="AW93" i="4" s="1"/>
  <c r="BS23" i="4"/>
  <c r="AL25" i="4"/>
  <c r="T52" i="4"/>
  <c r="BX51" i="4" s="1"/>
  <c r="AI107" i="4"/>
  <c r="CE57" i="4"/>
  <c r="BF115" i="4"/>
  <c r="Z30" i="4"/>
  <c r="BC29" i="4" s="1"/>
  <c r="CA15" i="4"/>
  <c r="BJ67" i="4"/>
  <c r="L26" i="4"/>
  <c r="CG9" i="4"/>
  <c r="AU29" i="4"/>
  <c r="BY9" i="4"/>
  <c r="CJ61" i="4"/>
  <c r="AZ55" i="4"/>
  <c r="AR17" i="4"/>
  <c r="AK35" i="4"/>
  <c r="BD15" i="4"/>
  <c r="CJ9" i="4"/>
  <c r="BI127" i="4"/>
  <c r="AX103" i="4"/>
  <c r="BC61" i="4"/>
  <c r="AG42" i="4"/>
  <c r="AA26" i="4"/>
  <c r="CE25" i="4" s="1"/>
  <c r="AI27" i="4"/>
  <c r="BM115" i="4"/>
  <c r="BR9" i="4"/>
  <c r="R34" i="4"/>
  <c r="AC18" i="4"/>
  <c r="CG17" i="4" s="1"/>
  <c r="L58" i="4"/>
  <c r="AR33" i="4"/>
  <c r="AR49" i="4"/>
  <c r="AI127" i="4"/>
  <c r="CG99" i="4"/>
  <c r="U46" i="4"/>
  <c r="BY45" i="4" s="1"/>
  <c r="AF16" i="4"/>
  <c r="CJ15" i="4" s="1"/>
  <c r="CK15" i="4"/>
  <c r="CD7" i="4"/>
  <c r="AL83" i="4"/>
  <c r="AR45" i="4"/>
  <c r="BM57" i="4"/>
  <c r="AX83" i="4"/>
  <c r="CG115" i="4"/>
  <c r="BS65" i="4"/>
  <c r="BI31" i="4"/>
  <c r="CD123" i="4"/>
  <c r="N34" i="4"/>
  <c r="AQ33" i="4" s="1"/>
  <c r="AM125" i="4"/>
  <c r="BJ83" i="4"/>
  <c r="CG91" i="4"/>
  <c r="AD74" i="4"/>
  <c r="CD47" i="4"/>
  <c r="BS63" i="4"/>
  <c r="BO87" i="4"/>
  <c r="AX91" i="4"/>
  <c r="CH43" i="4"/>
  <c r="L12" i="4"/>
  <c r="AO11" i="4" s="1"/>
  <c r="CG83" i="4"/>
  <c r="O90" i="4"/>
  <c r="AO131" i="4"/>
  <c r="AG32" i="4"/>
  <c r="CK31" i="4" s="1"/>
  <c r="AC132" i="4"/>
  <c r="CG131" i="4" s="1"/>
  <c r="G94" i="4"/>
  <c r="AK93" i="4" s="1"/>
  <c r="AZ19" i="4"/>
  <c r="N74" i="4"/>
  <c r="CA43" i="4"/>
  <c r="BU93" i="4"/>
  <c r="CB47" i="4"/>
  <c r="BU57" i="4"/>
  <c r="BX81" i="4"/>
  <c r="AN63" i="4"/>
  <c r="BL81" i="4"/>
  <c r="CK45" i="4"/>
  <c r="CH31" i="4"/>
  <c r="BD67" i="4"/>
  <c r="AW63" i="4"/>
  <c r="AL49" i="4"/>
  <c r="BR33" i="4"/>
  <c r="BV83" i="4"/>
  <c r="BU9" i="4"/>
  <c r="AT63" i="4"/>
  <c r="CG71" i="4"/>
  <c r="AK127" i="4"/>
  <c r="AZ95" i="4"/>
  <c r="BL45" i="4"/>
  <c r="CA137" i="4"/>
  <c r="AW91" i="4"/>
  <c r="CG89" i="4"/>
  <c r="AK75" i="4"/>
  <c r="N72" i="4"/>
  <c r="BV87" i="4"/>
  <c r="BJ57" i="4"/>
  <c r="BR41" i="4"/>
  <c r="BR111" i="4"/>
  <c r="BO7" i="4"/>
  <c r="AU61" i="4"/>
  <c r="AT43" i="4"/>
  <c r="AL89" i="4"/>
  <c r="CJ23" i="4"/>
  <c r="CB55" i="4"/>
  <c r="CB89" i="4"/>
  <c r="Z10" i="4"/>
  <c r="BJ77" i="4"/>
  <c r="BP35" i="4"/>
  <c r="BP67" i="4"/>
  <c r="BO29" i="4"/>
  <c r="BI123" i="4"/>
  <c r="BR89" i="4"/>
  <c r="BV19" i="4"/>
  <c r="AN87" i="4"/>
  <c r="AQ131" i="4"/>
  <c r="AN77" i="4"/>
  <c r="BL93" i="4"/>
  <c r="BI89" i="4"/>
  <c r="AG10" i="4"/>
  <c r="CK9" i="4" s="1"/>
  <c r="AT49" i="4"/>
  <c r="W74" i="4"/>
  <c r="N52" i="4"/>
  <c r="K108" i="4"/>
  <c r="BO107" i="4" s="1"/>
  <c r="O14" i="4"/>
  <c r="BS13" i="4" s="1"/>
  <c r="BP47" i="4"/>
  <c r="BV49" i="4"/>
  <c r="Z34" i="4"/>
  <c r="AD56" i="4"/>
  <c r="BG55" i="4" s="1"/>
  <c r="AG112" i="4"/>
  <c r="CK111" i="4" s="1"/>
  <c r="CD119" i="4"/>
  <c r="BU111" i="4"/>
  <c r="AC30" i="4"/>
  <c r="CG29" i="4" s="1"/>
  <c r="BR31" i="4"/>
  <c r="BS131" i="4"/>
  <c r="AM115" i="4"/>
  <c r="AT115" i="4"/>
  <c r="BV121" i="4"/>
  <c r="W62" i="4"/>
  <c r="AZ27" i="4"/>
  <c r="AD34" i="4"/>
  <c r="BA125" i="4"/>
  <c r="AU33" i="4"/>
  <c r="CE107" i="4"/>
  <c r="BO39" i="4"/>
  <c r="BR97" i="4"/>
  <c r="AK65" i="4"/>
  <c r="AX11" i="4"/>
  <c r="L66" i="4"/>
  <c r="BL43" i="4"/>
  <c r="BG47" i="4"/>
  <c r="AX25" i="4"/>
  <c r="BU107" i="4"/>
  <c r="BG59" i="4"/>
  <c r="AR27" i="4"/>
  <c r="AD72" i="4"/>
  <c r="BG71" i="4" s="1"/>
  <c r="BX83" i="4"/>
  <c r="AC108" i="4"/>
  <c r="BF107" i="4" s="1"/>
  <c r="BF39" i="4"/>
  <c r="BS41" i="4"/>
  <c r="C7" i="4"/>
  <c r="AR71" i="4"/>
  <c r="AX55" i="4"/>
  <c r="BF81" i="4"/>
  <c r="BC75" i="4"/>
  <c r="AZ49" i="4"/>
  <c r="BF75" i="4"/>
  <c r="BV13" i="4"/>
  <c r="AN17" i="4"/>
  <c r="BC13" i="4"/>
  <c r="AU93" i="4"/>
  <c r="CJ109" i="4"/>
  <c r="AF130" i="4"/>
  <c r="CJ129" i="4" s="1"/>
  <c r="CE109" i="4"/>
  <c r="AM47" i="4"/>
  <c r="AT65" i="4"/>
  <c r="BI27" i="4"/>
  <c r="BR77" i="4"/>
  <c r="BS17" i="4"/>
  <c r="CG75" i="4"/>
  <c r="BX19" i="4"/>
  <c r="AK89" i="4"/>
  <c r="BP107" i="4"/>
  <c r="AQ79" i="4"/>
  <c r="BP123" i="4"/>
  <c r="AR19" i="4"/>
  <c r="AI71" i="4"/>
  <c r="BF45" i="4"/>
  <c r="BA67" i="4"/>
  <c r="AA36" i="4"/>
  <c r="K110" i="4"/>
  <c r="G100" i="4"/>
  <c r="O12" i="4"/>
  <c r="H80" i="4"/>
  <c r="AL79" i="4" s="1"/>
  <c r="W18" i="4"/>
  <c r="CA99" i="4"/>
  <c r="N16" i="4"/>
  <c r="U108" i="4"/>
  <c r="AX107" i="4" s="1"/>
  <c r="AZ31" i="4"/>
  <c r="H62" i="4"/>
  <c r="BM61" i="4" s="1"/>
  <c r="AO113" i="4"/>
  <c r="BL107" i="4"/>
  <c r="BU23" i="4"/>
  <c r="AT121" i="4"/>
  <c r="BU81" i="4"/>
  <c r="R78" i="4"/>
  <c r="BJ55" i="4"/>
  <c r="BJ129" i="4"/>
  <c r="BO81" i="4"/>
  <c r="AR107" i="4"/>
  <c r="AN19" i="4"/>
  <c r="BL29" i="4"/>
  <c r="U110" i="4"/>
  <c r="AN27" i="4"/>
  <c r="AD80" i="4"/>
  <c r="BV65" i="4"/>
  <c r="CB59" i="4"/>
  <c r="BL25" i="4"/>
  <c r="H114" i="4"/>
  <c r="AL113" i="4" s="1"/>
  <c r="BG83" i="4"/>
  <c r="CH129" i="4"/>
  <c r="W92" i="4"/>
  <c r="AZ91" i="4" s="1"/>
  <c r="Z78" i="4"/>
  <c r="CD77" i="4" s="1"/>
  <c r="BG17" i="4"/>
  <c r="AW11" i="4"/>
  <c r="AR91" i="4"/>
  <c r="AD10" i="4"/>
  <c r="CH9" i="4" s="1"/>
  <c r="CA81" i="4"/>
  <c r="CE91" i="4"/>
  <c r="AX41" i="4"/>
  <c r="BM31" i="4"/>
  <c r="BF29" i="4"/>
  <c r="CH67" i="4"/>
  <c r="BV129" i="4"/>
  <c r="AU119" i="4"/>
  <c r="BU43" i="4"/>
  <c r="BY97" i="4"/>
  <c r="CJ121" i="4"/>
  <c r="AI39" i="4"/>
  <c r="AW127" i="4"/>
  <c r="AX49" i="4"/>
  <c r="AM83" i="4"/>
  <c r="AU55" i="4"/>
  <c r="BD73" i="4"/>
  <c r="AR7" i="4"/>
  <c r="AQ71" i="4"/>
  <c r="CD9" i="4"/>
  <c r="CB11" i="4"/>
  <c r="BY75" i="4"/>
  <c r="BD81" i="4"/>
  <c r="BI15" i="4"/>
  <c r="AX71" i="4"/>
  <c r="CB67" i="4"/>
  <c r="N82" i="4"/>
  <c r="H36" i="4"/>
  <c r="T76" i="4"/>
  <c r="AW75" i="4" s="1"/>
  <c r="T74" i="4"/>
  <c r="G42" i="4"/>
  <c r="AX129" i="4"/>
  <c r="N130" i="4"/>
  <c r="AQ129" i="4" s="1"/>
  <c r="AD62" i="4"/>
  <c r="AD8" i="4"/>
  <c r="CH7" i="4" s="1"/>
  <c r="BF43" i="4"/>
  <c r="Z116" i="4"/>
  <c r="BC115" i="4" s="1"/>
  <c r="AR63" i="4"/>
  <c r="U94" i="4"/>
  <c r="AX93" i="4" s="1"/>
  <c r="BV105" i="4"/>
  <c r="BI25" i="4"/>
  <c r="AU123" i="4"/>
  <c r="AZ47" i="4"/>
  <c r="CD115" i="4"/>
  <c r="BC23" i="4"/>
  <c r="BD61" i="4"/>
  <c r="BA89" i="4"/>
  <c r="K42" i="4"/>
  <c r="AN41" i="4" s="1"/>
  <c r="AF104" i="4"/>
  <c r="AQ31" i="4"/>
  <c r="G64" i="4"/>
  <c r="BO19" i="4"/>
  <c r="AW23" i="4"/>
  <c r="O106" i="4"/>
  <c r="BS105" i="4" s="1"/>
  <c r="H52" i="4"/>
  <c r="AL51" i="4" s="1"/>
  <c r="BV91" i="4"/>
  <c r="CJ29" i="4"/>
  <c r="K114" i="4"/>
  <c r="BO113" i="4" s="1"/>
  <c r="G132" i="4"/>
  <c r="BD127" i="4"/>
  <c r="CH77" i="4"/>
  <c r="AR61" i="4"/>
  <c r="H42" i="4"/>
  <c r="AI17" i="4"/>
  <c r="AL95" i="4"/>
  <c r="BG107" i="4"/>
  <c r="BI55" i="4"/>
  <c r="BJ31" i="4"/>
  <c r="BC121" i="4"/>
  <c r="BM49" i="4"/>
  <c r="BA91" i="4"/>
  <c r="BP51" i="4"/>
  <c r="BG81" i="4"/>
  <c r="CA121" i="4"/>
  <c r="BL35" i="4"/>
  <c r="AM107" i="4"/>
  <c r="BC97" i="4"/>
  <c r="AU25" i="4"/>
  <c r="CD127" i="4"/>
  <c r="BD91" i="4"/>
  <c r="BR29" i="4"/>
  <c r="CE119" i="4"/>
  <c r="CK43" i="4"/>
  <c r="AN33" i="4"/>
  <c r="AM87" i="4"/>
  <c r="BM43" i="4"/>
  <c r="CH111" i="4"/>
  <c r="BG7" i="4"/>
  <c r="Z96" i="4"/>
  <c r="CD95" i="4" s="1"/>
  <c r="G34" i="4"/>
  <c r="CH13" i="4"/>
  <c r="AR29" i="4"/>
  <c r="AC14" i="4"/>
  <c r="H66" i="4"/>
  <c r="AW95" i="4"/>
  <c r="AT81" i="4"/>
  <c r="BJ61" i="4"/>
  <c r="Z16" i="4"/>
  <c r="CD15" i="4" s="1"/>
  <c r="BY107" i="4"/>
  <c r="CJ63" i="4"/>
  <c r="BU61" i="4"/>
  <c r="AF72" i="4"/>
  <c r="CJ71" i="4" s="1"/>
  <c r="AM105" i="4"/>
  <c r="BI47" i="4"/>
  <c r="AH137" i="4"/>
  <c r="BV99" i="4"/>
  <c r="AX97" i="4"/>
  <c r="AQ55" i="4"/>
  <c r="BA83" i="4"/>
  <c r="BX125" i="4"/>
  <c r="BC111" i="4"/>
  <c r="BY81" i="4"/>
  <c r="BI7" i="4"/>
  <c r="BF59" i="4"/>
  <c r="BD93" i="4"/>
  <c r="BL83" i="4"/>
  <c r="CA91" i="4"/>
  <c r="BY61" i="4"/>
  <c r="CK39" i="4"/>
  <c r="BA105" i="4"/>
  <c r="AR75" i="4"/>
  <c r="AK91" i="4"/>
  <c r="BY59" i="4"/>
  <c r="CB91" i="4"/>
  <c r="AA124" i="4"/>
  <c r="O16" i="4"/>
  <c r="AR15" i="4" s="1"/>
  <c r="AU97" i="4"/>
  <c r="AG106" i="4"/>
  <c r="AU23" i="4"/>
  <c r="AM15" i="4"/>
  <c r="G58" i="4"/>
  <c r="L100" i="4"/>
  <c r="X14" i="4"/>
  <c r="BA13" i="4" s="1"/>
  <c r="BF111" i="4"/>
  <c r="BC87" i="4"/>
  <c r="CA107" i="4"/>
  <c r="AT77" i="4"/>
  <c r="AF46" i="4"/>
  <c r="CJ45" i="4" s="1"/>
  <c r="AX99" i="4"/>
  <c r="BC77" i="4"/>
  <c r="AC42" i="4"/>
  <c r="BF41" i="4" s="1"/>
  <c r="CH17" i="4"/>
  <c r="CK33" i="4"/>
  <c r="BV81" i="4"/>
  <c r="BR113" i="4"/>
  <c r="BD31" i="4"/>
  <c r="BX93" i="4"/>
  <c r="AM119" i="4"/>
  <c r="AU129" i="4"/>
  <c r="BG109" i="4"/>
  <c r="BX61" i="4"/>
  <c r="BA107" i="4"/>
  <c r="BV47" i="4"/>
  <c r="BC105" i="4"/>
  <c r="AX61" i="4"/>
  <c r="L32" i="4"/>
  <c r="AO31" i="4" s="1"/>
  <c r="AN107" i="4"/>
  <c r="AU9" i="4"/>
  <c r="BA43" i="4"/>
  <c r="AQ121" i="4"/>
  <c r="BU99" i="4"/>
  <c r="BM17" i="4"/>
  <c r="BM103" i="4"/>
  <c r="AL23" i="4"/>
  <c r="BJ9" i="4"/>
  <c r="CE33" i="4"/>
  <c r="G96" i="4"/>
  <c r="AZ51" i="4"/>
  <c r="X110" i="4"/>
  <c r="CB109" i="4" s="1"/>
  <c r="BG131" i="4"/>
  <c r="AT109" i="4"/>
  <c r="AL45" i="4"/>
  <c r="W112" i="4"/>
  <c r="AN31" i="4"/>
  <c r="BP25" i="4"/>
  <c r="AU125" i="4"/>
  <c r="AW7" i="4"/>
  <c r="AK123" i="4"/>
  <c r="CD29" i="4"/>
  <c r="BX39" i="4"/>
  <c r="BD27" i="4"/>
  <c r="AW109" i="4"/>
  <c r="AA72" i="4"/>
  <c r="CE71" i="4" s="1"/>
  <c r="AQ35" i="4"/>
  <c r="BI91" i="4"/>
  <c r="BI71" i="4"/>
  <c r="BP77" i="4"/>
  <c r="BP13" i="4"/>
  <c r="BA19" i="4"/>
  <c r="BY13" i="4"/>
  <c r="CK59" i="4"/>
  <c r="BY137" i="4"/>
  <c r="AM71" i="4"/>
  <c r="BP81" i="4"/>
  <c r="CJ89" i="4"/>
  <c r="BD23" i="4"/>
  <c r="CE23" i="4"/>
  <c r="BY19" i="4"/>
  <c r="AX19" i="4"/>
  <c r="BY89" i="4"/>
  <c r="AX89" i="4"/>
  <c r="AT67" i="4"/>
  <c r="BU67" i="4"/>
  <c r="AN25" i="4"/>
  <c r="BO25" i="4"/>
  <c r="BM119" i="4"/>
  <c r="AL119" i="4"/>
  <c r="CK11" i="4"/>
  <c r="BJ11" i="4"/>
  <c r="CA131" i="4"/>
  <c r="AZ131" i="4"/>
  <c r="CE65" i="4"/>
  <c r="BD65" i="4"/>
  <c r="BG99" i="4"/>
  <c r="CH99" i="4"/>
  <c r="BD87" i="4"/>
  <c r="CE87" i="4"/>
  <c r="CA57" i="4"/>
  <c r="AZ57" i="4"/>
  <c r="BU35" i="4"/>
  <c r="AT35" i="4"/>
  <c r="CA77" i="4"/>
  <c r="AZ77" i="4"/>
  <c r="CJ57" i="4"/>
  <c r="BI57" i="4"/>
  <c r="AW17" i="4"/>
  <c r="BX17" i="4"/>
  <c r="BG19" i="4"/>
  <c r="CH19" i="4"/>
  <c r="BL13" i="4"/>
  <c r="AM13" i="4"/>
  <c r="BU137" i="4"/>
  <c r="D137" i="4"/>
  <c r="BD39" i="4"/>
  <c r="CE39" i="4"/>
  <c r="AX111" i="4"/>
  <c r="BY111" i="4"/>
  <c r="CA123" i="4"/>
  <c r="AZ123" i="4"/>
  <c r="BF103" i="4"/>
  <c r="CG103" i="4"/>
  <c r="AR73" i="4"/>
  <c r="BS73" i="4"/>
  <c r="BS39" i="4"/>
  <c r="AR39" i="4"/>
  <c r="CJ87" i="4"/>
  <c r="BI87" i="4"/>
  <c r="AQ25" i="4"/>
  <c r="BR25" i="4"/>
  <c r="BX77" i="4"/>
  <c r="AW77" i="4"/>
  <c r="AZ87" i="4"/>
  <c r="CA87" i="4"/>
  <c r="AU41" i="4"/>
  <c r="BV41" i="4"/>
  <c r="AM55" i="4"/>
  <c r="AK55" i="4"/>
  <c r="BL55" i="4"/>
  <c r="AN59" i="4"/>
  <c r="BO59" i="4"/>
  <c r="BX33" i="4"/>
  <c r="AW33" i="4"/>
  <c r="AZ93" i="4"/>
  <c r="CA93" i="4"/>
  <c r="BJ41" i="4"/>
  <c r="CK41" i="4"/>
  <c r="AO57" i="4"/>
  <c r="BP57" i="4"/>
  <c r="BG73" i="4"/>
  <c r="CH73" i="4"/>
  <c r="AR89" i="4"/>
  <c r="BS89" i="4"/>
  <c r="CA73" i="4"/>
  <c r="AZ73" i="4"/>
  <c r="AQ51" i="4"/>
  <c r="BR51" i="4"/>
  <c r="AZ61" i="4"/>
  <c r="CA61" i="4"/>
  <c r="BP65" i="4"/>
  <c r="AO65" i="4"/>
  <c r="AU7" i="4"/>
  <c r="AM7" i="4"/>
  <c r="AK7" i="4"/>
  <c r="AX7" i="4"/>
  <c r="BC7" i="4"/>
  <c r="AN7" i="4"/>
  <c r="BF7" i="4"/>
  <c r="BA7" i="4"/>
  <c r="AI7" i="4"/>
  <c r="AQ7" i="4"/>
  <c r="AZ7" i="4"/>
  <c r="BD7" i="4"/>
  <c r="AT7" i="4"/>
  <c r="BJ7" i="4"/>
  <c r="AO7" i="4"/>
  <c r="AL7" i="4"/>
  <c r="BD35" i="4"/>
  <c r="CE35" i="4"/>
  <c r="BO109" i="4"/>
  <c r="AN109" i="4"/>
  <c r="AK99" i="4"/>
  <c r="AM99" i="4"/>
  <c r="AR11" i="4"/>
  <c r="BS11" i="4"/>
  <c r="CA17" i="4"/>
  <c r="AZ17" i="4"/>
  <c r="BR15" i="4"/>
  <c r="AQ15" i="4"/>
  <c r="BV77" i="4"/>
  <c r="AU77" i="4"/>
  <c r="BY109" i="4"/>
  <c r="AX109" i="4"/>
  <c r="BR81" i="4"/>
  <c r="AQ81" i="4"/>
  <c r="BM35" i="4"/>
  <c r="AL35" i="4"/>
  <c r="BX73" i="4"/>
  <c r="AW73" i="4"/>
  <c r="AM41" i="4"/>
  <c r="AK41" i="4"/>
  <c r="BL41" i="4"/>
  <c r="BI103" i="4"/>
  <c r="CJ103" i="4"/>
  <c r="AK63" i="4"/>
  <c r="BL63" i="4"/>
  <c r="AK131" i="4"/>
  <c r="AM131" i="4"/>
  <c r="AK33" i="4"/>
  <c r="AM33" i="4"/>
  <c r="BL33" i="4"/>
  <c r="BF13" i="4"/>
  <c r="CG13" i="4"/>
  <c r="BM65" i="4"/>
  <c r="AL65" i="4"/>
  <c r="AM57" i="4"/>
  <c r="AK57" i="4"/>
  <c r="BL57" i="4"/>
  <c r="BP99" i="4"/>
  <c r="AO99" i="4"/>
  <c r="AK95" i="4"/>
  <c r="AM95" i="4"/>
  <c r="BL95" i="4"/>
  <c r="CA111" i="4"/>
  <c r="AZ111" i="4"/>
  <c r="M95" i="2" l="1"/>
  <c r="Y95" i="2"/>
  <c r="A52" i="4"/>
  <c r="AB95" i="2"/>
  <c r="N95" i="2"/>
  <c r="V89" i="2"/>
  <c r="Z89" i="2"/>
  <c r="T89" i="2"/>
  <c r="A20" i="4"/>
  <c r="AC15" i="2"/>
  <c r="T95" i="2"/>
  <c r="AH41" i="2"/>
  <c r="AH42" i="2" s="1"/>
  <c r="S95" i="2"/>
  <c r="M89" i="2"/>
  <c r="Y63" i="2"/>
  <c r="AH63" i="2"/>
  <c r="AH64" i="2" s="1"/>
  <c r="Z121" i="2"/>
  <c r="S15" i="2"/>
  <c r="AF95" i="2"/>
  <c r="H89" i="2"/>
  <c r="A58" i="4"/>
  <c r="Z95" i="2"/>
  <c r="D105" i="2"/>
  <c r="B106" i="2" s="1"/>
  <c r="D125" i="2"/>
  <c r="Q95" i="2"/>
  <c r="J95" i="2"/>
  <c r="D95" i="2" s="1"/>
  <c r="A32" i="4"/>
  <c r="P95" i="2"/>
  <c r="V95" i="2"/>
  <c r="Q63" i="2"/>
  <c r="K63" i="2"/>
  <c r="AF15" i="2"/>
  <c r="A120" i="4"/>
  <c r="AE95" i="2"/>
  <c r="Y121" i="2"/>
  <c r="W95" i="2"/>
  <c r="A14" i="4"/>
  <c r="K95" i="2"/>
  <c r="D111" i="2"/>
  <c r="B112" i="2" s="1"/>
  <c r="AB113" i="2"/>
  <c r="J113" i="2"/>
  <c r="AH113" i="2"/>
  <c r="AH114" i="2" s="1"/>
  <c r="H113" i="2"/>
  <c r="E113" i="2" s="1"/>
  <c r="K113" i="2"/>
  <c r="AE83" i="2"/>
  <c r="M83" i="2"/>
  <c r="D83" i="2" s="1"/>
  <c r="K83" i="2"/>
  <c r="E83" i="2" s="1"/>
  <c r="AE111" i="2"/>
  <c r="N111" i="2"/>
  <c r="H111" i="2"/>
  <c r="E111" i="2" s="1"/>
  <c r="T111" i="2"/>
  <c r="S111" i="2"/>
  <c r="Q99" i="2"/>
  <c r="AF89" i="2"/>
  <c r="V15" i="2"/>
  <c r="AB15" i="2"/>
  <c r="AH15" i="2"/>
  <c r="AH16" i="2" s="1"/>
  <c r="J15" i="2"/>
  <c r="Z15" i="2"/>
  <c r="T15" i="2"/>
  <c r="A76" i="4"/>
  <c r="A132" i="4"/>
  <c r="K121" i="2"/>
  <c r="E121" i="2" s="1"/>
  <c r="A78" i="4"/>
  <c r="G41" i="2"/>
  <c r="N89" i="2"/>
  <c r="E89" i="2" s="1"/>
  <c r="J63" i="2"/>
  <c r="P63" i="2"/>
  <c r="AE63" i="2"/>
  <c r="Z63" i="2"/>
  <c r="G63" i="2"/>
  <c r="D63" i="2" s="1"/>
  <c r="E81" i="2"/>
  <c r="Q15" i="2"/>
  <c r="P121" i="2"/>
  <c r="AB89" i="2"/>
  <c r="P89" i="2"/>
  <c r="N15" i="2"/>
  <c r="A66" i="4"/>
  <c r="AC121" i="2"/>
  <c r="Y89" i="2"/>
  <c r="G15" i="2"/>
  <c r="T121" i="2"/>
  <c r="AE121" i="2"/>
  <c r="E73" i="2"/>
  <c r="AE99" i="2"/>
  <c r="S89" i="2"/>
  <c r="V63" i="2"/>
  <c r="W63" i="2"/>
  <c r="H63" i="2"/>
  <c r="J89" i="2"/>
  <c r="W89" i="2"/>
  <c r="AE15" i="2"/>
  <c r="Y15" i="2"/>
  <c r="AE13" i="2"/>
  <c r="Y13" i="2"/>
  <c r="T13" i="2"/>
  <c r="AF13" i="2"/>
  <c r="K11" i="2"/>
  <c r="AC11" i="2"/>
  <c r="Z99" i="2"/>
  <c r="D61" i="2"/>
  <c r="B62" i="2" s="1"/>
  <c r="A124" i="4"/>
  <c r="S63" i="2"/>
  <c r="N63" i="2"/>
  <c r="N121" i="2"/>
  <c r="M121" i="2"/>
  <c r="AH121" i="2"/>
  <c r="AH122" i="2" s="1"/>
  <c r="J121" i="2"/>
  <c r="W121" i="2"/>
  <c r="S121" i="2"/>
  <c r="AB121" i="2"/>
  <c r="Q121" i="2"/>
  <c r="AH89" i="2"/>
  <c r="AH90" i="2" s="1"/>
  <c r="AE89" i="2"/>
  <c r="G89" i="2"/>
  <c r="A42" i="4"/>
  <c r="E79" i="2"/>
  <c r="D115" i="2"/>
  <c r="D73" i="2"/>
  <c r="BD6" i="4"/>
  <c r="BI6" i="4"/>
  <c r="BA6" i="4"/>
  <c r="AM118" i="4"/>
  <c r="AO54" i="4"/>
  <c r="AI38" i="4"/>
  <c r="T40" i="47"/>
  <c r="AI40" i="4"/>
  <c r="F137" i="4"/>
  <c r="C137" i="4" s="1"/>
  <c r="AO6" i="4"/>
  <c r="BC102" i="4"/>
  <c r="AL70" i="4"/>
  <c r="T8" i="47"/>
  <c r="AI8" i="4"/>
  <c r="V7" i="4"/>
  <c r="Y7" i="4"/>
  <c r="CM7" i="4"/>
  <c r="P7" i="4"/>
  <c r="AE7" i="4"/>
  <c r="AB7" i="4"/>
  <c r="S7" i="4"/>
  <c r="AH7" i="4"/>
  <c r="M7" i="4"/>
  <c r="BF38" i="4"/>
  <c r="T18" i="47"/>
  <c r="AI18" i="4"/>
  <c r="T108" i="47"/>
  <c r="AI108" i="4"/>
  <c r="AI106" i="4"/>
  <c r="T106" i="47"/>
  <c r="AQ86" i="4"/>
  <c r="AI96" i="4"/>
  <c r="T96" i="47"/>
  <c r="AU22" i="4"/>
  <c r="T84" i="47"/>
  <c r="AI84" i="4"/>
  <c r="T90" i="47"/>
  <c r="AI90" i="4"/>
  <c r="AQ38" i="4"/>
  <c r="AI122" i="4"/>
  <c r="T122" i="47"/>
  <c r="BD102" i="4"/>
  <c r="T50" i="47"/>
  <c r="AI50" i="4"/>
  <c r="BF54" i="4"/>
  <c r="AI102" i="4"/>
  <c r="AW86" i="4"/>
  <c r="AX86" i="4"/>
  <c r="A152" i="2"/>
  <c r="Y71" i="4"/>
  <c r="AE71" i="4"/>
  <c r="AB71" i="4"/>
  <c r="V71" i="4"/>
  <c r="S71" i="4"/>
  <c r="AH71" i="4"/>
  <c r="I71" i="4"/>
  <c r="AI114" i="4"/>
  <c r="T114" i="47"/>
  <c r="AI54" i="4"/>
  <c r="T56" i="47"/>
  <c r="AI56" i="4"/>
  <c r="AR54" i="4"/>
  <c r="T10" i="47"/>
  <c r="AI10" i="4"/>
  <c r="AI12" i="4"/>
  <c r="T12" i="47"/>
  <c r="T72" i="47"/>
  <c r="AI72" i="4"/>
  <c r="V55" i="4"/>
  <c r="M55" i="4"/>
  <c r="Y55" i="4"/>
  <c r="AH55" i="4"/>
  <c r="AE55" i="4"/>
  <c r="AB55" i="4"/>
  <c r="P55" i="4"/>
  <c r="S55" i="4"/>
  <c r="T104" i="47"/>
  <c r="AI104" i="4"/>
  <c r="BG102" i="4"/>
  <c r="AI88" i="4"/>
  <c r="T88" i="47"/>
  <c r="T42" i="47"/>
  <c r="AI42" i="4"/>
  <c r="AI70" i="4"/>
  <c r="AI48" i="4"/>
  <c r="T48" i="47"/>
  <c r="T16" i="47"/>
  <c r="AI16" i="4"/>
  <c r="AI126" i="4"/>
  <c r="T126" i="47"/>
  <c r="AI60" i="4"/>
  <c r="T60" i="47"/>
  <c r="AR118" i="4"/>
  <c r="AI64" i="4"/>
  <c r="T64" i="47"/>
  <c r="A153" i="2"/>
  <c r="AI92" i="4"/>
  <c r="T92" i="47"/>
  <c r="AI128" i="4"/>
  <c r="T128" i="47"/>
  <c r="AI120" i="4"/>
  <c r="T120" i="47"/>
  <c r="AB87" i="4"/>
  <c r="AH87" i="4"/>
  <c r="M87" i="4"/>
  <c r="AE87" i="4"/>
  <c r="P87" i="4"/>
  <c r="I87" i="4"/>
  <c r="V87" i="4"/>
  <c r="Y87" i="4"/>
  <c r="AN38" i="4"/>
  <c r="T24" i="47"/>
  <c r="AI24" i="4"/>
  <c r="AI46" i="4"/>
  <c r="T46" i="47"/>
  <c r="AR38" i="4"/>
  <c r="AI26" i="4"/>
  <c r="T26" i="47"/>
  <c r="AI22" i="4"/>
  <c r="AN86" i="4"/>
  <c r="AI86" i="4"/>
  <c r="T94" i="47"/>
  <c r="AI94" i="4"/>
  <c r="AI6" i="4"/>
  <c r="T20" i="47"/>
  <c r="AI20" i="4"/>
  <c r="T74" i="47"/>
  <c r="AI74" i="4"/>
  <c r="T58" i="47"/>
  <c r="AI58" i="4"/>
  <c r="AI52" i="4"/>
  <c r="T52" i="47"/>
  <c r="A155" i="2"/>
  <c r="T62" i="47"/>
  <c r="AI62" i="4"/>
  <c r="AI28" i="4"/>
  <c r="T28" i="47"/>
  <c r="A151" i="2"/>
  <c r="T78" i="47"/>
  <c r="AI78" i="4"/>
  <c r="AH39" i="4"/>
  <c r="M39" i="4"/>
  <c r="Y39" i="4"/>
  <c r="P39" i="4"/>
  <c r="AB39" i="4"/>
  <c r="S39" i="4"/>
  <c r="V39" i="4"/>
  <c r="AE39" i="4"/>
  <c r="T66" i="47"/>
  <c r="AI66" i="4"/>
  <c r="T80" i="47"/>
  <c r="AI80" i="4"/>
  <c r="V103" i="4"/>
  <c r="AH103" i="4"/>
  <c r="I103" i="4"/>
  <c r="M103" i="4"/>
  <c r="AB103" i="4"/>
  <c r="P103" i="4"/>
  <c r="AE103" i="4"/>
  <c r="Y103" i="4"/>
  <c r="AI112" i="4"/>
  <c r="T112" i="47"/>
  <c r="T14" i="47"/>
  <c r="AI14" i="4"/>
  <c r="T44" i="47"/>
  <c r="AI44" i="4"/>
  <c r="T32" i="47"/>
  <c r="AI32" i="4"/>
  <c r="A154" i="2"/>
  <c r="AI100" i="4"/>
  <c r="T100" i="47"/>
  <c r="T124" i="47"/>
  <c r="AI124" i="4"/>
  <c r="AI118" i="4"/>
  <c r="T98" i="47"/>
  <c r="AI98" i="4"/>
  <c r="A156" i="2"/>
  <c r="AI30" i="4"/>
  <c r="T30" i="47"/>
  <c r="T82" i="47"/>
  <c r="AI82" i="4"/>
  <c r="T36" i="47"/>
  <c r="AI36" i="4"/>
  <c r="T130" i="47"/>
  <c r="AI130" i="4"/>
  <c r="AI116" i="4"/>
  <c r="T116" i="47"/>
  <c r="AI34" i="4"/>
  <c r="T34" i="47"/>
  <c r="T68" i="47"/>
  <c r="AI68" i="4"/>
  <c r="AI110" i="4"/>
  <c r="T110" i="47"/>
  <c r="T76" i="47"/>
  <c r="AI76" i="4"/>
  <c r="A150" i="2"/>
  <c r="S23" i="4"/>
  <c r="CM23" i="4"/>
  <c r="M23" i="4"/>
  <c r="AE23" i="4"/>
  <c r="V23" i="4"/>
  <c r="AB23" i="4"/>
  <c r="P23" i="4"/>
  <c r="Y23" i="4"/>
  <c r="AH23" i="4"/>
  <c r="T132" i="47"/>
  <c r="AI132" i="4"/>
  <c r="E125" i="2"/>
  <c r="E105" i="2"/>
  <c r="D129" i="2"/>
  <c r="D93" i="2"/>
  <c r="D107" i="2"/>
  <c r="D27" i="2"/>
  <c r="E27" i="2"/>
  <c r="B28" i="2" s="1"/>
  <c r="Y99" i="2"/>
  <c r="H12" i="16"/>
  <c r="H8" i="16"/>
  <c r="H14" i="16"/>
  <c r="H10" i="16"/>
  <c r="AC49" i="2"/>
  <c r="AH49" i="2"/>
  <c r="AH50" i="2" s="1"/>
  <c r="S49" i="2"/>
  <c r="M49" i="2"/>
  <c r="Y49" i="2"/>
  <c r="AF49" i="2"/>
  <c r="AB49" i="2"/>
  <c r="G49" i="2"/>
  <c r="W49" i="2"/>
  <c r="P49" i="2"/>
  <c r="Z49" i="2"/>
  <c r="AE49" i="2"/>
  <c r="J49" i="2"/>
  <c r="Q49" i="2"/>
  <c r="T49" i="2"/>
  <c r="V49" i="2"/>
  <c r="N49" i="2"/>
  <c r="K49" i="2"/>
  <c r="H49" i="2"/>
  <c r="AE65" i="2"/>
  <c r="Y65" i="2"/>
  <c r="Q65" i="2"/>
  <c r="H65" i="2"/>
  <c r="P65" i="2"/>
  <c r="Z65" i="2"/>
  <c r="AB65" i="2"/>
  <c r="J65" i="2"/>
  <c r="G65" i="2"/>
  <c r="K65" i="2"/>
  <c r="AH65" i="2"/>
  <c r="AH66" i="2" s="1"/>
  <c r="N65" i="2"/>
  <c r="V65" i="2"/>
  <c r="W65" i="2"/>
  <c r="G75" i="2"/>
  <c r="Z75" i="2"/>
  <c r="K75" i="2"/>
  <c r="AB75" i="2"/>
  <c r="H75" i="2"/>
  <c r="P75" i="2"/>
  <c r="W75" i="2"/>
  <c r="V75" i="2"/>
  <c r="AC75" i="2"/>
  <c r="N75" i="2"/>
  <c r="AH75" i="2"/>
  <c r="AH76" i="2" s="1"/>
  <c r="AE75" i="2"/>
  <c r="M75" i="2"/>
  <c r="Y75" i="2"/>
  <c r="T75" i="2"/>
  <c r="AC59" i="2"/>
  <c r="T59" i="2"/>
  <c r="AE59" i="2"/>
  <c r="G59" i="2"/>
  <c r="W59" i="2"/>
  <c r="H59" i="2"/>
  <c r="P59" i="2"/>
  <c r="J59" i="2"/>
  <c r="V59" i="2"/>
  <c r="M59" i="2"/>
  <c r="AF59" i="2"/>
  <c r="S59" i="2"/>
  <c r="AB59" i="2"/>
  <c r="Z59" i="2"/>
  <c r="K59" i="2"/>
  <c r="Q59" i="2"/>
  <c r="Y59" i="2"/>
  <c r="N59" i="2"/>
  <c r="AH59" i="2"/>
  <c r="AH60" i="2" s="1"/>
  <c r="K99" i="2"/>
  <c r="T99" i="2"/>
  <c r="M99" i="2"/>
  <c r="S99" i="2"/>
  <c r="N99" i="2"/>
  <c r="AF99" i="2"/>
  <c r="AH99" i="2"/>
  <c r="AH100" i="2" s="1"/>
  <c r="V99" i="2"/>
  <c r="J99" i="2"/>
  <c r="H99" i="2"/>
  <c r="AC99" i="2"/>
  <c r="AB99" i="2"/>
  <c r="G99" i="2"/>
  <c r="M127" i="2"/>
  <c r="Y127" i="2"/>
  <c r="V127" i="2"/>
  <c r="K127" i="2"/>
  <c r="H127" i="2"/>
  <c r="T127" i="2"/>
  <c r="AF127" i="2"/>
  <c r="Z127" i="2"/>
  <c r="J127" i="2"/>
  <c r="AC127" i="2"/>
  <c r="W127" i="2"/>
  <c r="AB127" i="2"/>
  <c r="P127" i="2"/>
  <c r="G127" i="2"/>
  <c r="AH127" i="2"/>
  <c r="AH128" i="2" s="1"/>
  <c r="AE127" i="2"/>
  <c r="N127" i="2"/>
  <c r="Q127" i="2"/>
  <c r="S127" i="2"/>
  <c r="Y123" i="2"/>
  <c r="AB123" i="2"/>
  <c r="G123" i="2"/>
  <c r="S123" i="2"/>
  <c r="T123" i="2"/>
  <c r="AE123" i="2"/>
  <c r="M123" i="2"/>
  <c r="J123" i="2"/>
  <c r="AH123" i="2"/>
  <c r="AH124" i="2" s="1"/>
  <c r="AC123" i="2"/>
  <c r="Z123" i="2"/>
  <c r="P123" i="2"/>
  <c r="V123" i="2"/>
  <c r="AF123" i="2"/>
  <c r="N123" i="2"/>
  <c r="H123" i="2"/>
  <c r="K123" i="2"/>
  <c r="Q123" i="2"/>
  <c r="W123" i="2"/>
  <c r="W41" i="2"/>
  <c r="H41" i="2"/>
  <c r="V41" i="2"/>
  <c r="N41" i="2"/>
  <c r="P41" i="2"/>
  <c r="Q41" i="2"/>
  <c r="Z41" i="2"/>
  <c r="J41" i="2"/>
  <c r="AB41" i="2"/>
  <c r="AE41" i="2"/>
  <c r="AC41" i="2"/>
  <c r="K41" i="2"/>
  <c r="AF41" i="2"/>
  <c r="T41" i="2"/>
  <c r="B82" i="2"/>
  <c r="E31" i="2"/>
  <c r="D51" i="2"/>
  <c r="AF65" i="2"/>
  <c r="E61" i="2"/>
  <c r="M65" i="2"/>
  <c r="E93" i="2"/>
  <c r="D79" i="2"/>
  <c r="E47" i="2"/>
  <c r="E95" i="2"/>
  <c r="E91" i="2"/>
  <c r="D31" i="2"/>
  <c r="B32" i="2" s="1"/>
  <c r="A128" i="4"/>
  <c r="D67" i="2"/>
  <c r="A10" i="4"/>
  <c r="AB119" i="2"/>
  <c r="P119" i="2"/>
  <c r="AE119" i="2"/>
  <c r="M119" i="2"/>
  <c r="J119" i="2"/>
  <c r="V119" i="2"/>
  <c r="Z119" i="2"/>
  <c r="Q119" i="2"/>
  <c r="S119" i="2"/>
  <c r="G119" i="2"/>
  <c r="W119" i="2"/>
  <c r="H119" i="2"/>
  <c r="AF119" i="2"/>
  <c r="AH119" i="2"/>
  <c r="AH120" i="2" s="1"/>
  <c r="N119" i="2"/>
  <c r="AC119" i="2"/>
  <c r="K119" i="2"/>
  <c r="T119" i="2"/>
  <c r="Y119" i="2"/>
  <c r="AB97" i="2"/>
  <c r="J97" i="2"/>
  <c r="G97" i="2"/>
  <c r="Z97" i="2"/>
  <c r="P97" i="2"/>
  <c r="AE97" i="2"/>
  <c r="AH97" i="2"/>
  <c r="AH98" i="2" s="1"/>
  <c r="S97" i="2"/>
  <c r="Q97" i="2"/>
  <c r="Y97" i="2"/>
  <c r="H97" i="2"/>
  <c r="N97" i="2"/>
  <c r="W97" i="2"/>
  <c r="M97" i="2"/>
  <c r="T97" i="2"/>
  <c r="K97" i="2"/>
  <c r="AF97" i="2"/>
  <c r="AC97" i="2"/>
  <c r="V97" i="2"/>
  <c r="E51" i="2"/>
  <c r="E33" i="2"/>
  <c r="E67" i="2"/>
  <c r="D47" i="2"/>
  <c r="Q75" i="2"/>
  <c r="S75" i="2"/>
  <c r="T65" i="2"/>
  <c r="E129" i="2"/>
  <c r="E107" i="2"/>
  <c r="AF75" i="2"/>
  <c r="E57" i="2"/>
  <c r="D19" i="2"/>
  <c r="M17" i="2"/>
  <c r="N17" i="2"/>
  <c r="P17" i="2"/>
  <c r="V17" i="2"/>
  <c r="AC17" i="2"/>
  <c r="AH17" i="2"/>
  <c r="AH18" i="2" s="1"/>
  <c r="AF17" i="2"/>
  <c r="W17" i="2"/>
  <c r="J17" i="2"/>
  <c r="K17" i="2"/>
  <c r="G17" i="2"/>
  <c r="Z17" i="2"/>
  <c r="T17" i="2"/>
  <c r="AB17" i="2"/>
  <c r="S17" i="2"/>
  <c r="Y17" i="2"/>
  <c r="H17" i="2"/>
  <c r="AE17" i="2"/>
  <c r="Q17" i="2"/>
  <c r="T43" i="2"/>
  <c r="AF43" i="2"/>
  <c r="Q43" i="2"/>
  <c r="AH43" i="2"/>
  <c r="AH44" i="2" s="1"/>
  <c r="J43" i="2"/>
  <c r="M43" i="2"/>
  <c r="G43" i="2"/>
  <c r="H43" i="2"/>
  <c r="Z43" i="2"/>
  <c r="P43" i="2"/>
  <c r="AE43" i="2"/>
  <c r="Y43" i="2"/>
  <c r="K43" i="2"/>
  <c r="V43" i="2"/>
  <c r="S43" i="2"/>
  <c r="W43" i="2"/>
  <c r="AC43" i="2"/>
  <c r="N43" i="2"/>
  <c r="AB43" i="2"/>
  <c r="P9" i="2"/>
  <c r="Z9" i="2"/>
  <c r="H9" i="2"/>
  <c r="G9" i="2"/>
  <c r="AB9" i="2"/>
  <c r="J9" i="2"/>
  <c r="S9" i="2"/>
  <c r="V9" i="2"/>
  <c r="AF9" i="2"/>
  <c r="AC9" i="2"/>
  <c r="Q9" i="2"/>
  <c r="M9" i="2"/>
  <c r="N9" i="2"/>
  <c r="Y9" i="2"/>
  <c r="T9" i="2"/>
  <c r="W9" i="2"/>
  <c r="AE9" i="2"/>
  <c r="K9" i="2"/>
  <c r="AH9" i="2"/>
  <c r="AH10" i="2" s="1"/>
  <c r="Q77" i="2"/>
  <c r="Y77" i="2"/>
  <c r="N77" i="2"/>
  <c r="AH77" i="2"/>
  <c r="AH78" i="2" s="1"/>
  <c r="J77" i="2"/>
  <c r="T77" i="2"/>
  <c r="W77" i="2"/>
  <c r="AB77" i="2"/>
  <c r="G77" i="2"/>
  <c r="P77" i="2"/>
  <c r="V77" i="2"/>
  <c r="AC77" i="2"/>
  <c r="H77" i="2"/>
  <c r="M77" i="2"/>
  <c r="S77" i="2"/>
  <c r="AF77" i="2"/>
  <c r="AE77" i="2"/>
  <c r="K77" i="2"/>
  <c r="Z77" i="2"/>
  <c r="E109" i="2"/>
  <c r="D29" i="2"/>
  <c r="D113" i="2"/>
  <c r="E35" i="2"/>
  <c r="D35" i="2"/>
  <c r="E115" i="2"/>
  <c r="D45" i="2"/>
  <c r="E19" i="2"/>
  <c r="D25" i="2"/>
  <c r="D109" i="2"/>
  <c r="Z131" i="2"/>
  <c r="H131" i="2"/>
  <c r="W131" i="2"/>
  <c r="P131" i="2"/>
  <c r="AC131" i="2"/>
  <c r="AF131" i="2"/>
  <c r="Q131" i="2"/>
  <c r="N131" i="2"/>
  <c r="J131" i="2"/>
  <c r="AH131" i="2"/>
  <c r="AH132" i="2" s="1"/>
  <c r="AE131" i="2"/>
  <c r="T131" i="2"/>
  <c r="K131" i="2"/>
  <c r="M131" i="2"/>
  <c r="G131" i="2"/>
  <c r="V131" i="2"/>
  <c r="Y131" i="2"/>
  <c r="AB131" i="2"/>
  <c r="S131" i="2"/>
  <c r="E29" i="2"/>
  <c r="D91" i="2"/>
  <c r="D33" i="2"/>
  <c r="D11" i="2"/>
  <c r="D57" i="2"/>
  <c r="E45" i="2"/>
  <c r="B126" i="2"/>
  <c r="E25" i="2"/>
  <c r="B138" i="4"/>
  <c r="AQ52" i="4"/>
  <c r="BI68" i="4"/>
  <c r="BA68" i="4"/>
  <c r="AZ100" i="4"/>
  <c r="AQ36" i="4"/>
  <c r="AO36" i="4"/>
  <c r="AM84" i="4"/>
  <c r="AO116" i="4"/>
  <c r="BG116" i="4"/>
  <c r="AW20" i="4"/>
  <c r="AK22" i="4"/>
  <c r="BD52" i="4"/>
  <c r="I55" i="4"/>
  <c r="AW68" i="4"/>
  <c r="AQ100" i="4"/>
  <c r="AK36" i="4"/>
  <c r="E39" i="4"/>
  <c r="AZ84" i="4"/>
  <c r="BC116" i="4"/>
  <c r="AZ20" i="4"/>
  <c r="AR84" i="4"/>
  <c r="AU52" i="4"/>
  <c r="M71" i="4"/>
  <c r="AL68" i="4"/>
  <c r="AR100" i="4"/>
  <c r="AM36" i="4"/>
  <c r="AW36" i="4"/>
  <c r="BF84" i="4"/>
  <c r="BJ116" i="4"/>
  <c r="E7" i="4"/>
  <c r="AN52" i="4"/>
  <c r="BD68" i="4"/>
  <c r="AX100" i="4"/>
  <c r="BG36" i="4"/>
  <c r="AZ36" i="4"/>
  <c r="BA84" i="4"/>
  <c r="BF116" i="4"/>
  <c r="AQ20" i="4"/>
  <c r="E23" i="4"/>
  <c r="AN100" i="4"/>
  <c r="S103" i="4"/>
  <c r="AU20" i="4"/>
  <c r="BG52" i="4"/>
  <c r="P71" i="4"/>
  <c r="AR68" i="4"/>
  <c r="D87" i="4"/>
  <c r="AU100" i="4"/>
  <c r="E103" i="4"/>
  <c r="AT84" i="4"/>
  <c r="AN20" i="4"/>
  <c r="D23" i="4"/>
  <c r="AK52" i="4"/>
  <c r="AT100" i="4"/>
  <c r="BC36" i="4"/>
  <c r="AN116" i="4"/>
  <c r="BA20" i="4"/>
  <c r="BI52" i="4"/>
  <c r="D55" i="4"/>
  <c r="BC100" i="4"/>
  <c r="AW84" i="4"/>
  <c r="BG20" i="4"/>
  <c r="AZ68" i="4"/>
  <c r="BA36" i="4"/>
  <c r="BG84" i="4"/>
  <c r="AM20" i="4"/>
  <c r="D7" i="4"/>
  <c r="E55" i="4"/>
  <c r="BG100" i="4"/>
  <c r="BJ36" i="4"/>
  <c r="AX84" i="4"/>
  <c r="BD20" i="4"/>
  <c r="AL52" i="4"/>
  <c r="AO68" i="4"/>
  <c r="AL36" i="4"/>
  <c r="AK84" i="4"/>
  <c r="AT20" i="4"/>
  <c r="BA52" i="4"/>
  <c r="BF68" i="4"/>
  <c r="BA100" i="4"/>
  <c r="AL84" i="4"/>
  <c r="AL20" i="4"/>
  <c r="BJ68" i="4"/>
  <c r="AT36" i="4"/>
  <c r="AU116" i="4"/>
  <c r="AU86" i="4"/>
  <c r="AZ52" i="4"/>
  <c r="AO52" i="4"/>
  <c r="BG68" i="4"/>
  <c r="S87" i="4"/>
  <c r="AK100" i="4"/>
  <c r="AU36" i="4"/>
  <c r="I39" i="4"/>
  <c r="AN84" i="4"/>
  <c r="AQ116" i="4"/>
  <c r="BF20" i="4"/>
  <c r="BJ20" i="4"/>
  <c r="BJ52" i="4"/>
  <c r="AQ68" i="4"/>
  <c r="AX68" i="4"/>
  <c r="AO100" i="4"/>
  <c r="AN36" i="4"/>
  <c r="BC84" i="4"/>
  <c r="AQ84" i="4"/>
  <c r="AM116" i="4"/>
  <c r="AR20" i="4"/>
  <c r="BC20" i="4"/>
  <c r="AR52" i="4"/>
  <c r="D71" i="4"/>
  <c r="AN68" i="4"/>
  <c r="AW100" i="4"/>
  <c r="BI36" i="4"/>
  <c r="D103" i="4"/>
  <c r="AK116" i="4"/>
  <c r="BI20" i="4"/>
  <c r="AM52" i="4"/>
  <c r="E71" i="4"/>
  <c r="BC68" i="4"/>
  <c r="AX36" i="4"/>
  <c r="BJ84" i="4"/>
  <c r="AT116" i="4"/>
  <c r="I23" i="4"/>
  <c r="BF36" i="4"/>
  <c r="AL116" i="4"/>
  <c r="BC52" i="4"/>
  <c r="AM68" i="4"/>
  <c r="AM100" i="4"/>
  <c r="BD84" i="4"/>
  <c r="AR116" i="4"/>
  <c r="I7" i="4"/>
  <c r="AU68" i="4"/>
  <c r="AR36" i="4"/>
  <c r="BA116" i="4"/>
  <c r="AT52" i="4"/>
  <c r="E87" i="4"/>
  <c r="BJ100" i="4"/>
  <c r="AO84" i="4"/>
  <c r="BD116" i="4"/>
  <c r="AX52" i="4"/>
  <c r="AK68" i="4"/>
  <c r="AL100" i="4"/>
  <c r="BI84" i="4"/>
  <c r="AZ116" i="4"/>
  <c r="AK20" i="4"/>
  <c r="BI100" i="4"/>
  <c r="D39" i="4"/>
  <c r="BI116" i="4"/>
  <c r="AO20" i="4"/>
  <c r="BF52" i="4"/>
  <c r="AT68" i="4"/>
  <c r="BD36" i="4"/>
  <c r="AW116" i="4"/>
  <c r="AW52" i="4"/>
  <c r="BF100" i="4"/>
  <c r="BD100" i="4"/>
  <c r="AU84" i="4"/>
  <c r="AX116" i="4"/>
  <c r="AX20" i="4"/>
  <c r="BA109" i="4"/>
  <c r="BJ105" i="4"/>
  <c r="BM51" i="4"/>
  <c r="BG61" i="4"/>
  <c r="CH79" i="4"/>
  <c r="CH71" i="4"/>
  <c r="AR13" i="4"/>
  <c r="BF131" i="4"/>
  <c r="AW51" i="4"/>
  <c r="BX103" i="4"/>
  <c r="CG57" i="4"/>
  <c r="BI23" i="4"/>
  <c r="AX73" i="4"/>
  <c r="CA19" i="4"/>
  <c r="CG111" i="4"/>
  <c r="BA93" i="4"/>
  <c r="BS67" i="4"/>
  <c r="CA71" i="4"/>
  <c r="BA35" i="4"/>
  <c r="CG81" i="4"/>
  <c r="CG123" i="4"/>
  <c r="BS109" i="4"/>
  <c r="BU25" i="4"/>
  <c r="AO119" i="4"/>
  <c r="BL17" i="4"/>
  <c r="BY49" i="4"/>
  <c r="BA39" i="4"/>
  <c r="CD83" i="4"/>
  <c r="BV23" i="4"/>
  <c r="CB97" i="4"/>
  <c r="BA45" i="4"/>
  <c r="BF125" i="4"/>
  <c r="AW35" i="4"/>
  <c r="BA103" i="4"/>
  <c r="AK79" i="4"/>
  <c r="BO79" i="4"/>
  <c r="BM11" i="4"/>
  <c r="BU41" i="4"/>
  <c r="CA59" i="4"/>
  <c r="BA75" i="4"/>
  <c r="BG121" i="4"/>
  <c r="BO97" i="4"/>
  <c r="BC123" i="4"/>
  <c r="BP115" i="4"/>
  <c r="BR45" i="4"/>
  <c r="CH47" i="4"/>
  <c r="AW79" i="4"/>
  <c r="BA121" i="4"/>
  <c r="CD129" i="4"/>
  <c r="BC63" i="4"/>
  <c r="CH39" i="4"/>
  <c r="AX59" i="4"/>
  <c r="CE105" i="4"/>
  <c r="AO95" i="4"/>
  <c r="AT51" i="4"/>
  <c r="CD103" i="4"/>
  <c r="BR115" i="4"/>
  <c r="BP109" i="4"/>
  <c r="BS7" i="4"/>
  <c r="AN119" i="4"/>
  <c r="B150" i="2"/>
  <c r="BS15" i="4"/>
  <c r="BO125" i="4"/>
  <c r="E53" i="4"/>
  <c r="AK97" i="4"/>
  <c r="CG87" i="4"/>
  <c r="AT105" i="4"/>
  <c r="AR83" i="4"/>
  <c r="BV123" i="4"/>
  <c r="BV93" i="4"/>
  <c r="AZ127" i="4"/>
  <c r="BO129" i="4"/>
  <c r="BM63" i="4"/>
  <c r="AT13" i="4"/>
  <c r="BU59" i="4"/>
  <c r="BC99" i="4"/>
  <c r="CK113" i="4"/>
  <c r="CB83" i="4"/>
  <c r="BP7" i="4"/>
  <c r="CG121" i="4"/>
  <c r="AZ89" i="4"/>
  <c r="CH61" i="4"/>
  <c r="BV33" i="4"/>
  <c r="AK115" i="4"/>
  <c r="CE99" i="4"/>
  <c r="BL99" i="4"/>
  <c r="E37" i="4"/>
  <c r="AW57" i="4"/>
  <c r="BC95" i="4"/>
  <c r="AQ9" i="4"/>
  <c r="BD71" i="4"/>
  <c r="AQ73" i="4"/>
  <c r="BO65" i="4"/>
  <c r="BO95" i="4"/>
  <c r="BR125" i="4"/>
  <c r="BY11" i="4"/>
  <c r="BL79" i="4"/>
  <c r="BF73" i="4"/>
  <c r="BV31" i="4"/>
  <c r="CE13" i="4"/>
  <c r="BJ19" i="4"/>
  <c r="CG119" i="4"/>
  <c r="AT119" i="4"/>
  <c r="BU91" i="4"/>
  <c r="AT25" i="4"/>
  <c r="BP119" i="4"/>
  <c r="AN131" i="4"/>
  <c r="AU109" i="4"/>
  <c r="AU67" i="4"/>
  <c r="AK13" i="4"/>
  <c r="BS137" i="4"/>
  <c r="BV127" i="4"/>
  <c r="CJ77" i="4"/>
  <c r="BY105" i="4"/>
  <c r="CJ39" i="4"/>
  <c r="AX119" i="4"/>
  <c r="BR109" i="4"/>
  <c r="BV95" i="4"/>
  <c r="BM13" i="4"/>
  <c r="D85" i="4"/>
  <c r="D53" i="4"/>
  <c r="AT113" i="4"/>
  <c r="AQ65" i="4"/>
  <c r="CB51" i="4"/>
  <c r="CK35" i="4"/>
  <c r="BI83" i="4"/>
  <c r="CD131" i="4"/>
  <c r="CA95" i="4"/>
  <c r="BG79" i="4"/>
  <c r="AX15" i="4"/>
  <c r="CB93" i="4"/>
  <c r="CA29" i="4"/>
  <c r="BJ63" i="4"/>
  <c r="AK19" i="4"/>
  <c r="CH81" i="4"/>
  <c r="CB115" i="4"/>
  <c r="BI49" i="4"/>
  <c r="BS77" i="4"/>
  <c r="E5" i="4"/>
  <c r="BX45" i="4"/>
  <c r="BG93" i="4"/>
  <c r="AM51" i="4"/>
  <c r="BJ45" i="4"/>
  <c r="CE7" i="4"/>
  <c r="AL47" i="4"/>
  <c r="AZ11" i="4"/>
  <c r="AO97" i="4"/>
  <c r="CH45" i="4"/>
  <c r="CK105" i="4"/>
  <c r="BG33" i="4"/>
  <c r="AM9" i="4"/>
  <c r="CD33" i="4"/>
  <c r="CG49" i="4"/>
  <c r="AW107" i="4"/>
  <c r="BX105" i="4"/>
  <c r="BD89" i="4"/>
  <c r="BF31" i="4"/>
  <c r="AW29" i="4"/>
  <c r="D21" i="4"/>
  <c r="BI45" i="4"/>
  <c r="CE73" i="4"/>
  <c r="CB95" i="4"/>
  <c r="AK11" i="4"/>
  <c r="AL93" i="4"/>
  <c r="AW15" i="4"/>
  <c r="AO35" i="4"/>
  <c r="CK81" i="4"/>
  <c r="AZ29" i="4"/>
  <c r="CD61" i="4"/>
  <c r="BU97" i="4"/>
  <c r="AK39" i="4"/>
  <c r="BX113" i="4"/>
  <c r="BM33" i="4"/>
  <c r="AX35" i="4"/>
  <c r="BP27" i="4"/>
  <c r="AX17" i="4"/>
  <c r="BF119" i="4"/>
  <c r="BJ75" i="4"/>
  <c r="CK17" i="4"/>
  <c r="CK7" i="4"/>
  <c r="B151" i="2"/>
  <c r="BA27" i="4"/>
  <c r="CD57" i="4"/>
  <c r="CB71" i="4"/>
  <c r="AM39" i="4"/>
  <c r="CB131" i="4"/>
  <c r="BO35" i="4"/>
  <c r="AX27" i="4"/>
  <c r="AW13" i="4"/>
  <c r="BI107" i="4"/>
  <c r="BJ111" i="4"/>
  <c r="BA23" i="4"/>
  <c r="AN9" i="4"/>
  <c r="BU63" i="4"/>
  <c r="AU131" i="4"/>
  <c r="BO123" i="4"/>
  <c r="BY73" i="4"/>
  <c r="BF123" i="4"/>
  <c r="AT75" i="4"/>
  <c r="BS59" i="4"/>
  <c r="AT61" i="4"/>
  <c r="BO47" i="4"/>
  <c r="AX39" i="4"/>
  <c r="BY127" i="4"/>
  <c r="BM109" i="4"/>
  <c r="BX123" i="4"/>
  <c r="BP73" i="4"/>
  <c r="BX79" i="4"/>
  <c r="BO75" i="4"/>
  <c r="AZ13" i="4"/>
  <c r="BR91" i="4"/>
  <c r="AT95" i="4"/>
  <c r="D37" i="4"/>
  <c r="CB13" i="4"/>
  <c r="BY93" i="4"/>
  <c r="CG107" i="4"/>
  <c r="BR73" i="4"/>
  <c r="AO25" i="4"/>
  <c r="AW39" i="4"/>
  <c r="CJ137" i="4"/>
  <c r="AU83" i="4"/>
  <c r="BF93" i="4"/>
  <c r="AM23" i="4"/>
  <c r="CA129" i="4"/>
  <c r="AQ29" i="4"/>
  <c r="AN127" i="4"/>
  <c r="BJ47" i="4"/>
  <c r="BC89" i="4"/>
  <c r="BP43" i="4"/>
  <c r="BV27" i="4"/>
  <c r="CJ119" i="4"/>
  <c r="AZ33" i="4"/>
  <c r="BL9" i="4"/>
  <c r="BO105" i="4"/>
  <c r="BF121" i="4"/>
  <c r="BS123" i="4"/>
  <c r="BU129" i="4"/>
  <c r="BP17" i="4"/>
  <c r="AN15" i="4"/>
  <c r="AN75" i="4"/>
  <c r="AZ75" i="4"/>
  <c r="BX87" i="4"/>
  <c r="CG105" i="4"/>
  <c r="BG11" i="4"/>
  <c r="BA63" i="4"/>
  <c r="BX35" i="4"/>
  <c r="AM81" i="4"/>
  <c r="CH51" i="4"/>
  <c r="AW83" i="4"/>
  <c r="BF27" i="4"/>
  <c r="AZ109" i="4"/>
  <c r="BI109" i="4"/>
  <c r="BP11" i="4"/>
  <c r="CK47" i="4"/>
  <c r="CJ81" i="4"/>
  <c r="BD33" i="4"/>
  <c r="AZ45" i="4"/>
  <c r="BU109" i="4"/>
  <c r="AU51" i="4"/>
  <c r="AT9" i="4"/>
  <c r="BP103" i="4"/>
  <c r="CE43" i="4"/>
  <c r="AM63" i="4"/>
  <c r="BY103" i="4"/>
  <c r="BX121" i="4"/>
  <c r="AM103" i="4"/>
  <c r="BU103" i="4"/>
  <c r="E101" i="4"/>
  <c r="BX15" i="4"/>
  <c r="BD59" i="4"/>
  <c r="CJ31" i="4"/>
  <c r="BF109" i="4"/>
  <c r="BP137" i="4"/>
  <c r="CK13" i="4"/>
  <c r="BJ29" i="4"/>
  <c r="D5" i="4"/>
  <c r="CG41" i="4"/>
  <c r="CE123" i="4"/>
  <c r="AR105" i="4"/>
  <c r="BR129" i="4"/>
  <c r="AL61" i="4"/>
  <c r="CH33" i="4"/>
  <c r="BC9" i="4"/>
  <c r="BF17" i="4"/>
  <c r="BJ87" i="4"/>
  <c r="AL109" i="4"/>
  <c r="CK137" i="4"/>
  <c r="CD71" i="4"/>
  <c r="CB27" i="4"/>
  <c r="BA123" i="4"/>
  <c r="BR13" i="4"/>
  <c r="AN23" i="4"/>
  <c r="BD131" i="4"/>
  <c r="AX81" i="4"/>
  <c r="AL31" i="4"/>
  <c r="BU77" i="4"/>
  <c r="AN125" i="4"/>
  <c r="CE27" i="4"/>
  <c r="BX13" i="4"/>
  <c r="BC127" i="4"/>
  <c r="BI61" i="4"/>
  <c r="CE83" i="4"/>
  <c r="AR93" i="4"/>
  <c r="BX55" i="4"/>
  <c r="CE97" i="4"/>
  <c r="AM31" i="4"/>
  <c r="CD55" i="4"/>
  <c r="BF15" i="4"/>
  <c r="BR27" i="4"/>
  <c r="BY55" i="4"/>
  <c r="CE41" i="4"/>
  <c r="AU103" i="4"/>
  <c r="BI33" i="4"/>
  <c r="BY91" i="4"/>
  <c r="AN121" i="4"/>
  <c r="BO137" i="4"/>
  <c r="BG67" i="4"/>
  <c r="AW121" i="4"/>
  <c r="CD109" i="4"/>
  <c r="AX115" i="4"/>
  <c r="BL51" i="4"/>
  <c r="BF87" i="4"/>
  <c r="CE115" i="4"/>
  <c r="CG65" i="4"/>
  <c r="AZ113" i="4"/>
  <c r="BS83" i="4"/>
  <c r="BC17" i="4"/>
  <c r="AN103" i="4"/>
  <c r="AN111" i="4"/>
  <c r="CH23" i="4"/>
  <c r="BP23" i="4"/>
  <c r="BC79" i="4"/>
  <c r="BV75" i="4"/>
  <c r="BP71" i="4"/>
  <c r="CE49" i="4"/>
  <c r="CJ125" i="4"/>
  <c r="B154" i="2"/>
  <c r="AL41" i="4"/>
  <c r="BD123" i="4"/>
  <c r="BX43" i="4"/>
  <c r="BY115" i="4"/>
  <c r="CA33" i="4"/>
  <c r="CJ55" i="4"/>
  <c r="BI121" i="4"/>
  <c r="BY79" i="4"/>
  <c r="AW103" i="4"/>
  <c r="BM27" i="4"/>
  <c r="AZ23" i="4"/>
  <c r="BU17" i="4"/>
  <c r="CK127" i="4"/>
  <c r="BL131" i="4"/>
  <c r="AZ67" i="4"/>
  <c r="AU81" i="4"/>
  <c r="CE79" i="4"/>
  <c r="BC93" i="4"/>
  <c r="BI51" i="4"/>
  <c r="BC41" i="4"/>
  <c r="BD45" i="4"/>
  <c r="AT93" i="4"/>
  <c r="D101" i="4"/>
  <c r="BC15" i="4"/>
  <c r="BO41" i="4"/>
  <c r="BG9" i="4"/>
  <c r="BI129" i="4"/>
  <c r="CH55" i="4"/>
  <c r="BR71" i="4"/>
  <c r="BD25" i="4"/>
  <c r="BG45" i="4"/>
  <c r="BJ113" i="4"/>
  <c r="AO111" i="4"/>
  <c r="AO77" i="4"/>
  <c r="AU13" i="4"/>
  <c r="AK119" i="4"/>
  <c r="BC31" i="4"/>
  <c r="CG109" i="4"/>
  <c r="BX115" i="4"/>
  <c r="BF129" i="4"/>
  <c r="BU39" i="4"/>
  <c r="CE125" i="4"/>
  <c r="AO51" i="4"/>
  <c r="CD99" i="4"/>
  <c r="AR23" i="4"/>
  <c r="BC43" i="4"/>
  <c r="BJ131" i="4"/>
  <c r="BO131" i="4"/>
  <c r="AQ59" i="4"/>
  <c r="BS55" i="4"/>
  <c r="BJ33" i="4"/>
  <c r="BC19" i="4"/>
  <c r="AX63" i="4"/>
  <c r="BR103" i="4"/>
  <c r="CA89" i="4"/>
  <c r="CJ43" i="4"/>
  <c r="AK59" i="4"/>
  <c r="BA119" i="4"/>
  <c r="BU115" i="4"/>
  <c r="BY77" i="4"/>
  <c r="BP55" i="4"/>
  <c r="B155" i="2"/>
  <c r="B156" i="2"/>
  <c r="B152" i="2"/>
  <c r="CH59" i="4"/>
  <c r="BX63" i="4"/>
  <c r="BV89" i="4"/>
  <c r="BL61" i="4"/>
  <c r="CH75" i="4"/>
  <c r="BG49" i="4"/>
  <c r="BX9" i="4"/>
  <c r="BA61" i="4"/>
  <c r="BP83" i="4"/>
  <c r="AT47" i="4"/>
  <c r="CG55" i="4"/>
  <c r="CD81" i="4"/>
  <c r="CG25" i="4"/>
  <c r="AL87" i="4"/>
  <c r="BU55" i="4"/>
  <c r="AN113" i="4"/>
  <c r="CB31" i="4"/>
  <c r="CG127" i="4"/>
  <c r="BY131" i="4"/>
  <c r="BV97" i="4"/>
  <c r="CA119" i="4"/>
  <c r="BG41" i="4"/>
  <c r="AR31" i="4"/>
  <c r="BU121" i="4"/>
  <c r="BF91" i="4"/>
  <c r="CA63" i="4"/>
  <c r="AL121" i="4"/>
  <c r="E21" i="4"/>
  <c r="BM41" i="4"/>
  <c r="BM113" i="4"/>
  <c r="BC33" i="4"/>
  <c r="CH131" i="4"/>
  <c r="BG31" i="4"/>
  <c r="AN65" i="4"/>
  <c r="BP127" i="4"/>
  <c r="BG27" i="4"/>
  <c r="CE15" i="4"/>
  <c r="BI95" i="4"/>
  <c r="CB61" i="4"/>
  <c r="CH97" i="4"/>
  <c r="AQ123" i="4"/>
  <c r="CH15" i="4"/>
  <c r="CJ51" i="4"/>
  <c r="BG91" i="4"/>
  <c r="AO83" i="4"/>
  <c r="AO105" i="4"/>
  <c r="CG73" i="4"/>
  <c r="AL27" i="4"/>
  <c r="AQ111" i="4"/>
  <c r="AZ25" i="4"/>
  <c r="BM95" i="4"/>
  <c r="AZ43" i="4"/>
  <c r="CG79" i="4"/>
  <c r="AX125" i="4"/>
  <c r="CJ67" i="4"/>
  <c r="B153" i="2"/>
  <c r="AM93" i="4"/>
  <c r="BR59" i="4"/>
  <c r="AX45" i="4"/>
  <c r="CJ115" i="4"/>
  <c r="AT57" i="4"/>
  <c r="BX75" i="4"/>
  <c r="AR103" i="4"/>
  <c r="BO71" i="4"/>
  <c r="BP31" i="4"/>
  <c r="E85" i="4"/>
  <c r="AL17" i="4"/>
  <c r="BI41" i="4"/>
  <c r="BR137" i="4"/>
  <c r="CH103" i="4"/>
  <c r="BA95" i="4"/>
  <c r="AO79" i="4"/>
  <c r="BY35" i="4"/>
  <c r="BM79" i="4"/>
  <c r="AZ79" i="4"/>
  <c r="CH87" i="4"/>
  <c r="BG129" i="4"/>
  <c r="AZ129" i="4"/>
  <c r="E69" i="4"/>
  <c r="BC51" i="4"/>
  <c r="CA25" i="4"/>
  <c r="CD87" i="4"/>
  <c r="CE129" i="4"/>
  <c r="BY65" i="4"/>
  <c r="D69" i="4"/>
  <c r="AQ102" i="4" l="1"/>
  <c r="AO102" i="4"/>
  <c r="AQ118" i="4"/>
  <c r="BI86" i="4"/>
  <c r="AN54" i="4"/>
  <c r="CN55" i="4"/>
  <c r="BJ118" i="4"/>
  <c r="AO38" i="4"/>
  <c r="BC22" i="4"/>
  <c r="AU6" i="4"/>
  <c r="BG6" i="4"/>
  <c r="BC70" i="4"/>
  <c r="CN23" i="4"/>
  <c r="AX102" i="4"/>
  <c r="AW118" i="4"/>
  <c r="BF6" i="4"/>
  <c r="AR86" i="4"/>
  <c r="BI54" i="4"/>
  <c r="AL102" i="4"/>
  <c r="BC6" i="4"/>
  <c r="AQ22" i="4"/>
  <c r="AO22" i="4"/>
  <c r="BJ70" i="4"/>
  <c r="AX54" i="4"/>
  <c r="CN39" i="4"/>
  <c r="BC54" i="4"/>
  <c r="BC118" i="4"/>
  <c r="BA70" i="4"/>
  <c r="AK70" i="4"/>
  <c r="AX70" i="4"/>
  <c r="AR6" i="4"/>
  <c r="BG54" i="4"/>
  <c r="B84" i="2"/>
  <c r="B80" i="2"/>
  <c r="B108" i="2"/>
  <c r="E13" i="2"/>
  <c r="E63" i="2"/>
  <c r="E15" i="2"/>
  <c r="B92" i="2"/>
  <c r="B74" i="2"/>
  <c r="D89" i="2"/>
  <c r="E11" i="2"/>
  <c r="B12" i="2" s="1"/>
  <c r="D13" i="2"/>
  <c r="D15" i="2"/>
  <c r="B16" i="2" s="1"/>
  <c r="BA118" i="4"/>
  <c r="AK118" i="4"/>
  <c r="AN22" i="4"/>
  <c r="BJ86" i="4"/>
  <c r="AW38" i="4"/>
  <c r="BA102" i="4"/>
  <c r="BA38" i="4"/>
  <c r="AO118" i="4"/>
  <c r="BI22" i="4"/>
  <c r="B14" i="2"/>
  <c r="B116" i="2"/>
  <c r="D121" i="2"/>
  <c r="B122" i="2" s="1"/>
  <c r="AW22" i="4"/>
  <c r="BJ22" i="4"/>
  <c r="AL118" i="4"/>
  <c r="BD86" i="4"/>
  <c r="BD38" i="4"/>
  <c r="CM39" i="4"/>
  <c r="CM87" i="4"/>
  <c r="BF86" i="4"/>
  <c r="BC38" i="4"/>
  <c r="BF102" i="4"/>
  <c r="AU54" i="4"/>
  <c r="BD54" i="4"/>
  <c r="AR22" i="4"/>
  <c r="BG22" i="4"/>
  <c r="AN118" i="4"/>
  <c r="AT22" i="4"/>
  <c r="BG118" i="4"/>
  <c r="BG38" i="4"/>
  <c r="BC86" i="4"/>
  <c r="CN87" i="4"/>
  <c r="AO86" i="4"/>
  <c r="AZ6" i="4"/>
  <c r="CM103" i="4"/>
  <c r="BJ6" i="4"/>
  <c r="AZ70" i="4"/>
  <c r="AU70" i="4"/>
  <c r="BF70" i="4"/>
  <c r="BJ38" i="4"/>
  <c r="AT70" i="4"/>
  <c r="AZ54" i="4"/>
  <c r="BG86" i="4"/>
  <c r="BF118" i="4"/>
  <c r="BA86" i="4"/>
  <c r="AN102" i="4"/>
  <c r="CM55" i="4"/>
  <c r="AQ6" i="4"/>
  <c r="CN103" i="4"/>
  <c r="AW54" i="4"/>
  <c r="AT6" i="4"/>
  <c r="BI38" i="4"/>
  <c r="AU118" i="4"/>
  <c r="AU38" i="4"/>
  <c r="AK102" i="4"/>
  <c r="AZ38" i="4"/>
  <c r="AN6" i="4"/>
  <c r="BJ54" i="4"/>
  <c r="BD22" i="4"/>
  <c r="AT38" i="4"/>
  <c r="AZ86" i="4"/>
  <c r="CN7" i="4"/>
  <c r="BJ102" i="4"/>
  <c r="AX6" i="4"/>
  <c r="BI102" i="4"/>
  <c r="BG70" i="4"/>
  <c r="BA54" i="4"/>
  <c r="CM71" i="4"/>
  <c r="AW6" i="4"/>
  <c r="AX22" i="4"/>
  <c r="AZ102" i="4"/>
  <c r="BI70" i="4"/>
  <c r="AZ118" i="4"/>
  <c r="BF22" i="4"/>
  <c r="AT54" i="4"/>
  <c r="BI118" i="4"/>
  <c r="AW70" i="4"/>
  <c r="AQ54" i="4"/>
  <c r="CN71" i="4"/>
  <c r="AK86" i="4"/>
  <c r="AM70" i="4"/>
  <c r="BD118" i="4"/>
  <c r="AM86" i="4"/>
  <c r="AX136" i="4"/>
  <c r="U136" i="4" s="1"/>
  <c r="BY135" i="4" s="1"/>
  <c r="B159" i="2"/>
  <c r="C157" i="2" s="1"/>
  <c r="C117" i="2" s="1"/>
  <c r="AH117" i="2" s="1"/>
  <c r="AH118" i="2" s="1"/>
  <c r="BG136" i="4"/>
  <c r="AD136" i="4" s="1"/>
  <c r="CH135" i="4" s="1"/>
  <c r="BI136" i="4"/>
  <c r="AF136" i="4" s="1"/>
  <c r="CJ135" i="4" s="1"/>
  <c r="F103" i="4"/>
  <c r="F55" i="4"/>
  <c r="F71" i="4"/>
  <c r="BC136" i="4"/>
  <c r="Z136" i="4" s="1"/>
  <c r="CD135" i="4" s="1"/>
  <c r="BA136" i="4"/>
  <c r="X136" i="4" s="1"/>
  <c r="CB135" i="4" s="1"/>
  <c r="AZ136" i="4"/>
  <c r="W136" i="4" s="1"/>
  <c r="CA135" i="4" s="1"/>
  <c r="F39" i="4"/>
  <c r="F23" i="4"/>
  <c r="BJ136" i="4"/>
  <c r="AG136" i="4" s="1"/>
  <c r="CK135" i="4" s="1"/>
  <c r="AW136" i="4"/>
  <c r="T136" i="4" s="1"/>
  <c r="BX135" i="4" s="1"/>
  <c r="BD136" i="4"/>
  <c r="AA136" i="4" s="1"/>
  <c r="CE135" i="4" s="1"/>
  <c r="BF136" i="4"/>
  <c r="AC136" i="4" s="1"/>
  <c r="CG135" i="4" s="1"/>
  <c r="F87" i="4"/>
  <c r="A88" i="4"/>
  <c r="F7" i="4"/>
  <c r="D65" i="2"/>
  <c r="B64" i="2"/>
  <c r="B36" i="2"/>
  <c r="B94" i="2"/>
  <c r="B110" i="2"/>
  <c r="B20" i="2"/>
  <c r="B96" i="2"/>
  <c r="B130" i="2"/>
  <c r="AX118" i="4"/>
  <c r="CN137" i="4"/>
  <c r="K137" i="2" s="1"/>
  <c r="AX38" i="4"/>
  <c r="AT118" i="4"/>
  <c r="AM102" i="4"/>
  <c r="BD70" i="4"/>
  <c r="CM137" i="4"/>
  <c r="M137" i="2" s="1"/>
  <c r="AL86" i="4"/>
  <c r="AZ22" i="4"/>
  <c r="BA22" i="4"/>
  <c r="AW102" i="4"/>
  <c r="AR102" i="4"/>
  <c r="D41" i="2"/>
  <c r="E99" i="2"/>
  <c r="E65" i="2"/>
  <c r="B68" i="2"/>
  <c r="D99" i="2"/>
  <c r="B100" i="2" s="1"/>
  <c r="D75" i="2"/>
  <c r="E119" i="2"/>
  <c r="E127" i="2"/>
  <c r="D49" i="2"/>
  <c r="E59" i="2"/>
  <c r="B34" i="2"/>
  <c r="B90" i="2"/>
  <c r="B114" i="2"/>
  <c r="E17" i="2"/>
  <c r="E75" i="2"/>
  <c r="D97" i="2"/>
  <c r="D119" i="2"/>
  <c r="B52" i="2"/>
  <c r="E49" i="2"/>
  <c r="E123" i="2"/>
  <c r="D123" i="2"/>
  <c r="D127" i="2"/>
  <c r="B58" i="2"/>
  <c r="B48" i="2"/>
  <c r="E97" i="2"/>
  <c r="E41" i="2"/>
  <c r="D59" i="2"/>
  <c r="B60" i="2" s="1"/>
  <c r="E131" i="2"/>
  <c r="E77" i="2"/>
  <c r="D77" i="2"/>
  <c r="D9" i="2"/>
  <c r="D43" i="2"/>
  <c r="D131" i="2"/>
  <c r="E43" i="2"/>
  <c r="D17" i="2"/>
  <c r="C153" i="2"/>
  <c r="C53" i="2" s="1"/>
  <c r="E9" i="2"/>
  <c r="B26" i="2"/>
  <c r="B46" i="2"/>
  <c r="B30" i="2"/>
  <c r="A24" i="4"/>
  <c r="A40" i="4"/>
  <c r="AM22" i="4"/>
  <c r="AT102" i="4"/>
  <c r="AT136" i="4"/>
  <c r="AL6" i="4"/>
  <c r="AL38" i="4"/>
  <c r="AM54" i="4"/>
  <c r="AR70" i="4"/>
  <c r="AQ70" i="4"/>
  <c r="AK6" i="4"/>
  <c r="AQ136" i="4"/>
  <c r="AK136" i="4"/>
  <c r="AM38" i="4"/>
  <c r="AU102" i="4"/>
  <c r="AO136" i="4"/>
  <c r="AO70" i="4"/>
  <c r="AN136" i="4"/>
  <c r="AT86" i="4"/>
  <c r="AL22" i="4"/>
  <c r="AM136" i="4"/>
  <c r="C55" i="2"/>
  <c r="AL136" i="4"/>
  <c r="AL54" i="4"/>
  <c r="AK38" i="4"/>
  <c r="AU136" i="4"/>
  <c r="AR136" i="4"/>
  <c r="AK54" i="4"/>
  <c r="AN70" i="4"/>
  <c r="AM6" i="4"/>
  <c r="E135" i="4"/>
  <c r="F5" i="4"/>
  <c r="F21" i="4"/>
  <c r="F37" i="4"/>
  <c r="D135" i="4"/>
  <c r="F69" i="4"/>
  <c r="F101" i="4"/>
  <c r="F53" i="4"/>
  <c r="F85" i="4"/>
  <c r="F135" i="4" s="1"/>
  <c r="C151" i="2" l="1"/>
  <c r="C21" i="2" s="1"/>
  <c r="BA5" i="4"/>
  <c r="X135" i="4" s="1"/>
  <c r="X140" i="4" s="1"/>
  <c r="BF5" i="4"/>
  <c r="AC135" i="4" s="1"/>
  <c r="AZ5" i="4"/>
  <c r="W135" i="4" s="1"/>
  <c r="B66" i="2"/>
  <c r="BC5" i="4"/>
  <c r="Z135" i="4" s="1"/>
  <c r="C154" i="2"/>
  <c r="C69" i="2" s="1"/>
  <c r="O136" i="4"/>
  <c r="BS135" i="4" s="1"/>
  <c r="H136" i="4"/>
  <c r="BM135" i="4" s="1"/>
  <c r="K136" i="4"/>
  <c r="BO135" i="4" s="1"/>
  <c r="R136" i="4"/>
  <c r="BV135" i="4" s="1"/>
  <c r="G136" i="4"/>
  <c r="BL135" i="4" s="1"/>
  <c r="Q136" i="4"/>
  <c r="BU135" i="4" s="1"/>
  <c r="L136" i="4"/>
  <c r="BP135" i="4" s="1"/>
  <c r="N136" i="4"/>
  <c r="BR135" i="4" s="1"/>
  <c r="A56" i="4"/>
  <c r="C156" i="2"/>
  <c r="C101" i="2" s="1"/>
  <c r="C152" i="2"/>
  <c r="C37" i="2" s="1"/>
  <c r="C150" i="2"/>
  <c r="C5" i="2" s="1"/>
  <c r="BG5" i="4"/>
  <c r="AD135" i="4" s="1"/>
  <c r="AD140" i="4" s="1"/>
  <c r="A104" i="4"/>
  <c r="BD5" i="4"/>
  <c r="AA135" i="4" s="1"/>
  <c r="AA140" i="4" s="1"/>
  <c r="BI5" i="4"/>
  <c r="AF135" i="4" s="1"/>
  <c r="B124" i="2"/>
  <c r="A72" i="4"/>
  <c r="B42" i="2"/>
  <c r="AW5" i="4"/>
  <c r="T135" i="4" s="1"/>
  <c r="A8" i="4"/>
  <c r="C155" i="2"/>
  <c r="C85" i="2" s="1"/>
  <c r="BJ5" i="4"/>
  <c r="AG135" i="4" s="1"/>
  <c r="AG140" i="4" s="1"/>
  <c r="C135" i="4"/>
  <c r="D141" i="4" s="1"/>
  <c r="E141" i="4" s="1"/>
  <c r="E4" i="44" s="1"/>
  <c r="B136" i="4"/>
  <c r="AX5" i="4"/>
  <c r="U135" i="4" s="1"/>
  <c r="U140" i="4" s="1"/>
  <c r="P137" i="2"/>
  <c r="S137" i="2"/>
  <c r="Y137" i="2"/>
  <c r="AE137" i="2"/>
  <c r="AB137" i="2"/>
  <c r="J137" i="2"/>
  <c r="V137" i="2"/>
  <c r="G137" i="2"/>
  <c r="Q137" i="2"/>
  <c r="Z137" i="2"/>
  <c r="T137" i="2"/>
  <c r="AC137" i="2"/>
  <c r="H137" i="2"/>
  <c r="AF137" i="2"/>
  <c r="W137" i="2"/>
  <c r="B10" i="2"/>
  <c r="B76" i="2"/>
  <c r="N137" i="2"/>
  <c r="B18" i="2"/>
  <c r="B128" i="2"/>
  <c r="B50" i="2"/>
  <c r="B44" i="2"/>
  <c r="E117" i="2"/>
  <c r="B98" i="2"/>
  <c r="B120" i="2"/>
  <c r="V55" i="2"/>
  <c r="H55" i="2"/>
  <c r="M55" i="2"/>
  <c r="G55" i="2"/>
  <c r="W55" i="2"/>
  <c r="AF55" i="2"/>
  <c r="S55" i="2"/>
  <c r="K55" i="2"/>
  <c r="AE55" i="2"/>
  <c r="P55" i="2"/>
  <c r="Y55" i="2"/>
  <c r="T55" i="2"/>
  <c r="N55" i="2"/>
  <c r="J55" i="2"/>
  <c r="AC55" i="2"/>
  <c r="Q55" i="2"/>
  <c r="AB55" i="2"/>
  <c r="AH55" i="2"/>
  <c r="AH56" i="2" s="1"/>
  <c r="Z55" i="2"/>
  <c r="AH53" i="2"/>
  <c r="AH54" i="2" s="1"/>
  <c r="B78" i="2"/>
  <c r="L9" i="48"/>
  <c r="B132" i="2"/>
  <c r="D117" i="2"/>
  <c r="C23" i="2"/>
  <c r="C103" i="2"/>
  <c r="C7" i="2"/>
  <c r="AU5" i="4"/>
  <c r="C87" i="2"/>
  <c r="AO5" i="4"/>
  <c r="AM5" i="4"/>
  <c r="AK5" i="4"/>
  <c r="AT5" i="4"/>
  <c r="AN5" i="4"/>
  <c r="AQ5" i="4"/>
  <c r="C39" i="2"/>
  <c r="C71" i="2"/>
  <c r="AL5" i="4"/>
  <c r="AR5" i="4"/>
  <c r="N10" i="48"/>
  <c r="G71" i="2" l="1"/>
  <c r="P71" i="2"/>
  <c r="Q71" i="2"/>
  <c r="AE71" i="2"/>
  <c r="AF71" i="2"/>
  <c r="Y71" i="2"/>
  <c r="S71" i="2"/>
  <c r="N71" i="2"/>
  <c r="H71" i="2"/>
  <c r="M71" i="2"/>
  <c r="J71" i="2"/>
  <c r="D71" i="2" s="1"/>
  <c r="V71" i="2"/>
  <c r="Z71" i="2"/>
  <c r="AH71" i="2"/>
  <c r="AH72" i="2" s="1"/>
  <c r="T71" i="2"/>
  <c r="AC71" i="2"/>
  <c r="K71" i="2"/>
  <c r="AB71" i="2"/>
  <c r="W71" i="2"/>
  <c r="K135" i="4"/>
  <c r="K140" i="4" s="1"/>
  <c r="D6" i="48" s="1"/>
  <c r="AB23" i="2"/>
  <c r="S23" i="2"/>
  <c r="Q23" i="2"/>
  <c r="N23" i="2"/>
  <c r="T23" i="2"/>
  <c r="P23" i="2"/>
  <c r="G23" i="2"/>
  <c r="D23" i="2" s="1"/>
  <c r="D21" i="2" s="1"/>
  <c r="K23" i="2"/>
  <c r="E23" i="2" s="1"/>
  <c r="E21" i="2" s="1"/>
  <c r="AF23" i="2"/>
  <c r="AE23" i="2"/>
  <c r="Z23" i="2"/>
  <c r="AH23" i="2"/>
  <c r="AH24" i="2" s="1"/>
  <c r="M23" i="2"/>
  <c r="V23" i="2"/>
  <c r="W23" i="2"/>
  <c r="J23" i="2"/>
  <c r="H23" i="2"/>
  <c r="Y23" i="2"/>
  <c r="AC23" i="2"/>
  <c r="AH69" i="2"/>
  <c r="AH70" i="2" s="1"/>
  <c r="CN135" i="4"/>
  <c r="J137" i="47"/>
  <c r="B141" i="4"/>
  <c r="AH21" i="2"/>
  <c r="AH22" i="2" s="1"/>
  <c r="W140" i="4"/>
  <c r="Y135" i="4"/>
  <c r="CM135" i="4"/>
  <c r="AC140" i="4"/>
  <c r="AE135" i="4"/>
  <c r="Z140" i="4"/>
  <c r="AA141" i="4" s="1"/>
  <c r="AB135" i="4"/>
  <c r="M6" i="48"/>
  <c r="M135" i="47"/>
  <c r="O135" i="4"/>
  <c r="O140" i="4" s="1"/>
  <c r="W39" i="2"/>
  <c r="AF39" i="2"/>
  <c r="S39" i="2"/>
  <c r="P39" i="2"/>
  <c r="Q39" i="2"/>
  <c r="AC39" i="2"/>
  <c r="Z39" i="2"/>
  <c r="J39" i="2"/>
  <c r="V39" i="2"/>
  <c r="T39" i="2"/>
  <c r="G39" i="2"/>
  <c r="N39" i="2"/>
  <c r="N135" i="2" s="1"/>
  <c r="N140" i="2" s="1"/>
  <c r="K39" i="2"/>
  <c r="AH39" i="2"/>
  <c r="AH40" i="2" s="1"/>
  <c r="H39" i="2"/>
  <c r="AE39" i="2"/>
  <c r="AB39" i="2"/>
  <c r="Y39" i="2"/>
  <c r="M39" i="2"/>
  <c r="L135" i="4"/>
  <c r="R135" i="4"/>
  <c r="R140" i="4" s="1"/>
  <c r="Q135" i="4"/>
  <c r="G135" i="4"/>
  <c r="V87" i="2"/>
  <c r="N87" i="2"/>
  <c r="M87" i="2"/>
  <c r="P87" i="2"/>
  <c r="Y87" i="2"/>
  <c r="T87" i="2"/>
  <c r="AF87" i="2"/>
  <c r="W87" i="2"/>
  <c r="S87" i="2"/>
  <c r="S135" i="2" s="1"/>
  <c r="S140" i="2" s="1"/>
  <c r="J87" i="2"/>
  <c r="AB87" i="2"/>
  <c r="AE87" i="2"/>
  <c r="Z87" i="2"/>
  <c r="Z135" i="2" s="1"/>
  <c r="Z140" i="2" s="1"/>
  <c r="H87" i="2"/>
  <c r="G87" i="2"/>
  <c r="Q87" i="2"/>
  <c r="AH87" i="2"/>
  <c r="AH88" i="2" s="1"/>
  <c r="AC87" i="2"/>
  <c r="K87" i="2"/>
  <c r="H7" i="2"/>
  <c r="M7" i="2"/>
  <c r="M135" i="2" s="1"/>
  <c r="M140" i="2" s="1"/>
  <c r="K7" i="2"/>
  <c r="Z7" i="2"/>
  <c r="S7" i="2"/>
  <c r="Q7" i="2"/>
  <c r="Q135" i="2" s="1"/>
  <c r="Q140" i="2" s="1"/>
  <c r="J7" i="2"/>
  <c r="AF7" i="2"/>
  <c r="T7" i="2"/>
  <c r="AC7" i="2"/>
  <c r="AC135" i="2" s="1"/>
  <c r="AC140" i="2" s="1"/>
  <c r="AB7" i="2"/>
  <c r="V7" i="2"/>
  <c r="N7" i="2"/>
  <c r="AH7" i="2"/>
  <c r="AH8" i="2" s="1"/>
  <c r="P7" i="2"/>
  <c r="G7" i="2"/>
  <c r="W7" i="2"/>
  <c r="AE7" i="2"/>
  <c r="AE135" i="2" s="1"/>
  <c r="AE140" i="2" s="1"/>
  <c r="Y7" i="2"/>
  <c r="H135" i="4"/>
  <c r="H140" i="4" s="1"/>
  <c r="J135" i="4"/>
  <c r="B3" i="49" s="1"/>
  <c r="G3" i="49" s="1"/>
  <c r="N135" i="4"/>
  <c r="P103" i="2"/>
  <c r="Q103" i="2"/>
  <c r="N103" i="2"/>
  <c r="AB103" i="2"/>
  <c r="AC103" i="2"/>
  <c r="M103" i="2"/>
  <c r="J103" i="2"/>
  <c r="W103" i="2"/>
  <c r="W135" i="2" s="1"/>
  <c r="W140" i="2" s="1"/>
  <c r="H103" i="2"/>
  <c r="Z103" i="2"/>
  <c r="Y103" i="2"/>
  <c r="K103" i="2"/>
  <c r="AE103" i="2"/>
  <c r="T103" i="2"/>
  <c r="AF103" i="2"/>
  <c r="AH103" i="2"/>
  <c r="AH104" i="2" s="1"/>
  <c r="S103" i="2"/>
  <c r="G103" i="2"/>
  <c r="V103" i="2"/>
  <c r="AH37" i="2"/>
  <c r="AH38" i="2" s="1"/>
  <c r="O6" i="48"/>
  <c r="O135" i="47"/>
  <c r="AH85" i="2"/>
  <c r="AH86" i="2" s="1"/>
  <c r="AH5" i="2"/>
  <c r="AH6" i="2" s="1"/>
  <c r="S135" i="47"/>
  <c r="S6" i="48"/>
  <c r="AH135" i="4"/>
  <c r="AF140" i="4"/>
  <c r="T140" i="4"/>
  <c r="V135" i="4"/>
  <c r="Q6" i="48"/>
  <c r="Q135" i="47"/>
  <c r="AD141" i="4"/>
  <c r="AH101" i="2"/>
  <c r="AH102" i="2" s="1"/>
  <c r="K135" i="47"/>
  <c r="K6" i="48"/>
  <c r="A118" i="2"/>
  <c r="D137" i="2"/>
  <c r="E137" i="2"/>
  <c r="E55" i="2"/>
  <c r="E53" i="2" s="1"/>
  <c r="D55" i="2"/>
  <c r="L138" i="47"/>
  <c r="A22" i="2" l="1"/>
  <c r="D69" i="2"/>
  <c r="A70" i="2" s="1"/>
  <c r="B72" i="2"/>
  <c r="E12" i="44"/>
  <c r="N136" i="47"/>
  <c r="N142" i="47" s="1"/>
  <c r="D135" i="47"/>
  <c r="Y135" i="2"/>
  <c r="Y140" i="2" s="1"/>
  <c r="N4" i="48" s="1"/>
  <c r="T135" i="2"/>
  <c r="T140" i="2" s="1"/>
  <c r="J4" i="47" s="1"/>
  <c r="E71" i="2"/>
  <c r="E69" i="2" s="1"/>
  <c r="N6" i="48"/>
  <c r="N135" i="47"/>
  <c r="AF135" i="2"/>
  <c r="AF140" i="2" s="1"/>
  <c r="R4" i="48" s="1"/>
  <c r="X141" i="4"/>
  <c r="L135" i="47"/>
  <c r="L6" i="48"/>
  <c r="B4" i="49"/>
  <c r="G4" i="49" s="1"/>
  <c r="B24" i="2"/>
  <c r="B137" i="2"/>
  <c r="P135" i="2"/>
  <c r="P140" i="2" s="1"/>
  <c r="H4" i="48" s="1"/>
  <c r="AB135" i="2"/>
  <c r="AB140" i="2" s="1"/>
  <c r="P4" i="47" s="1"/>
  <c r="J135" i="2"/>
  <c r="J140" i="2" s="1"/>
  <c r="P6" i="48"/>
  <c r="P135" i="47"/>
  <c r="R4" i="47"/>
  <c r="F4" i="48"/>
  <c r="F4" i="47"/>
  <c r="J4" i="48"/>
  <c r="G6" i="48"/>
  <c r="G135" i="47"/>
  <c r="P136" i="47"/>
  <c r="P142" i="47" s="1"/>
  <c r="B10" i="49"/>
  <c r="G10" i="49" s="1"/>
  <c r="P7" i="48"/>
  <c r="P8" i="48" s="1"/>
  <c r="E13" i="44"/>
  <c r="P135" i="4"/>
  <c r="N140" i="4"/>
  <c r="R6" i="48"/>
  <c r="AG141" i="4"/>
  <c r="R135" i="47"/>
  <c r="Q140" i="4"/>
  <c r="S135" i="4"/>
  <c r="K135" i="2"/>
  <c r="K140" i="2" s="1"/>
  <c r="U141" i="4"/>
  <c r="J6" i="48"/>
  <c r="J135" i="47"/>
  <c r="L140" i="4"/>
  <c r="M135" i="4"/>
  <c r="I135" i="47"/>
  <c r="I6" i="48"/>
  <c r="B8" i="49"/>
  <c r="G8" i="49" s="1"/>
  <c r="C135" i="47"/>
  <c r="C6" i="48"/>
  <c r="G140" i="4"/>
  <c r="I135" i="4"/>
  <c r="N4" i="47"/>
  <c r="E103" i="2"/>
  <c r="E101" i="2" s="1"/>
  <c r="E87" i="2"/>
  <c r="E85" i="2" s="1"/>
  <c r="N7" i="48"/>
  <c r="N8" i="48" s="1"/>
  <c r="D103" i="2"/>
  <c r="D7" i="2"/>
  <c r="V135" i="2"/>
  <c r="V140" i="2" s="1"/>
  <c r="D87" i="2"/>
  <c r="H135" i="2"/>
  <c r="E135" i="2" s="1"/>
  <c r="G135" i="2"/>
  <c r="G140" i="2" s="1"/>
  <c r="E7" i="2"/>
  <c r="E5" i="2" s="1"/>
  <c r="E39" i="2"/>
  <c r="E37" i="2" s="1"/>
  <c r="D39" i="2"/>
  <c r="B138" i="2"/>
  <c r="D53" i="2"/>
  <c r="A54" i="2" s="1"/>
  <c r="B56" i="2"/>
  <c r="H4" i="47" l="1"/>
  <c r="P4" i="48"/>
  <c r="H140" i="2"/>
  <c r="B4" i="48" s="1"/>
  <c r="L7" i="48"/>
  <c r="L8" i="48" s="1"/>
  <c r="E11" i="44"/>
  <c r="B6" i="49"/>
  <c r="G6" i="49" s="1"/>
  <c r="L136" i="47"/>
  <c r="L142" i="47" s="1"/>
  <c r="D4" i="47"/>
  <c r="D135" i="2"/>
  <c r="B136" i="2" s="1"/>
  <c r="B8" i="2"/>
  <c r="D5" i="2"/>
  <c r="A6" i="2" s="1"/>
  <c r="R141" i="4"/>
  <c r="H6" i="48"/>
  <c r="H135" i="47"/>
  <c r="F6" i="48"/>
  <c r="O141" i="4"/>
  <c r="F135" i="47"/>
  <c r="L4" i="47"/>
  <c r="L4" i="48"/>
  <c r="H141" i="4"/>
  <c r="B135" i="47"/>
  <c r="B6" i="48"/>
  <c r="D85" i="2"/>
  <c r="A86" i="2" s="1"/>
  <c r="B88" i="2"/>
  <c r="E135" i="47"/>
  <c r="B9" i="49"/>
  <c r="G9" i="49" s="1"/>
  <c r="E6" i="48"/>
  <c r="L141" i="4"/>
  <c r="R7" i="48"/>
  <c r="R8" i="48" s="1"/>
  <c r="E14" i="44"/>
  <c r="R136" i="47"/>
  <c r="R142" i="47" s="1"/>
  <c r="D4" i="48"/>
  <c r="D37" i="2"/>
  <c r="A38" i="2" s="1"/>
  <c r="B40" i="2"/>
  <c r="D101" i="2"/>
  <c r="A102" i="2" s="1"/>
  <c r="B104" i="2"/>
  <c r="B11" i="49"/>
  <c r="G11" i="49" s="1"/>
  <c r="J7" i="48"/>
  <c r="J8" i="48" s="1"/>
  <c r="E10" i="44"/>
  <c r="J136" i="47"/>
  <c r="J142" i="47" s="1"/>
  <c r="B135" i="2"/>
  <c r="B4" i="47" l="1"/>
  <c r="D7" i="48"/>
  <c r="D8" i="48" s="1"/>
  <c r="D136" i="47"/>
  <c r="D142" i="47" s="1"/>
  <c r="E7" i="44"/>
  <c r="B136" i="47"/>
  <c r="B142" i="47" s="1"/>
  <c r="E6" i="44"/>
  <c r="B7" i="48"/>
  <c r="B8" i="48" s="1"/>
  <c r="E8" i="44"/>
  <c r="F136" i="47"/>
  <c r="F142" i="47" s="1"/>
  <c r="B5" i="49"/>
  <c r="G5" i="49" s="1"/>
  <c r="F7" i="48"/>
  <c r="F8" i="48" s="1"/>
  <c r="H7" i="48"/>
  <c r="H8" i="48" s="1"/>
  <c r="E9" i="44"/>
  <c r="H136" i="47"/>
  <c r="H142" i="47" s="1"/>
  <c r="B7" i="49"/>
  <c r="G7" i="49" s="1"/>
  <c r="G12" i="49" l="1"/>
  <c r="C13" i="49" s="1"/>
</calcChain>
</file>

<file path=xl/comments1.xml><?xml version="1.0" encoding="utf-8"?>
<comments xmlns="http://schemas.openxmlformats.org/spreadsheetml/2006/main">
  <authors>
    <author>caique</author>
  </authors>
  <commentList>
    <comment ref="C4" authorId="0">
      <text>
        <r>
          <rPr>
            <b/>
            <sz val="12"/>
            <color indexed="8"/>
            <rFont val="Tahoma"/>
            <family val="2"/>
          </rPr>
          <t xml:space="preserve">
            Pesos (*)
  8 = a       alto
  4 = ma    médio-alto
  2 = mb    médio-baixo 
  1 = b       baixo</t>
        </r>
      </text>
    </comment>
    <comment ref="G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H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L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N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O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Q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R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T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U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W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X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Z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AA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AC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AD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  <comment ref="AF4" authorId="0">
      <text>
        <r>
          <rPr>
            <b/>
            <sz val="8"/>
            <color indexed="81"/>
            <rFont val="Tahoma"/>
            <family val="2"/>
          </rPr>
          <t xml:space="preserve">R= nota Risco
</t>
        </r>
        <r>
          <rPr>
            <b/>
            <sz val="10"/>
            <color indexed="81"/>
            <rFont val="Tahoma"/>
            <family val="2"/>
          </rPr>
          <t>1, 2, 3 ou 4</t>
        </r>
        <r>
          <rPr>
            <b/>
            <sz val="8"/>
            <color indexed="81"/>
            <rFont val="Tahoma"/>
            <family val="2"/>
          </rPr>
          <t xml:space="preserve">
pR = peso
 </t>
        </r>
        <r>
          <rPr>
            <b/>
            <sz val="10"/>
            <color indexed="81"/>
            <rFont val="Tahoma"/>
            <family val="2"/>
          </rPr>
          <t>8</t>
        </r>
        <r>
          <rPr>
            <b/>
            <sz val="8"/>
            <color indexed="81"/>
            <rFont val="Tahoma"/>
            <family val="2"/>
          </rPr>
          <t xml:space="preserve"> = a       alto
 </t>
        </r>
        <r>
          <rPr>
            <b/>
            <sz val="10"/>
            <color indexed="81"/>
            <rFont val="Tahoma"/>
            <family val="2"/>
          </rPr>
          <t>4</t>
        </r>
        <r>
          <rPr>
            <b/>
            <sz val="8"/>
            <color indexed="81"/>
            <rFont val="Tahoma"/>
            <family val="2"/>
          </rPr>
          <t xml:space="preserve"> = ma    médio-alto
 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Tahoma"/>
            <family val="2"/>
          </rPr>
          <t xml:space="preserve"> = mb    médio-baixo 
 </t>
        </r>
        <r>
          <rPr>
            <b/>
            <sz val="10"/>
            <color indexed="81"/>
            <rFont val="Tahoma"/>
            <family val="2"/>
          </rPr>
          <t>1</t>
        </r>
        <r>
          <rPr>
            <b/>
            <sz val="8"/>
            <color indexed="81"/>
            <rFont val="Tahoma"/>
            <family val="2"/>
          </rPr>
          <t xml:space="preserve"> = b       baixo</t>
        </r>
      </text>
    </comment>
    <comment ref="AG4" authorId="0">
      <text>
        <r>
          <rPr>
            <b/>
            <sz val="8"/>
            <color indexed="81"/>
            <rFont val="Tahoma"/>
            <family val="2"/>
          </rPr>
          <t>C= nota Controle
1, 2, 3 ou 4
pC = peso
 8 = a       alto
 4 = ma    médio-alto
 2 = mb    médio-baixo 
 1 = b       baixo</t>
        </r>
      </text>
    </comment>
  </commentList>
</comments>
</file>

<file path=xl/sharedStrings.xml><?xml version="1.0" encoding="utf-8"?>
<sst xmlns="http://schemas.openxmlformats.org/spreadsheetml/2006/main" count="650" uniqueCount="234">
  <si>
    <t>Reputação</t>
  </si>
  <si>
    <t>Estratégia</t>
  </si>
  <si>
    <t>Mercado</t>
  </si>
  <si>
    <t>Liquidez</t>
  </si>
  <si>
    <t>R</t>
  </si>
  <si>
    <t>C</t>
  </si>
  <si>
    <t>D</t>
  </si>
  <si>
    <t>T.I.</t>
  </si>
  <si>
    <t>P.L.D.</t>
  </si>
  <si>
    <t>Nota Final</t>
  </si>
  <si>
    <t>Imprime</t>
  </si>
  <si>
    <t>Contágio</t>
  </si>
  <si>
    <t>Crédito</t>
  </si>
  <si>
    <t>Unidade Corporativa</t>
  </si>
  <si>
    <t>Unidades de Negócio</t>
  </si>
  <si>
    <t>Cálculos para as Notas por coluna</t>
  </si>
  <si>
    <r>
      <t xml:space="preserve">R      C       </t>
    </r>
    <r>
      <rPr>
        <b/>
        <sz val="16"/>
        <rFont val="Symbol"/>
        <family val="1"/>
        <charset val="2"/>
      </rPr>
      <t>D</t>
    </r>
  </si>
  <si>
    <t>Matriz de Riscos Residuais</t>
  </si>
  <si>
    <t>Risco</t>
  </si>
  <si>
    <t>Controle</t>
  </si>
  <si>
    <t>Residual</t>
  </si>
  <si>
    <t>PesoU=Peso da Unidade</t>
  </si>
  <si>
    <t>PesoA = Peso da Atividade</t>
  </si>
  <si>
    <t>PesoRC = Peso do Risco e/ou Controle</t>
  </si>
  <si>
    <t>NotaU = Nota da Unidade</t>
  </si>
  <si>
    <t>NotaA = Nta da Atividade</t>
  </si>
  <si>
    <t>NotaA: SomaM / Soma(PesoRC x PesoA)</t>
  </si>
  <si>
    <t>NotaU: Soma(NotaA x PesoU)/ Soma(PesoU)</t>
  </si>
  <si>
    <t>M) Nota x  PesoRC x PesoA</t>
  </si>
  <si>
    <t>PesoRC ponderado p/ PesoA</t>
  </si>
  <si>
    <t>Data Base</t>
  </si>
  <si>
    <r>
      <t>R</t>
    </r>
    <r>
      <rPr>
        <b/>
        <vertAlign val="superscript"/>
        <sz val="12"/>
        <rFont val="Verdana"/>
        <family val="2"/>
      </rPr>
      <t xml:space="preserve"> </t>
    </r>
    <r>
      <rPr>
        <b/>
        <vertAlign val="subscript"/>
        <sz val="10"/>
        <rFont val="Verdana"/>
        <family val="2"/>
      </rPr>
      <t>pR</t>
    </r>
  </si>
  <si>
    <r>
      <t>C</t>
    </r>
    <r>
      <rPr>
        <b/>
        <vertAlign val="superscript"/>
        <sz val="12"/>
        <rFont val="Verdana"/>
        <family val="2"/>
      </rPr>
      <t xml:space="preserve"> </t>
    </r>
    <r>
      <rPr>
        <b/>
        <vertAlign val="subscript"/>
        <sz val="10"/>
        <rFont val="Verdana"/>
        <family val="2"/>
      </rPr>
      <t>pC</t>
    </r>
  </si>
  <si>
    <t>pR=peso do Risco  - pC=Peso do Controle</t>
  </si>
  <si>
    <t>Rel*</t>
  </si>
  <si>
    <t>Rel*: relevância da Unidade Corporativa em relação as Unidades de negócio em 50%</t>
  </si>
  <si>
    <t>Unidades</t>
  </si>
  <si>
    <t>Nota</t>
  </si>
  <si>
    <t>NotaRC = Nota Risco ou Controle</t>
  </si>
  <si>
    <t>M) NotaRC x  PesoRC x PesoA</t>
  </si>
  <si>
    <t>Soma dos pesos da Unidades de Negócio</t>
  </si>
  <si>
    <r>
      <t>Participação</t>
    </r>
    <r>
      <rPr>
        <b/>
        <vertAlign val="superscript"/>
        <sz val="12"/>
        <rFont val="Verdana"/>
        <family val="2"/>
      </rPr>
      <t xml:space="preserve">
pR           pC</t>
    </r>
  </si>
  <si>
    <t>Matriz da Participação dos Riscos Residuais</t>
  </si>
  <si>
    <t xml:space="preserve">Participação </t>
  </si>
  <si>
    <t>Final</t>
  </si>
  <si>
    <t>Não Imprime</t>
  </si>
  <si>
    <t>Partic</t>
  </si>
  <si>
    <t>UC</t>
  </si>
  <si>
    <t>UN</t>
  </si>
  <si>
    <t>R      C</t>
  </si>
  <si>
    <r>
      <t xml:space="preserve">(8=a </t>
    </r>
    <r>
      <rPr>
        <b/>
        <sz val="8"/>
        <color indexed="10"/>
        <rFont val="Verdana"/>
        <family val="2"/>
      </rPr>
      <t>alto</t>
    </r>
    <r>
      <rPr>
        <b/>
        <sz val="12"/>
        <color indexed="10"/>
        <rFont val="Verdana"/>
        <family val="2"/>
      </rPr>
      <t xml:space="preserve">;   4=ma </t>
    </r>
    <r>
      <rPr>
        <b/>
        <sz val="8"/>
        <color indexed="10"/>
        <rFont val="Verdana"/>
        <family val="2"/>
      </rPr>
      <t>médio-alto</t>
    </r>
    <r>
      <rPr>
        <b/>
        <sz val="12"/>
        <color indexed="10"/>
        <rFont val="Verdana"/>
        <family val="2"/>
      </rPr>
      <t xml:space="preserve">;   2=mb </t>
    </r>
    <r>
      <rPr>
        <b/>
        <sz val="8"/>
        <color indexed="10"/>
        <rFont val="Verdana"/>
        <family val="2"/>
      </rPr>
      <t>médio-baixo</t>
    </r>
    <r>
      <rPr>
        <b/>
        <sz val="12"/>
        <color indexed="10"/>
        <rFont val="Verdana"/>
        <family val="2"/>
      </rPr>
      <t xml:space="preserve">;   1=b </t>
    </r>
    <r>
      <rPr>
        <b/>
        <sz val="8"/>
        <color indexed="10"/>
        <rFont val="Verdana"/>
        <family val="2"/>
      </rPr>
      <t>baixo</t>
    </r>
    <r>
      <rPr>
        <b/>
        <sz val="12"/>
        <color indexed="10"/>
        <rFont val="Verdana"/>
        <family val="2"/>
      </rPr>
      <t>)</t>
    </r>
  </si>
  <si>
    <t>Peso(*)</t>
  </si>
  <si>
    <t>Favor APAGAR</t>
  </si>
  <si>
    <t>os valores de exemplos</t>
  </si>
  <si>
    <r>
      <t xml:space="preserve"> 1,00 &lt;= </t>
    </r>
    <r>
      <rPr>
        <b/>
        <sz val="14"/>
        <color indexed="17"/>
        <rFont val="Verdana"/>
        <family val="2"/>
      </rPr>
      <t>Nota final</t>
    </r>
    <r>
      <rPr>
        <b/>
        <sz val="12"/>
        <color indexed="17"/>
        <rFont val="Verdana"/>
        <family val="2"/>
      </rPr>
      <t xml:space="preserve"> &lt;= 1,50 =&gt; </t>
    </r>
    <r>
      <rPr>
        <b/>
        <sz val="16"/>
        <color indexed="17"/>
        <rFont val="Verdana"/>
        <family val="2"/>
      </rPr>
      <t>1</t>
    </r>
  </si>
  <si>
    <r>
      <t xml:space="preserve"> 3,50  &lt; </t>
    </r>
    <r>
      <rPr>
        <b/>
        <sz val="14"/>
        <color indexed="17"/>
        <rFont val="Verdana"/>
        <family val="2"/>
      </rPr>
      <t>Nota Final</t>
    </r>
    <r>
      <rPr>
        <b/>
        <sz val="12"/>
        <color indexed="17"/>
        <rFont val="Verdana"/>
        <family val="2"/>
      </rPr>
      <t xml:space="preserve"> &lt;= 4,00 =&gt; </t>
    </r>
    <r>
      <rPr>
        <b/>
        <sz val="16"/>
        <color indexed="17"/>
        <rFont val="Verdana"/>
        <family val="2"/>
      </rPr>
      <t>4</t>
    </r>
  </si>
  <si>
    <r>
      <t xml:space="preserve"> 2,50 &lt; </t>
    </r>
    <r>
      <rPr>
        <b/>
        <sz val="14"/>
        <color indexed="17"/>
        <rFont val="Verdana"/>
        <family val="2"/>
      </rPr>
      <t>Nota Final</t>
    </r>
    <r>
      <rPr>
        <b/>
        <sz val="12"/>
        <color indexed="17"/>
        <rFont val="Verdana"/>
        <family val="2"/>
      </rPr>
      <t xml:space="preserve"> &lt;= 3,50 =&gt; </t>
    </r>
    <r>
      <rPr>
        <b/>
        <sz val="16"/>
        <color indexed="17"/>
        <rFont val="Verdana"/>
        <family val="2"/>
      </rPr>
      <t>3</t>
    </r>
  </si>
  <si>
    <r>
      <t xml:space="preserve"> 1,50  &lt; </t>
    </r>
    <r>
      <rPr>
        <b/>
        <sz val="14"/>
        <color indexed="17"/>
        <rFont val="Verdana"/>
        <family val="2"/>
      </rPr>
      <t>Nota final</t>
    </r>
    <r>
      <rPr>
        <b/>
        <sz val="12"/>
        <color indexed="17"/>
        <rFont val="Verdana"/>
        <family val="2"/>
      </rPr>
      <t xml:space="preserve"> &lt;= 2,50 =&gt; </t>
    </r>
    <r>
      <rPr>
        <b/>
        <sz val="16"/>
        <color indexed="17"/>
        <rFont val="Verdana"/>
        <family val="2"/>
      </rPr>
      <t>2</t>
    </r>
  </si>
  <si>
    <t>L.D.</t>
  </si>
  <si>
    <t xml:space="preserve">R      C  </t>
  </si>
  <si>
    <t>Nome da Atividade 4 da Unidade 1</t>
  </si>
  <si>
    <t>Nome da Atividade 5 da Unidade 1</t>
  </si>
  <si>
    <t>Nome da Atividade 6 da Unidade 1</t>
  </si>
  <si>
    <t>Nome da Atividade 7 da Unidade 1</t>
  </si>
  <si>
    <t>Nome da Atividade 4 da Unidade 4</t>
  </si>
  <si>
    <t>Nome da Atividade 5 da Unidade 4</t>
  </si>
  <si>
    <t>Nome da Atividade 6 da Unidade 4</t>
  </si>
  <si>
    <t>Nome da Atividade 7 da Unidade 4</t>
  </si>
  <si>
    <t>Nome da Atividade 4 da Unidade 5</t>
  </si>
  <si>
    <t>Nome da Atividade 5 da Unidade 5</t>
  </si>
  <si>
    <t>Nome da Atividade 6 da Unidade 5</t>
  </si>
  <si>
    <t>Nome da Atividade 7 da Unidade 5</t>
  </si>
  <si>
    <t>Nome da Atividade 2 da Unidade 6</t>
  </si>
  <si>
    <t>Nome da Atividade 3 da Unidade 6</t>
  </si>
  <si>
    <t>Nome da Atividade 4 da Unidade 6</t>
  </si>
  <si>
    <t>Nome da Atividade 5 da Unidade 6</t>
  </si>
  <si>
    <t>Nome da Atividade 6 da Unidade 6</t>
  </si>
  <si>
    <t>Nome da Atividade 7 da Unidade 6</t>
  </si>
  <si>
    <t>Nome da Atividade 2 da Unidade 7</t>
  </si>
  <si>
    <t>Nome da Atividade 3 da Unidade 7</t>
  </si>
  <si>
    <t>Nome da Atividade 4 da Unidade 7</t>
  </si>
  <si>
    <t>Nome da Atividade 5 da Unidade 7</t>
  </si>
  <si>
    <t>Nome da Atividade 6 da Unidade 7</t>
  </si>
  <si>
    <t>Nome da Atividade 7 da Unidade 7</t>
  </si>
  <si>
    <t>Nome da Unidade 8</t>
  </si>
  <si>
    <t>Nome da Atividade 1 da Unidade 8</t>
  </si>
  <si>
    <t>Peso:
1,2,4,8</t>
  </si>
  <si>
    <t>Tesouraria</t>
  </si>
  <si>
    <t>Componentes</t>
  </si>
  <si>
    <t>Indicadores</t>
  </si>
  <si>
    <t>Escore Automático¹</t>
  </si>
  <si>
    <t>Capital</t>
  </si>
  <si>
    <t>- Suficiência de capital em relação ao capital tangível</t>
  </si>
  <si>
    <t>-Comprometimento do capital tangível com ativos de baixa liquidez, exceto investimentos em participações societárias</t>
  </si>
  <si>
    <t>Ativos</t>
  </si>
  <si>
    <t>-Ativos de renda da intermediação financeira sobre o ativo total ajustado</t>
  </si>
  <si>
    <t>-Qualidade dos ativos de renda monitorados em relação ao conceito de PLA estrito</t>
  </si>
  <si>
    <t>Exigibilidades  /Liquidez</t>
  </si>
  <si>
    <t>-Escore de monitoramento de liquidez</t>
  </si>
  <si>
    <t>-Custo das captações</t>
  </si>
  <si>
    <t>Resultados</t>
  </si>
  <si>
    <t>-Rentabilidade operacional do PLA, com ajuste dos TVDs e do hedge do fluxo de caixa</t>
  </si>
  <si>
    <t>-Custo operacional</t>
  </si>
  <si>
    <t>Escore final¹</t>
  </si>
  <si>
    <t>¹Escore de 1 (melhor avaliação) a 4 (pior avaliação)</t>
  </si>
  <si>
    <t>ATIVO</t>
  </si>
  <si>
    <t>PASSIVO</t>
  </si>
  <si>
    <t>Valor</t>
  </si>
  <si>
    <t>%</t>
  </si>
  <si>
    <t>Ativo Total Ajustado</t>
  </si>
  <si>
    <t>Passivo Total Ajustado</t>
  </si>
  <si>
    <t>Circulante e RLP</t>
  </si>
  <si>
    <t>Exigibilidades</t>
  </si>
  <si>
    <t xml:space="preserve">  Operações de Crédito</t>
  </si>
  <si>
    <t xml:space="preserve">  Títulos e Valores Mobiliários</t>
  </si>
  <si>
    <t xml:space="preserve">  Derivativos</t>
  </si>
  <si>
    <t xml:space="preserve">  Depósitos Poupança</t>
  </si>
  <si>
    <t xml:space="preserve">  Aplic. Interfinanceiras de Liquidez</t>
  </si>
  <si>
    <t xml:space="preserve">  Captações no Mercado Aberto</t>
  </si>
  <si>
    <t xml:space="preserve">  Diversos</t>
  </si>
  <si>
    <t xml:space="preserve">  Contingências</t>
  </si>
  <si>
    <t>Permanente</t>
  </si>
  <si>
    <t>Resultados Exercício Futuro</t>
  </si>
  <si>
    <t>Patrimônio Líquido</t>
  </si>
  <si>
    <t>PATRIMÔNIOS DE REFERÊNCIA</t>
  </si>
  <si>
    <t>PR nível 1</t>
  </si>
  <si>
    <t>Período</t>
  </si>
  <si>
    <t>Lucro</t>
  </si>
  <si>
    <t>RSPLA</t>
  </si>
  <si>
    <t>PR nível 2</t>
  </si>
  <si>
    <t>Semestre - 3</t>
  </si>
  <si>
    <t>ÍNDICES</t>
  </si>
  <si>
    <t>Semestre - 2</t>
  </si>
  <si>
    <t>Índice de Basiléia</t>
  </si>
  <si>
    <t>Semestre - 1</t>
  </si>
  <si>
    <t>Índice de Basiléia Amplo (inclui RBAN)</t>
  </si>
  <si>
    <t>Índice de imobilização</t>
  </si>
  <si>
    <t>*Saldo dos últimos 6 meses</t>
  </si>
  <si>
    <t>Escore final refinado¹</t>
  </si>
  <si>
    <t>&lt;-- cópia da aba anterior</t>
  </si>
  <si>
    <t>SRC Atual</t>
  </si>
  <si>
    <t>SRC Anterior</t>
  </si>
  <si>
    <t>Peso (*)</t>
  </si>
  <si>
    <t>Controladoria</t>
  </si>
  <si>
    <t>TI</t>
  </si>
  <si>
    <t>(*) Peso 1 = Baixo, 2 = Médio-Baixo, 4 = Médio-Alto, 8 = Alto</t>
  </si>
  <si>
    <t>50% - Bloco Corporativa</t>
  </si>
  <si>
    <t>50% - Bloco de Negócios</t>
  </si>
  <si>
    <t>Exigibilidades Liquidez</t>
  </si>
  <si>
    <t>Dias Úteis x Servidores x Percentual Alocado</t>
  </si>
  <si>
    <t>Realizado</t>
  </si>
  <si>
    <t>Unidades / Atividades</t>
  </si>
  <si>
    <r>
      <t>Data Base: MM-AAAA (</t>
    </r>
    <r>
      <rPr>
        <b/>
        <sz val="10"/>
        <color indexed="10"/>
        <rFont val="Verdana"/>
        <family val="2"/>
      </rPr>
      <t>igual RME</t>
    </r>
    <r>
      <rPr>
        <b/>
        <sz val="10"/>
        <rFont val="Verdana"/>
        <family val="2"/>
      </rPr>
      <t>)</t>
    </r>
  </si>
  <si>
    <t xml:space="preserve">  Depósitos à Vista</t>
  </si>
  <si>
    <t xml:space="preserve">  Depósitos a Prazo</t>
  </si>
  <si>
    <t>Realizado
x
Planejado</t>
  </si>
  <si>
    <t xml:space="preserve"> </t>
  </si>
  <si>
    <t>Corporativa</t>
  </si>
  <si>
    <t>Estrat.</t>
  </si>
  <si>
    <t xml:space="preserve">Análise Quantitativa </t>
  </si>
  <si>
    <t xml:space="preserve">Observação: para análises com notas na escala de 1 a 5, converter para a escala de 1 a 4. </t>
  </si>
  <si>
    <t xml:space="preserve">                   No Portal do SRC na intranet há uma ferramenta auxiliar para esse propósito.</t>
  </si>
  <si>
    <t>Comparação Análise Qualitativa</t>
  </si>
  <si>
    <t>Notas residuais</t>
  </si>
  <si>
    <t>Ajustes</t>
  </si>
  <si>
    <t>Valor ajustado</t>
  </si>
  <si>
    <t xml:space="preserve">  Obrigações por Empréstimos e Repasses </t>
  </si>
  <si>
    <t>Nome do Banco</t>
  </si>
  <si>
    <t>Trabalhos decorrentes do SRC</t>
  </si>
  <si>
    <t>Trabalhos</t>
  </si>
  <si>
    <t xml:space="preserve">% ¹  </t>
  </si>
  <si>
    <t>VE de ...</t>
  </si>
  <si>
    <t>(1) Participação do risco na nota final</t>
  </si>
  <si>
    <t>Operações de Crédito</t>
  </si>
  <si>
    <t xml:space="preserve">   Crédito PF</t>
  </si>
  <si>
    <t xml:space="preserve">   Crédito PJ</t>
  </si>
  <si>
    <t>55% - Bloco de Negócios</t>
  </si>
  <si>
    <t>45% - Bloco Corporativo</t>
  </si>
  <si>
    <t>Asset Management</t>
  </si>
  <si>
    <t>Digitar a Data Base (célula B2)</t>
  </si>
  <si>
    <t>Para colocar na apresentação: &lt;Visualizar impressão&gt;,  &lt;alt + Print Screen&gt;, abrir o software Paint, &lt;CTRL+V&gt;, clicar</t>
  </si>
  <si>
    <t xml:space="preserve">   em "cortar" (ou "selecionar"), com o mouse selecionar a área da planilha, copiar, colar como figura no ppt</t>
  </si>
  <si>
    <t>Nome da Atividade 3 da Unidade 1</t>
  </si>
  <si>
    <t>Escore Final¹</t>
  </si>
  <si>
    <t>Escore
Final¹</t>
  </si>
  <si>
    <t>Planejado
(PAS)</t>
  </si>
  <si>
    <t>RESULTADOS</t>
  </si>
  <si>
    <t>Semestre atual *</t>
  </si>
  <si>
    <t>Em R$ xxx</t>
  </si>
  <si>
    <t>Observações:</t>
  </si>
  <si>
    <r>
      <t xml:space="preserve">Patrimônio Líquido: </t>
    </r>
    <r>
      <rPr>
        <sz val="11"/>
        <rFont val="Calibri"/>
        <family val="2"/>
      </rPr>
      <t>O valor apresentado a título de patrimônio líquido deve ser o valor de Patrimônio Líquido (PLA), que consta da aba Balancete Ajustado do Analisador</t>
    </r>
  </si>
  <si>
    <r>
      <t xml:space="preserve">Resultados - coluna Lucro: </t>
    </r>
    <r>
      <rPr>
        <sz val="11"/>
        <rFont val="Calibri"/>
        <family val="2"/>
      </rPr>
      <t>Quando a data-base não for junho ou dezembro, o valor deve ser calculado somando o valor do Lucro Líquido (LL), que aparece na aba DRE Ajustada, dos últimos 6 meses.</t>
    </r>
  </si>
  <si>
    <r>
      <rPr>
        <b/>
        <sz val="11"/>
        <rFont val="Calibri"/>
        <family val="2"/>
      </rPr>
      <t>“Quase Capital (QC)”:</t>
    </r>
    <r>
      <rPr>
        <sz val="11"/>
        <rFont val="Calibri"/>
        <family val="2"/>
      </rPr>
      <t xml:space="preserve"> valores significativos deverão ser apresentados como um item a parte (no exemplo Resultado Exercício Futuro)</t>
    </r>
  </si>
  <si>
    <r>
      <t xml:space="preserve">Resultados - coluna RSPLA: </t>
    </r>
    <r>
      <rPr>
        <sz val="11"/>
        <rFont val="Calibri"/>
        <family val="2"/>
      </rPr>
      <t>Deve ser preenchida com o indicador R_9_3_00_0 - Rentabilidade do Patrimônio Líquido Ajustado médio do analisador.</t>
    </r>
  </si>
  <si>
    <t xml:space="preserve">         Quando a data-base não for junho ou dezembro, o indicador já está calculado para os últimos 6 meses, independentemente de ter sido solicitado o analisador com resultados mensais ou acumulados.</t>
  </si>
  <si>
    <t xml:space="preserve">       Se algum risco não tiver sido analisado na data-base mais recente, célula conterá "#N/D"; excluir seu conteúdo antes de copiar o gráfico para a apresentação</t>
  </si>
  <si>
    <t xml:space="preserve">       Se histórico não completar a tabela (3 anos), clicar com o botão da direita, selecionar dados e remover as ocorrências de "&lt;série vazia&gt;"</t>
  </si>
  <si>
    <t>Se histórico não completar a tabela (3 anos), clicar com o botão da direita, selecionar dados e remover as ocorrências de "&lt;série vazia&gt;"</t>
  </si>
  <si>
    <t xml:space="preserve">         Nesses casos, apresentar a data-base na descrição do período (ex: "março/2012 *" ao invés de "1º Semestre de 2012")</t>
  </si>
  <si>
    <t>Acompanhamento específico ...</t>
  </si>
  <si>
    <t>Trabalhos Já Programados no PAS</t>
  </si>
  <si>
    <r>
      <t xml:space="preserve">1≤ nota </t>
    </r>
    <r>
      <rPr>
        <b/>
        <sz val="10"/>
        <color indexed="8"/>
        <rFont val="Verdana"/>
        <family val="2"/>
      </rPr>
      <t xml:space="preserve">1 </t>
    </r>
    <r>
      <rPr>
        <sz val="10"/>
        <color indexed="8"/>
        <rFont val="Calibri"/>
        <family val="2"/>
      </rPr>
      <t xml:space="preserve">≤1,5     1,5&lt; nota </t>
    </r>
    <r>
      <rPr>
        <b/>
        <sz val="10"/>
        <color indexed="8"/>
        <rFont val="Verdana"/>
        <family val="2"/>
      </rPr>
      <t xml:space="preserve">2 </t>
    </r>
    <r>
      <rPr>
        <sz val="10"/>
        <color indexed="8"/>
        <rFont val="Calibri"/>
        <family val="2"/>
      </rPr>
      <t xml:space="preserve">≤2,5     2,5&lt; nota </t>
    </r>
    <r>
      <rPr>
        <b/>
        <sz val="10"/>
        <color indexed="8"/>
        <rFont val="Verdana"/>
        <family val="2"/>
      </rPr>
      <t xml:space="preserve">3 </t>
    </r>
    <r>
      <rPr>
        <sz val="10"/>
        <color indexed="8"/>
        <rFont val="Calibri"/>
        <family val="2"/>
      </rPr>
      <t xml:space="preserve">≤3,5     3,5&lt; nota </t>
    </r>
    <r>
      <rPr>
        <b/>
        <sz val="10"/>
        <color indexed="8"/>
        <rFont val="Verdana"/>
        <family val="2"/>
      </rPr>
      <t xml:space="preserve">4 </t>
    </r>
    <r>
      <rPr>
        <sz val="10"/>
        <color indexed="8"/>
        <rFont val="Calibri"/>
        <family val="2"/>
      </rPr>
      <t xml:space="preserve">≤4,0 </t>
    </r>
  </si>
  <si>
    <t>Operacional</t>
  </si>
  <si>
    <t>Nota final Qualitativa</t>
  </si>
  <si>
    <t>Nota final Qualitativa refinada</t>
  </si>
  <si>
    <t>Indicação ao Decon - XXXXXXXX - xxxxxx</t>
  </si>
  <si>
    <t>RO</t>
  </si>
  <si>
    <t>Risco avaliado</t>
  </si>
  <si>
    <t>p.p. adicional</t>
  </si>
  <si>
    <t>Concentração *</t>
  </si>
  <si>
    <t>Controle de Crédito</t>
  </si>
  <si>
    <t>Controle de Mercado</t>
  </si>
  <si>
    <t>p.p. adicional a ser cobrado</t>
  </si>
  <si>
    <t>* add-on para notas &gt;= 2,00</t>
  </si>
  <si>
    <t>Elemento</t>
  </si>
  <si>
    <t>Concentração</t>
  </si>
  <si>
    <t>Concen
tração</t>
  </si>
  <si>
    <t>Modelo de 26/09/2013</t>
  </si>
  <si>
    <t>Nome da Atividade 2 da Unidade 1</t>
  </si>
  <si>
    <t>Nome da Atividade 3 da Unidade 3</t>
  </si>
  <si>
    <t>Nome da Atividade 4 da Unidade 3</t>
  </si>
  <si>
    <t>Nome da Atividade 5 da Unidade 3</t>
  </si>
  <si>
    <t>Nome da Atividade 6 da Unidade 3</t>
  </si>
  <si>
    <t>Nome da Atividade 7 da Unidade 3</t>
  </si>
  <si>
    <t>Nome da Atividade 2 da Unidade 4</t>
  </si>
  <si>
    <t>Nome da Atividade 3 da Unidade 4</t>
  </si>
  <si>
    <t>Nome da Atividade 2 da Unidade 5</t>
  </si>
  <si>
    <t>Nome da Atividade 3 da Unidade 5</t>
  </si>
  <si>
    <t>Bradesco Financiamentos</t>
  </si>
  <si>
    <t>Cartões</t>
  </si>
  <si>
    <t>Corporate e Empresas</t>
  </si>
  <si>
    <t>Seguros, Previdência e</t>
  </si>
  <si>
    <t>Varejo e Prime</t>
  </si>
  <si>
    <t>SPL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</si>
</sst>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7" formatCode="&quot;R$&quot;\ #,##0.00;\-&quot;R$&quot;\ #,##0.00"/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\m;\p;\e"/>
    <numFmt numFmtId="168" formatCode="0.0%"/>
    <numFmt numFmtId="169" formatCode="&quot;Unidades de Negócio &quot;0%"/>
    <numFmt numFmtId="170" formatCode="&quot;Unidade Corporativa &quot;0%"/>
    <numFmt numFmtId="171" formatCode="&quot;R: Nota Risco (1 a 4) &gt; &quot;0%"/>
    <numFmt numFmtId="172" formatCode="&quot;C: Nota Controle (1 a 4) &gt; &quot;0%"/>
    <numFmt numFmtId="173" formatCode="_(* #,##0.00000_);_(* \(#,##0.00000\);_(* &quot;-&quot;??_);_(@_)"/>
    <numFmt numFmtId="174" formatCode="00000"/>
    <numFmt numFmtId="175" formatCode="0.0"/>
    <numFmt numFmtId="176" formatCode="\+0%;\-0%"/>
    <numFmt numFmtId="177" formatCode="0;0;&quot;&quot;;&quot;&quot;"/>
    <numFmt numFmtId="178" formatCode="0.00;0.00;&quot;&quot;;&quot;&quot;"/>
    <numFmt numFmtId="179" formatCode="&quot;&gt; &quot;0.0\ &quot;a&quot;"/>
    <numFmt numFmtId="180" formatCode="&quot;&gt; &quot;0.0"/>
    <numFmt numFmtId="181" formatCode="&quot;&lt;=&quot;\ 0.0"/>
    <numFmt numFmtId="182" formatCode="[Red][=2]General;[Blue]\ "/>
    <numFmt numFmtId="183" formatCode="[Green][=5]General;[Black]\ "/>
    <numFmt numFmtId="184" formatCode="[Green][=5]General;[Black][&lt;5]\ "/>
    <numFmt numFmtId="185" formatCode="[Red][&lt;=4]General;[White][=5]General"/>
    <numFmt numFmtId="186" formatCode="mmm/yyyy"/>
  </numFmts>
  <fonts count="100" x14ac:knownFonts="1">
    <font>
      <sz val="10"/>
      <name val="Arial"/>
    </font>
    <font>
      <sz val="10"/>
      <name val="Arial"/>
    </font>
    <font>
      <sz val="8"/>
      <name val="Verdana"/>
      <family val="2"/>
    </font>
    <font>
      <b/>
      <sz val="10"/>
      <name val="Verdana"/>
      <family val="2"/>
    </font>
    <font>
      <b/>
      <sz val="12"/>
      <name val="Verdana"/>
      <family val="2"/>
    </font>
    <font>
      <b/>
      <sz val="14"/>
      <name val="Verdana"/>
      <family val="2"/>
    </font>
    <font>
      <sz val="12"/>
      <name val="Verdana"/>
      <family val="2"/>
    </font>
    <font>
      <b/>
      <i/>
      <sz val="10"/>
      <name val="Verdana"/>
      <family val="2"/>
    </font>
    <font>
      <i/>
      <sz val="8"/>
      <name val="Verdana"/>
      <family val="2"/>
    </font>
    <font>
      <b/>
      <sz val="8"/>
      <name val="Verdana"/>
      <family val="2"/>
    </font>
    <font>
      <b/>
      <sz val="16"/>
      <name val="Verdana"/>
      <family val="2"/>
    </font>
    <font>
      <b/>
      <sz val="12"/>
      <color indexed="8"/>
      <name val="Arial"/>
      <family val="2"/>
    </font>
    <font>
      <sz val="9"/>
      <name val="Verdana"/>
      <family val="2"/>
    </font>
    <font>
      <sz val="9"/>
      <name val="Arial"/>
      <family val="2"/>
    </font>
    <font>
      <sz val="8"/>
      <name val="Arial"/>
      <family val="2"/>
    </font>
    <font>
      <b/>
      <sz val="8"/>
      <color indexed="12"/>
      <name val="Verdana"/>
      <family val="2"/>
    </font>
    <font>
      <b/>
      <sz val="8"/>
      <color indexed="10"/>
      <name val="Verdana"/>
      <family val="2"/>
    </font>
    <font>
      <b/>
      <sz val="12"/>
      <color indexed="12"/>
      <name val="Verdana"/>
      <family val="2"/>
    </font>
    <font>
      <b/>
      <sz val="18"/>
      <color indexed="8"/>
      <name val="Symbol"/>
      <family val="1"/>
      <charset val="2"/>
    </font>
    <font>
      <sz val="16"/>
      <name val="Verdana"/>
      <family val="2"/>
    </font>
    <font>
      <u val="singleAccounting"/>
      <sz val="8"/>
      <name val="Verdana"/>
      <family val="2"/>
    </font>
    <font>
      <b/>
      <sz val="16"/>
      <name val="Symbol"/>
      <family val="1"/>
      <charset val="2"/>
    </font>
    <font>
      <b/>
      <sz val="10"/>
      <color indexed="53"/>
      <name val="Verdana"/>
      <family val="2"/>
    </font>
    <font>
      <sz val="10"/>
      <name val="Verdana"/>
      <family val="2"/>
    </font>
    <font>
      <sz val="10"/>
      <name val="Arial"/>
      <family val="2"/>
    </font>
    <font>
      <b/>
      <sz val="10"/>
      <color indexed="12"/>
      <name val="Verdana"/>
      <family val="2"/>
    </font>
    <font>
      <b/>
      <sz val="12"/>
      <color indexed="10"/>
      <name val="Verdana"/>
      <family val="2"/>
    </font>
    <font>
      <b/>
      <sz val="12"/>
      <color indexed="17"/>
      <name val="Verdana"/>
      <family val="2"/>
    </font>
    <font>
      <b/>
      <sz val="10"/>
      <color indexed="10"/>
      <name val="Verdana"/>
      <family val="2"/>
    </font>
    <font>
      <b/>
      <sz val="14"/>
      <color indexed="60"/>
      <name val="Verdana"/>
      <family val="2"/>
    </font>
    <font>
      <b/>
      <sz val="18"/>
      <color indexed="60"/>
      <name val="Symbol"/>
      <family val="1"/>
      <charset val="2"/>
    </font>
    <font>
      <b/>
      <sz val="16"/>
      <color indexed="17"/>
      <name val="Verdana"/>
      <family val="2"/>
    </font>
    <font>
      <b/>
      <sz val="14"/>
      <color indexed="17"/>
      <name val="Verdana"/>
      <family val="2"/>
    </font>
    <font>
      <sz val="14"/>
      <name val="Verdana"/>
      <family val="2"/>
    </font>
    <font>
      <b/>
      <sz val="14"/>
      <color indexed="10"/>
      <name val="Verdana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b/>
      <vertAlign val="subscript"/>
      <sz val="10"/>
      <name val="Verdana"/>
      <family val="2"/>
    </font>
    <font>
      <b/>
      <vertAlign val="superscript"/>
      <sz val="12"/>
      <name val="Verdana"/>
      <family val="2"/>
    </font>
    <font>
      <b/>
      <vertAlign val="superscript"/>
      <sz val="16"/>
      <name val="Verdana"/>
      <family val="2"/>
    </font>
    <font>
      <b/>
      <i/>
      <sz val="8"/>
      <name val="Verdana"/>
      <family val="2"/>
    </font>
    <font>
      <b/>
      <sz val="18"/>
      <name val="Verdana"/>
      <family val="2"/>
    </font>
    <font>
      <sz val="8"/>
      <color indexed="12"/>
      <name val="Verdana"/>
      <family val="2"/>
    </font>
    <font>
      <sz val="8"/>
      <color indexed="9"/>
      <name val="Verdana"/>
      <family val="2"/>
    </font>
    <font>
      <strike/>
      <sz val="8"/>
      <color indexed="12"/>
      <name val="Verdana"/>
      <family val="2"/>
    </font>
    <font>
      <b/>
      <sz val="12"/>
      <name val="Arial"/>
      <family val="2"/>
    </font>
    <font>
      <b/>
      <sz val="18"/>
      <name val="Symbol"/>
      <family val="1"/>
      <charset val="2"/>
    </font>
    <font>
      <strike/>
      <sz val="8"/>
      <name val="Verdana"/>
      <family val="2"/>
    </font>
    <font>
      <strike/>
      <sz val="10"/>
      <name val="Verdana"/>
      <family val="2"/>
    </font>
    <font>
      <b/>
      <vertAlign val="subscript"/>
      <sz val="12"/>
      <name val="Verdana"/>
      <family val="2"/>
    </font>
    <font>
      <i/>
      <strike/>
      <sz val="12"/>
      <color indexed="8"/>
      <name val="Verdana"/>
      <family val="2"/>
    </font>
    <font>
      <strike/>
      <sz val="12"/>
      <color indexed="12"/>
      <name val="Verdana"/>
      <family val="2"/>
    </font>
    <font>
      <b/>
      <sz val="10"/>
      <color indexed="13"/>
      <name val="Verdana"/>
      <family val="2"/>
    </font>
    <font>
      <b/>
      <sz val="18"/>
      <color indexed="12"/>
      <name val="Verdana"/>
      <family val="2"/>
    </font>
    <font>
      <b/>
      <sz val="10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indexed="8"/>
      <name val="Tahoma"/>
      <family val="2"/>
    </font>
    <font>
      <b/>
      <sz val="8"/>
      <color indexed="60"/>
      <name val="Verdana"/>
      <family val="2"/>
    </font>
    <font>
      <b/>
      <sz val="11"/>
      <name val="Verdana"/>
      <family val="2"/>
    </font>
    <font>
      <sz val="9"/>
      <color indexed="12"/>
      <name val="Verdana"/>
      <family val="2"/>
    </font>
    <font>
      <b/>
      <sz val="12"/>
      <color indexed="58"/>
      <name val="Verdana"/>
      <family val="2"/>
    </font>
    <font>
      <b/>
      <i/>
      <sz val="12"/>
      <color indexed="58"/>
      <name val="Verdana"/>
      <family val="2"/>
    </font>
    <font>
      <b/>
      <sz val="14"/>
      <color indexed="58"/>
      <name val="Verdana"/>
      <family val="2"/>
    </font>
    <font>
      <b/>
      <sz val="16"/>
      <color indexed="58"/>
      <name val="Verdana"/>
      <family val="2"/>
    </font>
    <font>
      <sz val="10"/>
      <color indexed="58"/>
      <name val="Verdana"/>
      <family val="2"/>
    </font>
    <font>
      <sz val="12"/>
      <color indexed="12"/>
      <name val="Verdana"/>
      <family val="2"/>
    </font>
    <font>
      <i/>
      <sz val="12"/>
      <color indexed="8"/>
      <name val="Verdana"/>
      <family val="2"/>
    </font>
    <font>
      <b/>
      <sz val="10"/>
      <color indexed="8"/>
      <name val="Verdana"/>
      <family val="2"/>
    </font>
    <font>
      <sz val="11"/>
      <color indexed="8"/>
      <name val="Calibri"/>
      <family val="2"/>
    </font>
    <font>
      <sz val="8"/>
      <color indexed="8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b/>
      <sz val="12"/>
      <color indexed="8"/>
      <name val="Verdana"/>
      <family val="2"/>
    </font>
    <font>
      <sz val="10"/>
      <color indexed="8"/>
      <name val="Calibri"/>
      <family val="2"/>
    </font>
    <font>
      <sz val="8"/>
      <color indexed="58"/>
      <name val="Verdana"/>
      <family val="2"/>
    </font>
    <font>
      <sz val="16"/>
      <color indexed="58"/>
      <name val="Verdana"/>
      <family val="2"/>
    </font>
    <font>
      <sz val="14"/>
      <color indexed="58"/>
      <name val="Verdana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color indexed="10"/>
      <name val="Verdana"/>
      <family val="2"/>
    </font>
    <font>
      <sz val="20"/>
      <name val="Verdana"/>
      <family val="2"/>
    </font>
    <font>
      <b/>
      <sz val="9"/>
      <name val="Verdana"/>
      <family val="2"/>
    </font>
    <font>
      <sz val="28"/>
      <name val="Verdana"/>
      <family val="2"/>
    </font>
    <font>
      <sz val="10"/>
      <name val="Arial"/>
      <family val="2"/>
    </font>
    <font>
      <i/>
      <sz val="12"/>
      <name val="Verdana"/>
      <family val="2"/>
    </font>
    <font>
      <i/>
      <sz val="18"/>
      <name val="Verdana"/>
      <family val="2"/>
    </font>
    <font>
      <sz val="10"/>
      <name val="Arial"/>
      <family val="2"/>
    </font>
    <font>
      <b/>
      <i/>
      <sz val="20"/>
      <color indexed="58"/>
      <name val="Verdana"/>
      <family val="2"/>
    </font>
    <font>
      <sz val="20"/>
      <color indexed="58"/>
      <name val="Verdana"/>
      <family val="2"/>
    </font>
    <font>
      <b/>
      <sz val="18"/>
      <color indexed="58"/>
      <name val="Verdana"/>
      <family val="2"/>
    </font>
    <font>
      <sz val="18"/>
      <color indexed="58"/>
      <name val="Verdana"/>
      <family val="2"/>
    </font>
    <font>
      <b/>
      <sz val="10"/>
      <color indexed="58"/>
      <name val="Verdana"/>
      <family val="2"/>
    </font>
    <font>
      <sz val="11"/>
      <name val="Calibri"/>
      <family val="2"/>
    </font>
    <font>
      <b/>
      <sz val="11"/>
      <name val="Calibri"/>
      <family val="2"/>
    </font>
    <font>
      <b/>
      <i/>
      <sz val="14"/>
      <name val="Verdana"/>
      <family val="2"/>
    </font>
    <font>
      <b/>
      <sz val="9"/>
      <color indexed="8"/>
      <name val="Arial"/>
      <family val="2"/>
    </font>
    <font>
      <b/>
      <sz val="8"/>
      <color indexed="8"/>
      <name val="Verdana"/>
      <family val="2"/>
    </font>
    <font>
      <sz val="10"/>
      <color rgb="FFFF0000"/>
      <name val="Arial"/>
      <family val="2"/>
    </font>
    <font>
      <b/>
      <sz val="11"/>
      <color rgb="FFFF000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107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 style="thin">
        <color indexed="23"/>
      </top>
      <bottom style="double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</borders>
  <cellStyleXfs count="15">
    <xf numFmtId="0" fontId="0" fillId="0" borderId="0"/>
    <xf numFmtId="0" fontId="24" fillId="0" borderId="0"/>
    <xf numFmtId="0" fontId="68" fillId="0" borderId="0"/>
    <xf numFmtId="0" fontId="68" fillId="0" borderId="0"/>
    <xf numFmtId="0" fontId="68" fillId="0" borderId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4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24" fillId="0" borderId="0" applyFont="0" applyFill="0" applyBorder="0" applyAlignment="0" applyProtection="0"/>
  </cellStyleXfs>
  <cellXfs count="664">
    <xf numFmtId="0" fontId="0" fillId="0" borderId="0" xfId="0"/>
    <xf numFmtId="0" fontId="13" fillId="0" borderId="0" xfId="0" applyNumberFormat="1" applyFont="1" applyAlignment="1" applyProtection="1">
      <alignment horizontal="center"/>
    </xf>
    <xf numFmtId="165" fontId="3" fillId="0" borderId="0" xfId="9" applyNumberFormat="1" applyFont="1" applyFill="1" applyBorder="1" applyAlignment="1" applyProtection="1">
      <alignment horizontal="left" vertical="center"/>
    </xf>
    <xf numFmtId="165" fontId="3" fillId="0" borderId="0" xfId="9" applyNumberFormat="1" applyFont="1" applyBorder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center"/>
    </xf>
    <xf numFmtId="165" fontId="9" fillId="0" borderId="0" xfId="9" applyNumberFormat="1" applyFont="1" applyFill="1" applyBorder="1" applyAlignment="1" applyProtection="1">
      <alignment horizontal="left" vertical="center"/>
    </xf>
    <xf numFmtId="164" fontId="9" fillId="0" borderId="0" xfId="9" applyFont="1" applyFill="1" applyBorder="1" applyAlignment="1" applyProtection="1">
      <alignment horizontal="left" vertical="center"/>
    </xf>
    <xf numFmtId="164" fontId="3" fillId="0" borderId="0" xfId="9" applyFont="1" applyFill="1" applyBorder="1" applyAlignment="1" applyProtection="1">
      <alignment horizontal="left" vertical="center"/>
    </xf>
    <xf numFmtId="0" fontId="24" fillId="0" borderId="0" xfId="0" applyNumberFormat="1" applyFont="1" applyAlignment="1" applyProtection="1">
      <alignment horizontal="center"/>
    </xf>
    <xf numFmtId="165" fontId="3" fillId="0" borderId="1" xfId="9" applyNumberFormat="1" applyFont="1" applyBorder="1" applyAlignment="1" applyProtection="1">
      <alignment horizontal="center" vertical="center"/>
    </xf>
    <xf numFmtId="165" fontId="4" fillId="2" borderId="2" xfId="9" applyNumberFormat="1" applyFont="1" applyFill="1" applyBorder="1" applyAlignment="1" applyProtection="1">
      <alignment horizontal="center" vertical="center"/>
    </xf>
    <xf numFmtId="165" fontId="4" fillId="2" borderId="3" xfId="9" applyNumberFormat="1" applyFont="1" applyFill="1" applyBorder="1" applyAlignment="1" applyProtection="1">
      <alignment horizontal="center" vertical="center"/>
    </xf>
    <xf numFmtId="165" fontId="12" fillId="2" borderId="4" xfId="9" applyNumberFormat="1" applyFont="1" applyFill="1" applyBorder="1" applyAlignment="1" applyProtection="1">
      <alignment horizontal="center" vertical="center"/>
    </xf>
    <xf numFmtId="165" fontId="3" fillId="0" borderId="0" xfId="9" applyNumberFormat="1" applyFont="1" applyBorder="1" applyAlignment="1" applyProtection="1">
      <alignment horizontal="center"/>
    </xf>
    <xf numFmtId="0" fontId="14" fillId="0" borderId="0" xfId="0" applyNumberFormat="1" applyFont="1" applyAlignment="1" applyProtection="1"/>
    <xf numFmtId="0" fontId="35" fillId="0" borderId="0" xfId="0" applyNumberFormat="1" applyFont="1" applyAlignment="1" applyProtection="1"/>
    <xf numFmtId="0" fontId="2" fillId="3" borderId="0" xfId="0" applyNumberFormat="1" applyFont="1" applyFill="1" applyAlignment="1" applyProtection="1">
      <alignment horizontal="left"/>
    </xf>
    <xf numFmtId="0" fontId="14" fillId="3" borderId="0" xfId="0" applyNumberFormat="1" applyFont="1" applyFill="1" applyAlignment="1" applyProtection="1"/>
    <xf numFmtId="0" fontId="14" fillId="4" borderId="0" xfId="0" applyNumberFormat="1" applyFont="1" applyFill="1" applyAlignment="1" applyProtection="1">
      <alignment horizontal="left"/>
    </xf>
    <xf numFmtId="0" fontId="14" fillId="0" borderId="0" xfId="0" applyNumberFormat="1" applyFont="1" applyAlignment="1" applyProtection="1">
      <alignment horizontal="center"/>
    </xf>
    <xf numFmtId="166" fontId="43" fillId="0" borderId="1" xfId="9" applyNumberFormat="1" applyFont="1" applyFill="1" applyBorder="1" applyAlignment="1" applyProtection="1">
      <alignment horizontal="right" vertical="center"/>
    </xf>
    <xf numFmtId="166" fontId="23" fillId="0" borderId="5" xfId="9" applyNumberFormat="1" applyFont="1" applyFill="1" applyBorder="1" applyAlignment="1" applyProtection="1">
      <alignment horizontal="center" vertical="center"/>
    </xf>
    <xf numFmtId="0" fontId="6" fillId="0" borderId="2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horizontal="center" vertical="center"/>
    </xf>
    <xf numFmtId="166" fontId="6" fillId="0" borderId="4" xfId="9" applyNumberFormat="1" applyFont="1" applyBorder="1" applyAlignment="1" applyProtection="1">
      <alignment horizontal="center" vertical="center"/>
    </xf>
    <xf numFmtId="166" fontId="2" fillId="0" borderId="2" xfId="9" applyNumberFormat="1" applyFont="1" applyFill="1" applyBorder="1" applyAlignment="1" applyProtection="1">
      <alignment horizontal="center" vertical="center"/>
    </xf>
    <xf numFmtId="166" fontId="2" fillId="0" borderId="3" xfId="9" applyNumberFormat="1" applyFont="1" applyFill="1" applyBorder="1" applyAlignment="1" applyProtection="1">
      <alignment horizontal="center" vertical="center"/>
    </xf>
    <xf numFmtId="166" fontId="2" fillId="0" borderId="6" xfId="9" applyNumberFormat="1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7" xfId="0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14" fontId="4" fillId="0" borderId="9" xfId="0" applyNumberFormat="1" applyFont="1" applyBorder="1" applyAlignment="1" applyProtection="1">
      <alignment horizontal="center" vertical="center"/>
    </xf>
    <xf numFmtId="14" fontId="4" fillId="0" borderId="7" xfId="0" applyNumberFormat="1" applyFont="1" applyFill="1" applyBorder="1" applyAlignment="1" applyProtection="1">
      <alignment horizontal="center" vertical="center"/>
    </xf>
    <xf numFmtId="164" fontId="9" fillId="0" borderId="8" xfId="9" applyNumberFormat="1" applyFont="1" applyFill="1" applyBorder="1" applyAlignment="1" applyProtection="1">
      <alignment horizontal="center" vertical="center"/>
    </xf>
    <xf numFmtId="0" fontId="6" fillId="0" borderId="10" xfId="0" applyFont="1" applyBorder="1" applyAlignment="1" applyProtection="1">
      <alignment horizontal="center" vertical="center"/>
    </xf>
    <xf numFmtId="166" fontId="4" fillId="0" borderId="11" xfId="9" applyNumberFormat="1" applyFont="1" applyFill="1" applyBorder="1" applyAlignment="1" applyProtection="1">
      <alignment horizontal="center" vertical="center"/>
    </xf>
    <xf numFmtId="167" fontId="7" fillId="0" borderId="5" xfId="9" applyNumberFormat="1" applyFont="1" applyFill="1" applyBorder="1" applyAlignment="1" applyProtection="1">
      <alignment horizontal="center" vertical="center"/>
    </xf>
    <xf numFmtId="0" fontId="5" fillId="0" borderId="12" xfId="0" applyFont="1" applyBorder="1" applyAlignment="1" applyProtection="1">
      <alignment horizontal="left" vertical="center"/>
    </xf>
    <xf numFmtId="167" fontId="40" fillId="0" borderId="13" xfId="9" applyNumberFormat="1" applyFont="1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2" fontId="4" fillId="0" borderId="14" xfId="0" applyNumberFormat="1" applyFont="1" applyBorder="1" applyAlignment="1" applyProtection="1">
      <alignment horizontal="center" vertical="center"/>
    </xf>
    <xf numFmtId="0" fontId="6" fillId="0" borderId="14" xfId="0" applyFont="1" applyBorder="1" applyAlignment="1" applyProtection="1">
      <alignment horizontal="center" vertical="center"/>
    </xf>
    <xf numFmtId="164" fontId="2" fillId="0" borderId="0" xfId="9" applyFont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3" fillId="0" borderId="10" xfId="0" applyFont="1" applyBorder="1" applyAlignment="1" applyProtection="1">
      <alignment horizontal="center" vertical="center"/>
    </xf>
    <xf numFmtId="166" fontId="4" fillId="0" borderId="11" xfId="0" applyNumberFormat="1" applyFont="1" applyFill="1" applyBorder="1" applyAlignment="1" applyProtection="1">
      <alignment horizontal="center" vertical="center"/>
    </xf>
    <xf numFmtId="9" fontId="9" fillId="0" borderId="14" xfId="5" applyNumberFormat="1" applyFont="1" applyFill="1" applyBorder="1" applyAlignment="1" applyProtection="1">
      <alignment horizontal="center" vertical="center"/>
    </xf>
    <xf numFmtId="170" fontId="9" fillId="0" borderId="0" xfId="9" applyNumberFormat="1" applyFont="1" applyFill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166" fontId="19" fillId="0" borderId="3" xfId="9" applyNumberFormat="1" applyFont="1" applyBorder="1" applyAlignment="1" applyProtection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6" fillId="2" borderId="8" xfId="0" applyFont="1" applyFill="1" applyBorder="1" applyAlignment="1" applyProtection="1">
      <alignment horizontal="center" vertical="center"/>
    </xf>
    <xf numFmtId="166" fontId="2" fillId="0" borderId="0" xfId="9" applyNumberFormat="1" applyFont="1" applyFill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center" vertical="center"/>
    </xf>
    <xf numFmtId="171" fontId="26" fillId="0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172" fontId="26" fillId="0" borderId="0" xfId="0" applyNumberFormat="1" applyFont="1" applyFill="1" applyBorder="1" applyAlignment="1" applyProtection="1">
      <alignment horizontal="left"/>
    </xf>
    <xf numFmtId="166" fontId="6" fillId="0" borderId="0" xfId="9" applyNumberFormat="1" applyFont="1" applyAlignment="1" applyProtection="1">
      <alignment horizontal="center" vertical="center"/>
    </xf>
    <xf numFmtId="0" fontId="23" fillId="0" borderId="15" xfId="0" applyNumberFormat="1" applyFont="1" applyFill="1" applyBorder="1" applyAlignment="1" applyProtection="1">
      <alignment horizontal="left" vertical="center"/>
    </xf>
    <xf numFmtId="0" fontId="2" fillId="0" borderId="1" xfId="0" applyNumberFormat="1" applyFont="1" applyFill="1" applyBorder="1" applyAlignment="1" applyProtection="1">
      <alignment horizontal="left" vertical="center"/>
    </xf>
    <xf numFmtId="166" fontId="2" fillId="0" borderId="1" xfId="9" applyNumberFormat="1" applyFont="1" applyFill="1" applyBorder="1" applyAlignment="1" applyProtection="1">
      <alignment horizontal="right" vertical="center"/>
    </xf>
    <xf numFmtId="0" fontId="46" fillId="0" borderId="0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171" fontId="3" fillId="0" borderId="0" xfId="0" applyNumberFormat="1" applyFont="1" applyFill="1" applyBorder="1" applyAlignment="1" applyProtection="1">
      <alignment horizontal="left" vertical="center"/>
    </xf>
    <xf numFmtId="164" fontId="9" fillId="5" borderId="0" xfId="9" applyNumberFormat="1" applyFont="1" applyFill="1" applyBorder="1" applyAlignment="1" applyProtection="1">
      <alignment horizontal="left" vertical="center"/>
    </xf>
    <xf numFmtId="164" fontId="2" fillId="5" borderId="0" xfId="9" applyNumberFormat="1" applyFont="1" applyFill="1" applyBorder="1" applyAlignment="1" applyProtection="1">
      <alignment horizontal="right" vertical="center"/>
    </xf>
    <xf numFmtId="164" fontId="2" fillId="5" borderId="16" xfId="9" applyNumberFormat="1" applyFont="1" applyFill="1" applyBorder="1" applyAlignment="1" applyProtection="1">
      <alignment horizontal="right" vertical="center"/>
    </xf>
    <xf numFmtId="165" fontId="2" fillId="5" borderId="0" xfId="9" applyNumberFormat="1" applyFont="1" applyFill="1" applyBorder="1" applyAlignment="1" applyProtection="1">
      <alignment horizontal="right" vertical="center"/>
    </xf>
    <xf numFmtId="164" fontId="2" fillId="5" borderId="15" xfId="9" applyFont="1" applyFill="1" applyBorder="1" applyAlignment="1" applyProtection="1">
      <alignment horizontal="right" vertical="center"/>
    </xf>
    <xf numFmtId="165" fontId="2" fillId="5" borderId="12" xfId="9" applyNumberFormat="1" applyFont="1" applyFill="1" applyBorder="1" applyAlignment="1" applyProtection="1">
      <alignment horizontal="right" vertical="center"/>
    </xf>
    <xf numFmtId="165" fontId="2" fillId="5" borderId="1" xfId="9" applyNumberFormat="1" applyFont="1" applyFill="1" applyBorder="1" applyAlignment="1" applyProtection="1">
      <alignment horizontal="right" vertical="center"/>
    </xf>
    <xf numFmtId="164" fontId="2" fillId="5" borderId="1" xfId="9" applyFont="1" applyFill="1" applyBorder="1" applyAlignment="1" applyProtection="1">
      <alignment horizontal="right" vertical="center"/>
    </xf>
    <xf numFmtId="164" fontId="9" fillId="5" borderId="0" xfId="9" applyNumberFormat="1" applyFont="1" applyFill="1" applyBorder="1" applyAlignment="1" applyProtection="1">
      <alignment horizontal="center" vertical="center"/>
    </xf>
    <xf numFmtId="165" fontId="9" fillId="5" borderId="0" xfId="9" applyNumberFormat="1" applyFont="1" applyFill="1" applyBorder="1" applyAlignment="1" applyProtection="1">
      <alignment horizontal="left" vertical="center"/>
    </xf>
    <xf numFmtId="164" fontId="9" fillId="5" borderId="0" xfId="9" applyFont="1" applyFill="1" applyBorder="1" applyAlignment="1" applyProtection="1">
      <alignment horizontal="left" vertical="center"/>
    </xf>
    <xf numFmtId="172" fontId="4" fillId="5" borderId="0" xfId="0" applyNumberFormat="1" applyFont="1" applyFill="1" applyBorder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166" fontId="4" fillId="0" borderId="0" xfId="9" applyNumberFormat="1" applyFont="1" applyAlignment="1" applyProtection="1">
      <alignment horizontal="center" vertical="center"/>
    </xf>
    <xf numFmtId="10" fontId="2" fillId="5" borderId="0" xfId="5" applyNumberFormat="1" applyFont="1" applyFill="1" applyBorder="1" applyAlignment="1" applyProtection="1">
      <alignment horizontal="right" vertical="center"/>
    </xf>
    <xf numFmtId="164" fontId="2" fillId="5" borderId="0" xfId="9" applyFont="1" applyFill="1" applyBorder="1" applyAlignment="1" applyProtection="1">
      <alignment horizontal="right" vertical="center"/>
    </xf>
    <xf numFmtId="172" fontId="28" fillId="0" borderId="0" xfId="0" applyNumberFormat="1" applyFont="1" applyFill="1" applyBorder="1" applyAlignment="1" applyProtection="1">
      <alignment horizontal="center" vertical="center"/>
    </xf>
    <xf numFmtId="0" fontId="33" fillId="0" borderId="0" xfId="0" applyFont="1" applyBorder="1" applyAlignment="1" applyProtection="1">
      <alignment horizontal="center" vertical="center"/>
    </xf>
    <xf numFmtId="10" fontId="48" fillId="0" borderId="8" xfId="5" applyNumberFormat="1" applyFont="1" applyFill="1" applyBorder="1" applyAlignment="1" applyProtection="1">
      <alignment horizontal="right" vertical="top"/>
    </xf>
    <xf numFmtId="10" fontId="48" fillId="0" borderId="9" xfId="5" applyNumberFormat="1" applyFont="1" applyFill="1" applyBorder="1" applyAlignment="1" applyProtection="1">
      <alignment horizontal="right" vertical="top"/>
    </xf>
    <xf numFmtId="0" fontId="4" fillId="0" borderId="17" xfId="9" applyNumberFormat="1" applyFont="1" applyBorder="1" applyAlignment="1" applyProtection="1">
      <alignment horizontal="left" vertical="center"/>
    </xf>
    <xf numFmtId="10" fontId="23" fillId="0" borderId="17" xfId="5" applyNumberFormat="1" applyFont="1" applyFill="1" applyBorder="1" applyAlignment="1" applyProtection="1">
      <alignment horizontal="right" vertical="center"/>
    </xf>
    <xf numFmtId="166" fontId="23" fillId="0" borderId="18" xfId="9" applyNumberFormat="1" applyFont="1" applyFill="1" applyBorder="1" applyAlignment="1" applyProtection="1">
      <alignment horizontal="right" vertical="center"/>
    </xf>
    <xf numFmtId="10" fontId="47" fillId="0" borderId="1" xfId="5" applyNumberFormat="1" applyFont="1" applyFill="1" applyBorder="1" applyAlignment="1" applyProtection="1">
      <alignment horizontal="right" vertical="top"/>
    </xf>
    <xf numFmtId="10" fontId="40" fillId="0" borderId="12" xfId="5" applyNumberFormat="1" applyFont="1" applyBorder="1" applyAlignment="1" applyProtection="1">
      <alignment horizontal="left" vertical="center"/>
    </xf>
    <xf numFmtId="10" fontId="47" fillId="0" borderId="0" xfId="5" applyNumberFormat="1" applyFont="1" applyFill="1" applyBorder="1" applyAlignment="1" applyProtection="1">
      <alignment horizontal="right" vertical="top"/>
    </xf>
    <xf numFmtId="10" fontId="6" fillId="2" borderId="7" xfId="5" applyNumberFormat="1" applyFont="1" applyFill="1" applyBorder="1" applyAlignment="1" applyProtection="1">
      <alignment horizontal="center" vertical="center"/>
    </xf>
    <xf numFmtId="10" fontId="41" fillId="2" borderId="8" xfId="5" applyNumberFormat="1" applyFont="1" applyFill="1" applyBorder="1" applyAlignment="1" applyProtection="1">
      <alignment horizontal="center" vertical="center"/>
    </xf>
    <xf numFmtId="164" fontId="9" fillId="5" borderId="0" xfId="9" applyNumberFormat="1" applyFont="1" applyFill="1" applyBorder="1" applyAlignment="1" applyProtection="1">
      <alignment vertical="center"/>
    </xf>
    <xf numFmtId="164" fontId="2" fillId="5" borderId="12" xfId="9" applyFont="1" applyFill="1" applyBorder="1" applyAlignment="1" applyProtection="1">
      <alignment horizontal="right" vertical="center"/>
    </xf>
    <xf numFmtId="10" fontId="48" fillId="0" borderId="19" xfId="5" applyNumberFormat="1" applyFont="1" applyFill="1" applyBorder="1" applyAlignment="1" applyProtection="1">
      <alignment horizontal="right" vertical="top"/>
    </xf>
    <xf numFmtId="0" fontId="24" fillId="0" borderId="0" xfId="0" applyNumberFormat="1" applyFont="1" applyBorder="1" applyAlignment="1" applyProtection="1">
      <alignment horizontal="center"/>
    </xf>
    <xf numFmtId="10" fontId="40" fillId="0" borderId="20" xfId="5" applyNumberFormat="1" applyFont="1" applyBorder="1" applyAlignment="1" applyProtection="1">
      <alignment horizontal="left" vertical="center"/>
    </xf>
    <xf numFmtId="164" fontId="19" fillId="0" borderId="8" xfId="9" applyNumberFormat="1" applyFont="1" applyFill="1" applyBorder="1" applyAlignment="1" applyProtection="1">
      <alignment horizontal="center" vertical="center"/>
    </xf>
    <xf numFmtId="0" fontId="3" fillId="0" borderId="21" xfId="0" applyFont="1" applyBorder="1" applyAlignment="1" applyProtection="1">
      <alignment vertical="center"/>
    </xf>
    <xf numFmtId="0" fontId="3" fillId="0" borderId="22" xfId="0" applyFont="1" applyBorder="1" applyAlignment="1" applyProtection="1">
      <alignment horizontal="left" vertical="center" indent="1"/>
    </xf>
    <xf numFmtId="0" fontId="23" fillId="0" borderId="23" xfId="0" applyNumberFormat="1" applyFont="1" applyFill="1" applyBorder="1" applyAlignment="1" applyProtection="1">
      <alignment horizontal="left" vertical="center"/>
    </xf>
    <xf numFmtId="168" fontId="3" fillId="0" borderId="24" xfId="5" applyNumberFormat="1" applyFont="1" applyBorder="1" applyAlignment="1" applyProtection="1">
      <alignment horizontal="left" vertical="center"/>
    </xf>
    <xf numFmtId="10" fontId="3" fillId="5" borderId="25" xfId="9" applyNumberFormat="1" applyFont="1" applyFill="1" applyBorder="1" applyAlignment="1" applyProtection="1">
      <alignment horizontal="center" vertical="center"/>
    </xf>
    <xf numFmtId="164" fontId="3" fillId="5" borderId="26" xfId="9" applyNumberFormat="1" applyFont="1" applyFill="1" applyBorder="1" applyAlignment="1" applyProtection="1">
      <alignment vertical="center"/>
    </xf>
    <xf numFmtId="10" fontId="3" fillId="5" borderId="26" xfId="9" applyNumberFormat="1" applyFont="1" applyFill="1" applyBorder="1" applyAlignment="1" applyProtection="1">
      <alignment horizontal="center" vertical="center"/>
    </xf>
    <xf numFmtId="0" fontId="2" fillId="0" borderId="27" xfId="0" applyFont="1" applyBorder="1" applyAlignment="1" applyProtection="1">
      <alignment horizontal="center" vertical="center"/>
    </xf>
    <xf numFmtId="0" fontId="3" fillId="0" borderId="14" xfId="0" applyNumberFormat="1" applyFont="1" applyFill="1" applyBorder="1" applyAlignment="1" applyProtection="1">
      <alignment horizontal="left" vertical="center" indent="1"/>
    </xf>
    <xf numFmtId="0" fontId="3" fillId="0" borderId="15" xfId="0" applyNumberFormat="1" applyFont="1" applyFill="1" applyBorder="1" applyAlignment="1" applyProtection="1">
      <alignment horizontal="left" vertical="center" indent="1"/>
    </xf>
    <xf numFmtId="166" fontId="50" fillId="0" borderId="16" xfId="9" applyNumberFormat="1" applyFont="1" applyBorder="1" applyAlignment="1" applyProtection="1">
      <alignment horizontal="center" vertical="center"/>
      <protection locked="0"/>
    </xf>
    <xf numFmtId="166" fontId="50" fillId="0" borderId="0" xfId="9" applyNumberFormat="1" applyFont="1" applyBorder="1" applyAlignment="1" applyProtection="1">
      <alignment horizontal="center" vertical="center"/>
      <protection locked="0"/>
    </xf>
    <xf numFmtId="165" fontId="4" fillId="0" borderId="0" xfId="9" applyNumberFormat="1" applyFont="1" applyBorder="1" applyAlignment="1" applyProtection="1">
      <alignment horizontal="left" vertical="center"/>
    </xf>
    <xf numFmtId="165" fontId="40" fillId="0" borderId="12" xfId="9" applyNumberFormat="1" applyFont="1" applyBorder="1" applyAlignment="1" applyProtection="1">
      <alignment horizontal="left" vertical="center"/>
    </xf>
    <xf numFmtId="166" fontId="6" fillId="0" borderId="28" xfId="9" applyNumberFormat="1" applyFont="1" applyBorder="1" applyAlignment="1" applyProtection="1">
      <alignment horizontal="center" vertical="center"/>
    </xf>
    <xf numFmtId="0" fontId="14" fillId="0" borderId="0" xfId="0" applyFont="1" applyProtection="1"/>
    <xf numFmtId="0" fontId="2" fillId="3" borderId="0" xfId="0" applyFont="1" applyFill="1" applyAlignment="1" applyProtection="1">
      <alignment horizontal="left"/>
    </xf>
    <xf numFmtId="0" fontId="4" fillId="0" borderId="0" xfId="0" applyFont="1" applyAlignment="1" applyProtection="1">
      <alignment horizontal="center" vertical="center"/>
    </xf>
    <xf numFmtId="14" fontId="4" fillId="0" borderId="23" xfId="0" applyNumberFormat="1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164" fontId="9" fillId="6" borderId="0" xfId="9" applyFont="1" applyFill="1" applyBorder="1" applyAlignment="1" applyProtection="1">
      <alignment horizontal="right" vertical="center"/>
    </xf>
    <xf numFmtId="164" fontId="9" fillId="7" borderId="0" xfId="9" applyFont="1" applyFill="1" applyBorder="1" applyAlignment="1" applyProtection="1">
      <alignment horizontal="right" vertical="center"/>
    </xf>
    <xf numFmtId="166" fontId="2" fillId="0" borderId="0" xfId="9" applyNumberFormat="1" applyFont="1" applyBorder="1" applyAlignment="1" applyProtection="1">
      <alignment horizontal="right" vertical="center"/>
    </xf>
    <xf numFmtId="166" fontId="8" fillId="0" borderId="0" xfId="9" applyNumberFormat="1" applyFont="1" applyBorder="1" applyAlignment="1" applyProtection="1">
      <alignment horizontal="right" vertical="center"/>
    </xf>
    <xf numFmtId="166" fontId="2" fillId="0" borderId="0" xfId="9" applyNumberFormat="1" applyFont="1" applyBorder="1" applyAlignment="1" applyProtection="1">
      <alignment horizontal="center" vertical="center"/>
    </xf>
    <xf numFmtId="164" fontId="2" fillId="4" borderId="0" xfId="9" applyFont="1" applyFill="1" applyBorder="1" applyAlignment="1" applyProtection="1">
      <alignment horizontal="right" vertical="center"/>
    </xf>
    <xf numFmtId="166" fontId="9" fillId="0" borderId="0" xfId="9" applyNumberFormat="1" applyFont="1" applyBorder="1" applyAlignment="1" applyProtection="1">
      <alignment horizontal="right" vertical="center"/>
    </xf>
    <xf numFmtId="166" fontId="20" fillId="0" borderId="0" xfId="0" applyNumberFormat="1" applyFont="1" applyBorder="1" applyAlignment="1" applyProtection="1">
      <alignment horizontal="right" vertical="center"/>
    </xf>
    <xf numFmtId="0" fontId="42" fillId="0" borderId="1" xfId="0" applyNumberFormat="1" applyFont="1" applyFill="1" applyBorder="1" applyAlignment="1" applyProtection="1">
      <alignment horizontal="left" vertical="center"/>
    </xf>
    <xf numFmtId="166" fontId="44" fillId="0" borderId="1" xfId="9" applyNumberFormat="1" applyFont="1" applyFill="1" applyBorder="1" applyAlignment="1" applyProtection="1">
      <alignment horizontal="right" vertical="top"/>
    </xf>
    <xf numFmtId="165" fontId="9" fillId="0" borderId="1" xfId="9" applyNumberFormat="1" applyFont="1" applyBorder="1" applyAlignment="1" applyProtection="1">
      <alignment horizontal="center" vertical="center"/>
    </xf>
    <xf numFmtId="164" fontId="2" fillId="4" borderId="0" xfId="9" applyFont="1" applyFill="1" applyAlignment="1" applyProtection="1">
      <alignment horizontal="center" vertical="center"/>
    </xf>
    <xf numFmtId="9" fontId="15" fillId="0" borderId="3" xfId="5" applyNumberFormat="1" applyFont="1" applyFill="1" applyBorder="1" applyAlignment="1" applyProtection="1">
      <alignment horizontal="center" vertical="center"/>
    </xf>
    <xf numFmtId="170" fontId="9" fillId="0" borderId="3" xfId="9" applyNumberFormat="1" applyFont="1" applyFill="1" applyBorder="1" applyAlignment="1" applyProtection="1">
      <alignment horizontal="center" vertical="center"/>
    </xf>
    <xf numFmtId="164" fontId="9" fillId="0" borderId="3" xfId="0" applyNumberFormat="1" applyFont="1" applyBorder="1" applyAlignment="1" applyProtection="1">
      <alignment horizontal="center" vertical="center"/>
    </xf>
    <xf numFmtId="166" fontId="44" fillId="0" borderId="3" xfId="9" applyNumberFormat="1" applyFont="1" applyFill="1" applyBorder="1" applyAlignment="1" applyProtection="1">
      <alignment horizontal="right" vertical="top"/>
    </xf>
    <xf numFmtId="165" fontId="9" fillId="0" borderId="3" xfId="9" applyNumberFormat="1" applyFont="1" applyBorder="1" applyAlignment="1" applyProtection="1">
      <alignment horizontal="center" vertical="center"/>
    </xf>
    <xf numFmtId="164" fontId="10" fillId="0" borderId="8" xfId="9" applyNumberFormat="1" applyFont="1" applyFill="1" applyBorder="1" applyAlignment="1" applyProtection="1">
      <alignment horizontal="center" vertical="center"/>
    </xf>
    <xf numFmtId="173" fontId="16" fillId="0" borderId="0" xfId="9" applyNumberFormat="1" applyFont="1" applyFill="1" applyBorder="1" applyAlignment="1" applyProtection="1">
      <alignment horizontal="left" vertical="center"/>
    </xf>
    <xf numFmtId="171" fontId="34" fillId="0" borderId="3" xfId="0" applyNumberFormat="1" applyFont="1" applyFill="1" applyBorder="1" applyAlignment="1" applyProtection="1">
      <alignment horizontal="center" vertical="center"/>
    </xf>
    <xf numFmtId="0" fontId="27" fillId="0" borderId="29" xfId="0" applyFont="1" applyBorder="1" applyAlignment="1" applyProtection="1">
      <alignment horizontal="left" vertical="center"/>
    </xf>
    <xf numFmtId="0" fontId="22" fillId="0" borderId="1" xfId="0" applyFont="1" applyBorder="1" applyAlignment="1" applyProtection="1">
      <alignment horizontal="left" vertical="center"/>
    </xf>
    <xf numFmtId="0" fontId="23" fillId="0" borderId="1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left" vertical="center"/>
    </xf>
    <xf numFmtId="0" fontId="29" fillId="0" borderId="0" xfId="0" applyFont="1" applyBorder="1" applyAlignment="1" applyProtection="1">
      <alignment horizontal="left" vertical="center"/>
    </xf>
    <xf numFmtId="171" fontId="28" fillId="0" borderId="0" xfId="0" applyNumberFormat="1" applyFont="1" applyFill="1" applyBorder="1" applyAlignment="1" applyProtection="1">
      <alignment horizontal="left" vertical="center"/>
    </xf>
    <xf numFmtId="0" fontId="28" fillId="0" borderId="0" xfId="0" applyFont="1" applyBorder="1" applyAlignment="1" applyProtection="1">
      <alignment horizontal="left"/>
    </xf>
    <xf numFmtId="0" fontId="5" fillId="0" borderId="0" xfId="0" applyFont="1" applyBorder="1" applyAlignment="1" applyProtection="1">
      <alignment horizontal="center" vertical="center"/>
    </xf>
    <xf numFmtId="0" fontId="34" fillId="0" borderId="0" xfId="0" applyFont="1" applyBorder="1" applyAlignment="1" applyProtection="1">
      <alignment horizontal="left" vertical="center"/>
    </xf>
    <xf numFmtId="166" fontId="5" fillId="0" borderId="0" xfId="9" applyNumberFormat="1" applyFont="1" applyFill="1" applyBorder="1" applyAlignment="1" applyProtection="1">
      <alignment horizontal="center" vertical="center"/>
    </xf>
    <xf numFmtId="0" fontId="26" fillId="0" borderId="0" xfId="0" applyFont="1" applyBorder="1" applyAlignment="1" applyProtection="1">
      <alignment horizontal="left"/>
    </xf>
    <xf numFmtId="168" fontId="3" fillId="2" borderId="2" xfId="9" applyNumberFormat="1" applyFont="1" applyFill="1" applyBorder="1" applyAlignment="1" applyProtection="1">
      <alignment horizontal="center" vertical="center"/>
    </xf>
    <xf numFmtId="168" fontId="3" fillId="0" borderId="25" xfId="5" applyNumberFormat="1" applyFont="1" applyBorder="1" applyAlignment="1" applyProtection="1">
      <alignment horizontal="center" vertical="top"/>
    </xf>
    <xf numFmtId="168" fontId="3" fillId="0" borderId="26" xfId="5" applyNumberFormat="1" applyFont="1" applyBorder="1" applyAlignment="1" applyProtection="1">
      <alignment horizontal="center" vertical="top"/>
    </xf>
    <xf numFmtId="168" fontId="23" fillId="0" borderId="25" xfId="5" applyNumberFormat="1" applyFont="1" applyBorder="1" applyAlignment="1" applyProtection="1">
      <alignment horizontal="center" vertical="center"/>
    </xf>
    <xf numFmtId="168" fontId="23" fillId="0" borderId="16" xfId="5" applyNumberFormat="1" applyFont="1" applyBorder="1" applyAlignment="1" applyProtection="1">
      <alignment horizontal="center" vertical="center"/>
    </xf>
    <xf numFmtId="168" fontId="23" fillId="0" borderId="31" xfId="5" applyNumberFormat="1" applyFont="1" applyBorder="1" applyAlignment="1" applyProtection="1">
      <alignment horizontal="center" vertical="center"/>
    </xf>
    <xf numFmtId="168" fontId="48" fillId="0" borderId="16" xfId="5" applyNumberFormat="1" applyFont="1" applyFill="1" applyBorder="1" applyAlignment="1" applyProtection="1">
      <alignment horizontal="right" vertical="top"/>
    </xf>
    <xf numFmtId="168" fontId="48" fillId="0" borderId="31" xfId="5" applyNumberFormat="1" applyFont="1" applyFill="1" applyBorder="1" applyAlignment="1" applyProtection="1">
      <alignment horizontal="right" vertical="top"/>
    </xf>
    <xf numFmtId="168" fontId="48" fillId="0" borderId="20" xfId="5" applyNumberFormat="1" applyFont="1" applyFill="1" applyBorder="1" applyAlignment="1" applyProtection="1">
      <alignment horizontal="right" vertical="top"/>
    </xf>
    <xf numFmtId="168" fontId="48" fillId="0" borderId="19" xfId="5" applyNumberFormat="1" applyFont="1" applyFill="1" applyBorder="1" applyAlignment="1" applyProtection="1">
      <alignment horizontal="right" vertical="top"/>
    </xf>
    <xf numFmtId="168" fontId="48" fillId="0" borderId="9" xfId="5" applyNumberFormat="1" applyFont="1" applyFill="1" applyBorder="1" applyAlignment="1" applyProtection="1">
      <alignment horizontal="right" vertical="top"/>
    </xf>
    <xf numFmtId="10" fontId="45" fillId="0" borderId="3" xfId="5" applyNumberFormat="1" applyFont="1" applyBorder="1" applyAlignment="1" applyProtection="1">
      <alignment horizontal="center" vertical="center"/>
    </xf>
    <xf numFmtId="2" fontId="9" fillId="0" borderId="0" xfId="0" applyNumberFormat="1" applyFont="1" applyAlignment="1" applyProtection="1">
      <alignment horizontal="center" vertical="center"/>
    </xf>
    <xf numFmtId="0" fontId="45" fillId="0" borderId="11" xfId="0" applyFont="1" applyBorder="1" applyAlignment="1" applyProtection="1">
      <alignment horizontal="center" vertical="center"/>
    </xf>
    <xf numFmtId="0" fontId="38" fillId="0" borderId="32" xfId="0" applyFont="1" applyBorder="1" applyAlignment="1" applyProtection="1">
      <alignment horizontal="center" vertical="center"/>
    </xf>
    <xf numFmtId="168" fontId="23" fillId="0" borderId="26" xfId="5" applyNumberFormat="1" applyFont="1" applyBorder="1" applyAlignment="1" applyProtection="1">
      <alignment horizontal="center" vertical="center"/>
    </xf>
    <xf numFmtId="168" fontId="23" fillId="0" borderId="0" xfId="5" applyNumberFormat="1" applyFont="1" applyBorder="1" applyAlignment="1" applyProtection="1">
      <alignment horizontal="center" vertical="center"/>
    </xf>
    <xf numFmtId="168" fontId="48" fillId="0" borderId="0" xfId="5" applyNumberFormat="1" applyFont="1" applyFill="1" applyBorder="1" applyAlignment="1" applyProtection="1">
      <alignment horizontal="right" vertical="top"/>
    </xf>
    <xf numFmtId="168" fontId="48" fillId="0" borderId="12" xfId="5" applyNumberFormat="1" applyFont="1" applyFill="1" applyBorder="1" applyAlignment="1" applyProtection="1">
      <alignment horizontal="right" vertical="top"/>
    </xf>
    <xf numFmtId="168" fontId="48" fillId="0" borderId="8" xfId="5" applyNumberFormat="1" applyFont="1" applyFill="1" applyBorder="1" applyAlignment="1" applyProtection="1">
      <alignment horizontal="right" vertical="top"/>
    </xf>
    <xf numFmtId="168" fontId="3" fillId="2" borderId="3" xfId="9" applyNumberFormat="1" applyFont="1" applyFill="1" applyBorder="1" applyAlignment="1" applyProtection="1">
      <alignment horizontal="center" vertical="center"/>
    </xf>
    <xf numFmtId="168" fontId="23" fillId="0" borderId="8" xfId="5" applyNumberFormat="1" applyFont="1" applyBorder="1" applyAlignment="1" applyProtection="1">
      <alignment horizontal="center" vertical="center"/>
    </xf>
    <xf numFmtId="168" fontId="3" fillId="0" borderId="33" xfId="5" applyNumberFormat="1" applyFont="1" applyBorder="1" applyAlignment="1" applyProtection="1">
      <alignment horizontal="center" vertical="center"/>
    </xf>
    <xf numFmtId="168" fontId="3" fillId="0" borderId="3" xfId="5" applyNumberFormat="1" applyFont="1" applyBorder="1" applyAlignment="1" applyProtection="1">
      <alignment horizontal="center" vertical="center"/>
    </xf>
    <xf numFmtId="168" fontId="4" fillId="0" borderId="3" xfId="5" applyNumberFormat="1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5" fillId="0" borderId="34" xfId="0" applyFont="1" applyBorder="1" applyAlignment="1" applyProtection="1">
      <alignment horizontal="left" vertical="center"/>
    </xf>
    <xf numFmtId="167" fontId="40" fillId="0" borderId="22" xfId="9" applyNumberFormat="1" applyFont="1" applyFill="1" applyBorder="1" applyAlignment="1" applyProtection="1">
      <alignment horizontal="center" vertical="center" wrapText="1"/>
    </xf>
    <xf numFmtId="0" fontId="39" fillId="0" borderId="25" xfId="0" applyFont="1" applyBorder="1" applyAlignment="1" applyProtection="1">
      <alignment horizontal="center" vertical="center"/>
    </xf>
    <xf numFmtId="0" fontId="39" fillId="0" borderId="0" xfId="0" applyFont="1" applyBorder="1" applyAlignment="1" applyProtection="1">
      <alignment horizontal="center" vertical="center"/>
    </xf>
    <xf numFmtId="0" fontId="18" fillId="0" borderId="15" xfId="0" applyFont="1" applyBorder="1" applyAlignment="1" applyProtection="1">
      <alignment horizontal="center" vertical="center"/>
    </xf>
    <xf numFmtId="0" fontId="18" fillId="0" borderId="31" xfId="0" applyFont="1" applyBorder="1" applyAlignment="1" applyProtection="1">
      <alignment horizontal="center" vertical="center"/>
    </xf>
    <xf numFmtId="0" fontId="25" fillId="0" borderId="35" xfId="0" applyFont="1" applyBorder="1" applyAlignment="1" applyProtection="1">
      <alignment vertical="center"/>
      <protection locked="0"/>
    </xf>
    <xf numFmtId="0" fontId="25" fillId="0" borderId="36" xfId="0" applyFont="1" applyBorder="1" applyAlignment="1" applyProtection="1">
      <alignment horizontal="left" vertical="center" indent="1"/>
    </xf>
    <xf numFmtId="166" fontId="51" fillId="0" borderId="37" xfId="9" applyNumberFormat="1" applyFont="1" applyFill="1" applyBorder="1" applyAlignment="1" applyProtection="1">
      <alignment horizontal="left" vertical="top"/>
      <protection locked="0"/>
    </xf>
    <xf numFmtId="168" fontId="3" fillId="2" borderId="4" xfId="9" applyNumberFormat="1" applyFont="1" applyFill="1" applyBorder="1" applyAlignment="1" applyProtection="1">
      <alignment horizontal="center" vertical="center"/>
    </xf>
    <xf numFmtId="10" fontId="41" fillId="2" borderId="9" xfId="5" applyNumberFormat="1" applyFont="1" applyFill="1" applyBorder="1" applyAlignment="1" applyProtection="1">
      <alignment horizontal="center" vertical="center"/>
    </xf>
    <xf numFmtId="0" fontId="14" fillId="0" borderId="0" xfId="0" applyFont="1" applyBorder="1" applyProtection="1"/>
    <xf numFmtId="0" fontId="41" fillId="0" borderId="31" xfId="0" applyFont="1" applyBorder="1" applyAlignment="1" applyProtection="1">
      <alignment horizontal="center" vertical="center"/>
    </xf>
    <xf numFmtId="0" fontId="10" fillId="0" borderId="31" xfId="0" applyFont="1" applyBorder="1" applyAlignment="1" applyProtection="1">
      <alignment horizontal="center" vertical="center"/>
    </xf>
    <xf numFmtId="0" fontId="45" fillId="0" borderId="31" xfId="0" applyFont="1" applyBorder="1" applyAlignment="1" applyProtection="1">
      <alignment horizontal="center" vertical="center"/>
    </xf>
    <xf numFmtId="0" fontId="38" fillId="0" borderId="31" xfId="0" applyFont="1" applyBorder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168" fontId="3" fillId="0" borderId="4" xfId="5" applyNumberFormat="1" applyFont="1" applyBorder="1" applyAlignment="1" applyProtection="1">
      <alignment horizontal="center" vertical="center"/>
    </xf>
    <xf numFmtId="10" fontId="40" fillId="0" borderId="38" xfId="5" applyNumberFormat="1" applyFont="1" applyBorder="1" applyAlignment="1" applyProtection="1">
      <alignment horizontal="left" vertical="center"/>
    </xf>
    <xf numFmtId="168" fontId="3" fillId="0" borderId="39" xfId="5" applyNumberFormat="1" applyFont="1" applyBorder="1" applyAlignment="1" applyProtection="1">
      <alignment horizontal="center" vertical="top"/>
    </xf>
    <xf numFmtId="169" fontId="4" fillId="0" borderId="0" xfId="9" applyNumberFormat="1" applyFont="1" applyFill="1" applyBorder="1" applyAlignment="1" applyProtection="1">
      <alignment horizontal="center" vertical="center"/>
    </xf>
    <xf numFmtId="170" fontId="4" fillId="0" borderId="26" xfId="9" applyNumberFormat="1" applyFont="1" applyFill="1" applyBorder="1" applyAlignment="1" applyProtection="1">
      <alignment horizontal="center" vertical="center"/>
    </xf>
    <xf numFmtId="169" fontId="3" fillId="0" borderId="12" xfId="9" applyNumberFormat="1" applyFont="1" applyFill="1" applyBorder="1" applyAlignment="1" applyProtection="1">
      <alignment horizontal="center" vertical="center"/>
    </xf>
    <xf numFmtId="164" fontId="2" fillId="9" borderId="0" xfId="9" applyNumberFormat="1" applyFont="1" applyFill="1" applyBorder="1" applyAlignment="1" applyProtection="1">
      <alignment horizontal="right" vertical="center"/>
    </xf>
    <xf numFmtId="164" fontId="2" fillId="9" borderId="15" xfId="9" applyNumberFormat="1" applyFont="1" applyFill="1" applyBorder="1" applyAlignment="1" applyProtection="1">
      <alignment horizontal="right" vertical="center"/>
    </xf>
    <xf numFmtId="164" fontId="2" fillId="9" borderId="16" xfId="9" applyNumberFormat="1" applyFont="1" applyFill="1" applyBorder="1" applyAlignment="1" applyProtection="1">
      <alignment horizontal="right" vertical="center"/>
    </xf>
    <xf numFmtId="165" fontId="2" fillId="9" borderId="0" xfId="9" applyNumberFormat="1" applyFont="1" applyFill="1" applyBorder="1" applyAlignment="1" applyProtection="1">
      <alignment horizontal="right" vertical="center"/>
    </xf>
    <xf numFmtId="164" fontId="2" fillId="9" borderId="15" xfId="9" applyFont="1" applyFill="1" applyBorder="1" applyAlignment="1" applyProtection="1">
      <alignment horizontal="right" vertical="center"/>
    </xf>
    <xf numFmtId="164" fontId="9" fillId="9" borderId="16" xfId="9" applyNumberFormat="1" applyFont="1" applyFill="1" applyBorder="1" applyAlignment="1" applyProtection="1">
      <alignment horizontal="left" vertical="center"/>
    </xf>
    <xf numFmtId="164" fontId="9" fillId="9" borderId="0" xfId="9" applyNumberFormat="1" applyFont="1" applyFill="1" applyBorder="1" applyAlignment="1" applyProtection="1">
      <alignment horizontal="left" vertical="center"/>
    </xf>
    <xf numFmtId="164" fontId="9" fillId="9" borderId="15" xfId="9" applyNumberFormat="1" applyFont="1" applyFill="1" applyBorder="1" applyAlignment="1" applyProtection="1">
      <alignment vertical="center"/>
    </xf>
    <xf numFmtId="165" fontId="2" fillId="0" borderId="0" xfId="9" applyNumberFormat="1" applyFont="1" applyFill="1" applyBorder="1" applyAlignment="1" applyProtection="1">
      <alignment horizontal="right" vertical="center"/>
    </xf>
    <xf numFmtId="164" fontId="2" fillId="0" borderId="0" xfId="9" applyFont="1" applyFill="1" applyBorder="1" applyAlignment="1" applyProtection="1">
      <alignment horizontal="right" vertical="center"/>
    </xf>
    <xf numFmtId="164" fontId="9" fillId="0" borderId="0" xfId="9" applyNumberFormat="1" applyFont="1" applyFill="1" applyBorder="1" applyAlignment="1" applyProtection="1">
      <alignment horizontal="center" vertical="center"/>
    </xf>
    <xf numFmtId="166" fontId="2" fillId="0" borderId="0" xfId="9" applyNumberFormat="1" applyFont="1" applyFill="1" applyBorder="1" applyAlignment="1" applyProtection="1">
      <alignment horizontal="center" vertical="center"/>
    </xf>
    <xf numFmtId="165" fontId="12" fillId="9" borderId="40" xfId="9" applyNumberFormat="1" applyFont="1" applyFill="1" applyBorder="1" applyAlignment="1" applyProtection="1">
      <alignment horizontal="center" vertical="center"/>
    </xf>
    <xf numFmtId="165" fontId="12" fillId="9" borderId="41" xfId="9" applyNumberFormat="1" applyFont="1" applyFill="1" applyBorder="1" applyAlignment="1" applyProtection="1">
      <alignment horizontal="center" vertical="center"/>
    </xf>
    <xf numFmtId="165" fontId="3" fillId="9" borderId="37" xfId="9" applyNumberFormat="1" applyFont="1" applyFill="1" applyBorder="1" applyAlignment="1" applyProtection="1">
      <alignment horizontal="center" vertical="center"/>
    </xf>
    <xf numFmtId="165" fontId="3" fillId="9" borderId="42" xfId="9" applyNumberFormat="1" applyFont="1" applyFill="1" applyBorder="1" applyAlignment="1" applyProtection="1">
      <alignment horizontal="center" vertical="center"/>
    </xf>
    <xf numFmtId="165" fontId="12" fillId="9" borderId="43" xfId="9" applyNumberFormat="1" applyFont="1" applyFill="1" applyBorder="1" applyAlignment="1" applyProtection="1">
      <alignment horizontal="center" vertical="center"/>
    </xf>
    <xf numFmtId="165" fontId="12" fillId="9" borderId="44" xfId="9" applyNumberFormat="1" applyFont="1" applyFill="1" applyBorder="1" applyAlignment="1" applyProtection="1">
      <alignment horizontal="center" vertical="center"/>
    </xf>
    <xf numFmtId="165" fontId="3" fillId="9" borderId="45" xfId="9" applyNumberFormat="1" applyFont="1" applyFill="1" applyBorder="1" applyAlignment="1" applyProtection="1">
      <alignment horizontal="center" vertical="center"/>
    </xf>
    <xf numFmtId="165" fontId="3" fillId="9" borderId="46" xfId="9" applyNumberFormat="1" applyFont="1" applyFill="1" applyBorder="1" applyAlignment="1" applyProtection="1">
      <alignment horizontal="center" vertical="center"/>
    </xf>
    <xf numFmtId="0" fontId="17" fillId="9" borderId="45" xfId="9" applyNumberFormat="1" applyFont="1" applyFill="1" applyBorder="1" applyAlignment="1" applyProtection="1">
      <alignment horizontal="left" vertical="center"/>
    </xf>
    <xf numFmtId="166" fontId="44" fillId="0" borderId="15" xfId="9" applyNumberFormat="1" applyFont="1" applyFill="1" applyBorder="1" applyAlignment="1" applyProtection="1">
      <alignment horizontal="center" vertical="top"/>
      <protection locked="0"/>
    </xf>
    <xf numFmtId="0" fontId="15" fillId="9" borderId="45" xfId="9" applyNumberFormat="1" applyFont="1" applyFill="1" applyBorder="1" applyAlignment="1" applyProtection="1">
      <alignment horizontal="center" vertical="center"/>
    </xf>
    <xf numFmtId="166" fontId="44" fillId="0" borderId="43" xfId="9" applyNumberFormat="1" applyFont="1" applyFill="1" applyBorder="1" applyAlignment="1" applyProtection="1">
      <alignment horizontal="right" vertical="top"/>
      <protection locked="0"/>
    </xf>
    <xf numFmtId="166" fontId="44" fillId="0" borderId="44" xfId="9" applyNumberFormat="1" applyFont="1" applyFill="1" applyBorder="1" applyAlignment="1" applyProtection="1">
      <alignment horizontal="right" vertical="top"/>
      <protection locked="0"/>
    </xf>
    <xf numFmtId="0" fontId="15" fillId="9" borderId="15" xfId="9" applyNumberFormat="1" applyFont="1" applyFill="1" applyBorder="1" applyAlignment="1" applyProtection="1">
      <alignment horizontal="left" vertical="center"/>
    </xf>
    <xf numFmtId="0" fontId="3" fillId="8" borderId="0" xfId="0" applyFont="1" applyFill="1" applyAlignment="1" applyProtection="1">
      <alignment horizontal="left" vertical="center"/>
    </xf>
    <xf numFmtId="0" fontId="2" fillId="0" borderId="47" xfId="0" applyNumberFormat="1" applyFont="1" applyFill="1" applyBorder="1" applyAlignment="1" applyProtection="1">
      <alignment horizontal="left" vertical="center" indent="3"/>
    </xf>
    <xf numFmtId="0" fontId="6" fillId="0" borderId="0" xfId="0" applyFont="1"/>
    <xf numFmtId="0" fontId="23" fillId="0" borderId="0" xfId="0" applyFont="1"/>
    <xf numFmtId="0" fontId="23" fillId="5" borderId="0" xfId="0" applyFont="1" applyFill="1" applyBorder="1"/>
    <xf numFmtId="0" fontId="59" fillId="0" borderId="14" xfId="0" applyNumberFormat="1" applyFont="1" applyFill="1" applyBorder="1" applyAlignment="1" applyProtection="1">
      <alignment horizontal="left" vertical="center" indent="1"/>
      <protection locked="0"/>
    </xf>
    <xf numFmtId="0" fontId="59" fillId="0" borderId="48" xfId="0" applyNumberFormat="1" applyFont="1" applyFill="1" applyBorder="1" applyAlignment="1" applyProtection="1">
      <alignment horizontal="left" vertical="center" indent="1"/>
      <protection locked="0"/>
    </xf>
    <xf numFmtId="0" fontId="2" fillId="0" borderId="49" xfId="0" applyNumberFormat="1" applyFont="1" applyFill="1" applyBorder="1" applyAlignment="1" applyProtection="1">
      <alignment horizontal="left" vertical="center" indent="3"/>
    </xf>
    <xf numFmtId="0" fontId="3" fillId="0" borderId="49" xfId="0" applyNumberFormat="1" applyFont="1" applyFill="1" applyBorder="1" applyAlignment="1" applyProtection="1">
      <alignment horizontal="left" vertical="center" indent="3"/>
    </xf>
    <xf numFmtId="0" fontId="0" fillId="0" borderId="47" xfId="0" applyBorder="1" applyAlignment="1">
      <alignment horizontal="left" vertical="center" indent="3"/>
    </xf>
    <xf numFmtId="0" fontId="10" fillId="0" borderId="8" xfId="0" applyFont="1" applyBorder="1" applyAlignment="1" applyProtection="1">
      <alignment horizontal="center" vertical="center"/>
    </xf>
    <xf numFmtId="0" fontId="53" fillId="0" borderId="11" xfId="0" applyFont="1" applyBorder="1" applyAlignment="1" applyProtection="1">
      <alignment horizontal="center" vertical="center"/>
      <protection locked="0"/>
    </xf>
    <xf numFmtId="14" fontId="4" fillId="0" borderId="11" xfId="0" applyNumberFormat="1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39" fillId="0" borderId="26" xfId="0" applyFont="1" applyBorder="1" applyAlignment="1" applyProtection="1">
      <alignment horizontal="center" vertical="center"/>
    </xf>
    <xf numFmtId="0" fontId="53" fillId="0" borderId="0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42" fillId="0" borderId="0" xfId="0" applyNumberFormat="1" applyFont="1" applyFill="1" applyBorder="1" applyAlignment="1" applyProtection="1">
      <alignment horizontal="left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164" fontId="3" fillId="0" borderId="0" xfId="0" applyNumberFormat="1" applyFont="1" applyFill="1" applyBorder="1" applyAlignment="1" applyProtection="1">
      <alignment horizontal="center" vertical="center"/>
    </xf>
    <xf numFmtId="166" fontId="66" fillId="0" borderId="16" xfId="9" applyNumberFormat="1" applyFont="1" applyBorder="1" applyAlignment="1" applyProtection="1">
      <alignment horizontal="center" vertical="center"/>
      <protection locked="0"/>
    </xf>
    <xf numFmtId="166" fontId="6" fillId="0" borderId="3" xfId="9" applyNumberFormat="1" applyFont="1" applyBorder="1" applyAlignment="1" applyProtection="1">
      <alignment horizontal="center" vertical="center"/>
    </xf>
    <xf numFmtId="167" fontId="7" fillId="0" borderId="11" xfId="9" applyNumberFormat="1" applyFont="1" applyFill="1" applyBorder="1" applyAlignment="1" applyProtection="1">
      <alignment horizontal="center" vertical="center"/>
    </xf>
    <xf numFmtId="167" fontId="40" fillId="0" borderId="26" xfId="9" applyNumberFormat="1" applyFont="1" applyFill="1" applyBorder="1" applyAlignment="1" applyProtection="1">
      <alignment horizontal="center" vertical="center" wrapText="1"/>
    </xf>
    <xf numFmtId="164" fontId="3" fillId="0" borderId="3" xfId="0" applyNumberFormat="1" applyFont="1" applyFill="1" applyBorder="1" applyAlignment="1" applyProtection="1">
      <alignment horizontal="center" vertical="center"/>
    </xf>
    <xf numFmtId="164" fontId="3" fillId="0" borderId="0" xfId="0" quotePrefix="1" applyNumberFormat="1" applyFont="1" applyBorder="1" applyAlignment="1" applyProtection="1">
      <alignment horizontal="center" vertical="center"/>
    </xf>
    <xf numFmtId="0" fontId="53" fillId="0" borderId="11" xfId="0" applyFont="1" applyBorder="1" applyAlignment="1" applyProtection="1">
      <alignment vertical="center"/>
      <protection locked="0"/>
    </xf>
    <xf numFmtId="0" fontId="10" fillId="0" borderId="8" xfId="0" applyFont="1" applyBorder="1" applyAlignment="1" applyProtection="1">
      <alignment vertical="center"/>
    </xf>
    <xf numFmtId="166" fontId="66" fillId="0" borderId="25" xfId="9" applyNumberFormat="1" applyFont="1" applyBorder="1" applyAlignment="1" applyProtection="1">
      <alignment horizontal="center" vertical="center"/>
      <protection locked="0"/>
    </xf>
    <xf numFmtId="166" fontId="66" fillId="0" borderId="26" xfId="9" applyNumberFormat="1" applyFont="1" applyBorder="1" applyAlignment="1" applyProtection="1">
      <alignment horizontal="center" vertical="center"/>
      <protection locked="0"/>
    </xf>
    <xf numFmtId="166" fontId="59" fillId="0" borderId="16" xfId="9" applyNumberFormat="1" applyFont="1" applyFill="1" applyBorder="1" applyAlignment="1" applyProtection="1">
      <alignment horizontal="right" vertical="top"/>
      <protection locked="0"/>
    </xf>
    <xf numFmtId="166" fontId="59" fillId="0" borderId="0" xfId="9" applyNumberFormat="1" applyFont="1" applyFill="1" applyBorder="1" applyAlignment="1" applyProtection="1">
      <alignment horizontal="right" vertical="top"/>
      <protection locked="0"/>
    </xf>
    <xf numFmtId="0" fontId="67" fillId="5" borderId="13" xfId="3" applyFont="1" applyFill="1" applyBorder="1" applyAlignment="1">
      <alignment horizontal="center" vertical="center" wrapText="1"/>
    </xf>
    <xf numFmtId="0" fontId="69" fillId="0" borderId="13" xfId="3" quotePrefix="1" applyFont="1" applyBorder="1" applyAlignment="1"/>
    <xf numFmtId="0" fontId="69" fillId="0" borderId="13" xfId="3" quotePrefix="1" applyFont="1" applyBorder="1" applyAlignment="1">
      <alignment wrapText="1"/>
    </xf>
    <xf numFmtId="0" fontId="68" fillId="0" borderId="0" xfId="3"/>
    <xf numFmtId="0" fontId="3" fillId="0" borderId="0" xfId="4" applyFont="1" applyBorder="1" applyAlignment="1"/>
    <xf numFmtId="0" fontId="23" fillId="0" borderId="0" xfId="4" applyFont="1" applyBorder="1" applyAlignment="1"/>
    <xf numFmtId="168" fontId="23" fillId="0" borderId="0" xfId="5" applyNumberFormat="1" applyFont="1" applyBorder="1" applyAlignment="1"/>
    <xf numFmtId="0" fontId="72" fillId="6" borderId="13" xfId="2" applyFont="1" applyFill="1" applyBorder="1" applyAlignment="1">
      <alignment horizontal="center" vertical="center" wrapText="1"/>
    </xf>
    <xf numFmtId="0" fontId="70" fillId="0" borderId="0" xfId="2" applyFont="1"/>
    <xf numFmtId="0" fontId="71" fillId="0" borderId="0" xfId="2" applyFont="1"/>
    <xf numFmtId="0" fontId="72" fillId="6" borderId="13" xfId="2" applyFont="1" applyFill="1" applyBorder="1" applyAlignment="1">
      <alignment horizontal="center"/>
    </xf>
    <xf numFmtId="0" fontId="69" fillId="0" borderId="0" xfId="2" applyFont="1"/>
    <xf numFmtId="0" fontId="71" fillId="0" borderId="0" xfId="2" applyFont="1" applyAlignment="1">
      <alignment horizontal="left"/>
    </xf>
    <xf numFmtId="0" fontId="64" fillId="0" borderId="0" xfId="0" applyFont="1" applyFill="1"/>
    <xf numFmtId="0" fontId="74" fillId="0" borderId="0" xfId="0" applyFont="1" applyFill="1"/>
    <xf numFmtId="0" fontId="64" fillId="0" borderId="0" xfId="0" applyFont="1" applyFill="1" applyBorder="1"/>
    <xf numFmtId="0" fontId="75" fillId="0" borderId="0" xfId="0" applyFont="1" applyFill="1" applyBorder="1"/>
    <xf numFmtId="0" fontId="63" fillId="0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left" vertical="center"/>
    </xf>
    <xf numFmtId="0" fontId="62" fillId="6" borderId="50" xfId="0" applyFont="1" applyFill="1" applyBorder="1" applyAlignment="1">
      <alignment horizontal="center" vertical="center"/>
    </xf>
    <xf numFmtId="0" fontId="74" fillId="0" borderId="0" xfId="0" applyFont="1" applyFill="1" applyBorder="1" applyAlignment="1">
      <alignment horizontal="left" vertical="center"/>
    </xf>
    <xf numFmtId="0" fontId="76" fillId="0" borderId="0" xfId="0" applyFont="1" applyFill="1" applyBorder="1" applyAlignment="1">
      <alignment horizontal="left" vertical="center"/>
    </xf>
    <xf numFmtId="0" fontId="76" fillId="0" borderId="0" xfId="0" applyFont="1" applyFill="1" applyBorder="1" applyAlignment="1">
      <alignment vertical="center"/>
    </xf>
    <xf numFmtId="0" fontId="76" fillId="0" borderId="0" xfId="0" applyFont="1" applyFill="1" applyBorder="1" applyAlignment="1">
      <alignment horizontal="center" vertical="center"/>
    </xf>
    <xf numFmtId="0" fontId="62" fillId="6" borderId="50" xfId="0" applyFont="1" applyFill="1" applyBorder="1" applyAlignment="1">
      <alignment vertical="center"/>
    </xf>
    <xf numFmtId="0" fontId="75" fillId="0" borderId="0" xfId="0" applyFont="1" applyFill="1" applyBorder="1" applyAlignment="1">
      <alignment vertical="center"/>
    </xf>
    <xf numFmtId="0" fontId="60" fillId="0" borderId="0" xfId="0" applyFont="1" applyFill="1" applyBorder="1" applyAlignment="1">
      <alignment horizontal="left" vertical="center"/>
    </xf>
    <xf numFmtId="0" fontId="74" fillId="0" borderId="0" xfId="0" applyFont="1" applyFill="1" applyBorder="1"/>
    <xf numFmtId="0" fontId="77" fillId="0" borderId="0" xfId="0" applyFont="1"/>
    <xf numFmtId="0" fontId="24" fillId="6" borderId="13" xfId="0" applyFont="1" applyFill="1" applyBorder="1" applyAlignment="1">
      <alignment horizontal="center" vertical="top"/>
    </xf>
    <xf numFmtId="0" fontId="78" fillId="6" borderId="13" xfId="0" applyFont="1" applyFill="1" applyBorder="1" applyAlignment="1">
      <alignment horizontal="center" vertical="top"/>
    </xf>
    <xf numFmtId="0" fontId="24" fillId="6" borderId="13" xfId="0" applyFont="1" applyFill="1" applyBorder="1" applyAlignment="1">
      <alignment horizontal="center" vertical="top" wrapText="1"/>
    </xf>
    <xf numFmtId="0" fontId="79" fillId="6" borderId="13" xfId="0" applyFont="1" applyFill="1" applyBorder="1" applyAlignment="1">
      <alignment horizontal="center" vertical="center"/>
    </xf>
    <xf numFmtId="0" fontId="24" fillId="6" borderId="13" xfId="0" applyFont="1" applyFill="1" applyBorder="1" applyAlignment="1">
      <alignment horizontal="center" vertical="center"/>
    </xf>
    <xf numFmtId="0" fontId="23" fillId="5" borderId="0" xfId="0" applyFont="1" applyFill="1"/>
    <xf numFmtId="0" fontId="19" fillId="5" borderId="0" xfId="0" applyFont="1" applyFill="1"/>
    <xf numFmtId="0" fontId="19" fillId="0" borderId="0" xfId="0" applyFont="1"/>
    <xf numFmtId="0" fontId="6" fillId="5" borderId="0" xfId="0" applyFont="1" applyFill="1" applyAlignment="1">
      <alignment horizontal="center"/>
    </xf>
    <xf numFmtId="0" fontId="4" fillId="0" borderId="5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5" borderId="0" xfId="0" applyFont="1" applyFill="1"/>
    <xf numFmtId="0" fontId="6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center" vertical="center"/>
    </xf>
    <xf numFmtId="9" fontId="6" fillId="0" borderId="0" xfId="5" applyFont="1" applyBorder="1" applyAlignment="1">
      <alignment horizontal="center" vertical="center"/>
    </xf>
    <xf numFmtId="9" fontId="4" fillId="0" borderId="0" xfId="5" applyFont="1" applyBorder="1" applyAlignment="1">
      <alignment horizontal="center" vertical="center"/>
    </xf>
    <xf numFmtId="0" fontId="3" fillId="0" borderId="0" xfId="0" applyFont="1"/>
    <xf numFmtId="0" fontId="80" fillId="0" borderId="0" xfId="0" applyFont="1"/>
    <xf numFmtId="0" fontId="0" fillId="5" borderId="0" xfId="0" applyFill="1"/>
    <xf numFmtId="0" fontId="23" fillId="10" borderId="52" xfId="4" applyFont="1" applyFill="1" applyBorder="1" applyAlignment="1"/>
    <xf numFmtId="0" fontId="23" fillId="10" borderId="52" xfId="4" applyFont="1" applyFill="1" applyBorder="1" applyAlignment="1">
      <alignment horizontal="right"/>
    </xf>
    <xf numFmtId="0" fontId="71" fillId="0" borderId="0" xfId="4" applyFont="1"/>
    <xf numFmtId="0" fontId="3" fillId="0" borderId="0" xfId="4" applyFont="1" applyBorder="1" applyAlignment="1">
      <alignment horizontal="center"/>
    </xf>
    <xf numFmtId="0" fontId="71" fillId="0" borderId="0" xfId="4" applyFont="1" applyBorder="1" applyAlignment="1"/>
    <xf numFmtId="0" fontId="3" fillId="0" borderId="24" xfId="4" applyFont="1" applyBorder="1" applyAlignment="1">
      <alignment horizontal="center"/>
    </xf>
    <xf numFmtId="0" fontId="3" fillId="0" borderId="13" xfId="4" applyFont="1" applyBorder="1" applyAlignment="1"/>
    <xf numFmtId="3" fontId="3" fillId="0" borderId="13" xfId="4" applyNumberFormat="1" applyFont="1" applyBorder="1" applyAlignment="1">
      <alignment horizontal="center"/>
    </xf>
    <xf numFmtId="9" fontId="3" fillId="0" borderId="13" xfId="5" applyNumberFormat="1" applyFont="1" applyBorder="1" applyAlignment="1"/>
    <xf numFmtId="3" fontId="23" fillId="0" borderId="13" xfId="4" applyNumberFormat="1" applyFont="1" applyBorder="1" applyAlignment="1">
      <alignment horizontal="center"/>
    </xf>
    <xf numFmtId="168" fontId="23" fillId="0" borderId="13" xfId="5" applyNumberFormat="1" applyFont="1" applyBorder="1" applyAlignment="1">
      <alignment horizontal="center"/>
    </xf>
    <xf numFmtId="0" fontId="23" fillId="0" borderId="13" xfId="4" applyFont="1" applyBorder="1" applyAlignment="1"/>
    <xf numFmtId="166" fontId="23" fillId="0" borderId="13" xfId="9" applyNumberFormat="1" applyFont="1" applyBorder="1" applyAlignment="1"/>
    <xf numFmtId="0" fontId="23" fillId="10" borderId="12" xfId="4" applyFont="1" applyFill="1" applyBorder="1" applyAlignment="1"/>
    <xf numFmtId="0" fontId="23" fillId="10" borderId="12" xfId="4" applyFont="1" applyFill="1" applyBorder="1" applyAlignment="1">
      <alignment horizontal="right"/>
    </xf>
    <xf numFmtId="0" fontId="71" fillId="0" borderId="13" xfId="4" applyFont="1" applyBorder="1" applyAlignment="1"/>
    <xf numFmtId="0" fontId="71" fillId="0" borderId="13" xfId="4" applyFont="1" applyBorder="1" applyAlignment="1">
      <alignment horizontal="center"/>
    </xf>
    <xf numFmtId="0" fontId="23" fillId="0" borderId="13" xfId="4" applyFont="1" applyBorder="1" applyAlignment="1">
      <alignment horizontal="center"/>
    </xf>
    <xf numFmtId="0" fontId="71" fillId="0" borderId="0" xfId="4" applyFont="1" applyBorder="1"/>
    <xf numFmtId="0" fontId="71" fillId="0" borderId="13" xfId="4" applyFont="1" applyBorder="1"/>
    <xf numFmtId="0" fontId="69" fillId="0" borderId="0" xfId="4" applyFont="1"/>
    <xf numFmtId="0" fontId="6" fillId="5" borderId="0" xfId="0" applyFont="1" applyFill="1" applyBorder="1"/>
    <xf numFmtId="0" fontId="23" fillId="0" borderId="0" xfId="0" applyFont="1" applyBorder="1"/>
    <xf numFmtId="0" fontId="41" fillId="0" borderId="0" xfId="0" applyFont="1" applyBorder="1" applyAlignment="1">
      <alignment horizontal="center" vertical="center"/>
    </xf>
    <xf numFmtId="174" fontId="5" fillId="0" borderId="0" xfId="0" applyNumberFormat="1" applyFont="1" applyBorder="1" applyAlignment="1">
      <alignment horizontal="center" vertical="center" wrapText="1"/>
    </xf>
    <xf numFmtId="0" fontId="19" fillId="5" borderId="0" xfId="0" applyFont="1" applyFill="1" applyBorder="1"/>
    <xf numFmtId="0" fontId="6" fillId="5" borderId="0" xfId="0" applyFont="1" applyFill="1" applyBorder="1" applyAlignment="1">
      <alignment horizontal="center"/>
    </xf>
    <xf numFmtId="176" fontId="4" fillId="0" borderId="53" xfId="5" applyNumberFormat="1" applyFont="1" applyBorder="1" applyAlignment="1">
      <alignment horizontal="center" vertical="center"/>
    </xf>
    <xf numFmtId="0" fontId="78" fillId="0" borderId="0" xfId="0" applyFont="1"/>
    <xf numFmtId="165" fontId="24" fillId="6" borderId="13" xfId="10" applyNumberFormat="1" applyFont="1" applyFill="1" applyBorder="1" applyAlignment="1">
      <alignment horizontal="center" vertical="top"/>
    </xf>
    <xf numFmtId="164" fontId="24" fillId="6" borderId="13" xfId="10" applyFont="1" applyFill="1" applyBorder="1" applyAlignment="1">
      <alignment horizontal="center" vertical="center"/>
    </xf>
    <xf numFmtId="164" fontId="24" fillId="6" borderId="13" xfId="10" applyNumberFormat="1" applyFont="1" applyFill="1" applyBorder="1" applyAlignment="1">
      <alignment horizontal="left" vertical="center" indent="4"/>
    </xf>
    <xf numFmtId="175" fontId="0" fillId="0" borderId="0" xfId="0" applyNumberFormat="1"/>
    <xf numFmtId="0" fontId="3" fillId="0" borderId="54" xfId="4" applyFont="1" applyBorder="1" applyAlignment="1">
      <alignment horizontal="left"/>
    </xf>
    <xf numFmtId="0" fontId="23" fillId="0" borderId="13" xfId="4" applyFont="1" applyBorder="1" applyAlignment="1">
      <alignment wrapText="1"/>
    </xf>
    <xf numFmtId="0" fontId="82" fillId="0" borderId="24" xfId="4" applyFont="1" applyBorder="1" applyAlignment="1">
      <alignment horizontal="center" wrapText="1"/>
    </xf>
    <xf numFmtId="0" fontId="82" fillId="0" borderId="24" xfId="4" applyFont="1" applyBorder="1" applyAlignment="1">
      <alignment horizontal="center"/>
    </xf>
    <xf numFmtId="7" fontId="0" fillId="0" borderId="0" xfId="0" applyNumberFormat="1"/>
    <xf numFmtId="183" fontId="98" fillId="0" borderId="0" xfId="0" applyNumberFormat="1" applyFont="1"/>
    <xf numFmtId="182" fontId="98" fillId="0" borderId="0" xfId="0" applyNumberFormat="1" applyFont="1"/>
    <xf numFmtId="0" fontId="98" fillId="0" borderId="0" xfId="0" applyFont="1"/>
    <xf numFmtId="184" fontId="98" fillId="0" borderId="0" xfId="0" applyNumberFormat="1" applyFont="1"/>
    <xf numFmtId="185" fontId="0" fillId="0" borderId="0" xfId="0" applyNumberFormat="1"/>
    <xf numFmtId="0" fontId="90" fillId="0" borderId="55" xfId="0" applyFont="1" applyFill="1" applyBorder="1" applyAlignment="1">
      <alignment horizontal="center" vertical="center"/>
    </xf>
    <xf numFmtId="0" fontId="90" fillId="0" borderId="56" xfId="0" applyFont="1" applyFill="1" applyBorder="1" applyAlignment="1">
      <alignment horizontal="center" vertical="center"/>
    </xf>
    <xf numFmtId="0" fontId="90" fillId="0" borderId="57" xfId="0" applyFont="1" applyFill="1" applyBorder="1" applyAlignment="1">
      <alignment horizontal="center" vertical="center" wrapText="1"/>
    </xf>
    <xf numFmtId="0" fontId="63" fillId="0" borderId="12" xfId="0" applyFont="1" applyFill="1" applyBorder="1"/>
    <xf numFmtId="0" fontId="63" fillId="0" borderId="18" xfId="0" applyFont="1" applyFill="1" applyBorder="1"/>
    <xf numFmtId="165" fontId="63" fillId="0" borderId="18" xfId="13" applyNumberFormat="1" applyFont="1" applyFill="1" applyBorder="1" applyAlignment="1">
      <alignment horizontal="center"/>
    </xf>
    <xf numFmtId="168" fontId="63" fillId="0" borderId="12" xfId="7" applyNumberFormat="1" applyFont="1" applyFill="1" applyBorder="1" applyAlignment="1">
      <alignment horizontal="center"/>
    </xf>
    <xf numFmtId="0" fontId="91" fillId="0" borderId="0" xfId="0" applyFont="1" applyFill="1"/>
    <xf numFmtId="0" fontId="63" fillId="0" borderId="13" xfId="0" applyFont="1" applyFill="1" applyBorder="1"/>
    <xf numFmtId="165" fontId="63" fillId="0" borderId="13" xfId="13" applyNumberFormat="1" applyFont="1" applyFill="1" applyBorder="1" applyAlignment="1">
      <alignment horizontal="center"/>
    </xf>
    <xf numFmtId="168" fontId="63" fillId="0" borderId="32" xfId="7" applyNumberFormat="1" applyFont="1" applyFill="1" applyBorder="1" applyAlignment="1">
      <alignment horizontal="center"/>
    </xf>
    <xf numFmtId="0" fontId="63" fillId="0" borderId="17" xfId="0" applyFont="1" applyFill="1" applyBorder="1"/>
    <xf numFmtId="165" fontId="63" fillId="0" borderId="17" xfId="13" applyNumberFormat="1" applyFont="1" applyFill="1" applyBorder="1" applyAlignment="1">
      <alignment horizontal="center"/>
    </xf>
    <xf numFmtId="168" fontId="63" fillId="0" borderId="0" xfId="7" applyNumberFormat="1" applyFont="1" applyFill="1" applyBorder="1" applyAlignment="1">
      <alignment horizontal="center"/>
    </xf>
    <xf numFmtId="0" fontId="63" fillId="0" borderId="32" xfId="0" applyFont="1" applyFill="1" applyBorder="1"/>
    <xf numFmtId="165" fontId="63" fillId="0" borderId="13" xfId="13" applyNumberFormat="1" applyFont="1" applyFill="1" applyBorder="1" applyAlignment="1">
      <alignment horizontal="right"/>
    </xf>
    <xf numFmtId="168" fontId="63" fillId="0" borderId="32" xfId="7" applyNumberFormat="1" applyFont="1" applyFill="1" applyBorder="1" applyAlignment="1">
      <alignment horizontal="right"/>
    </xf>
    <xf numFmtId="165" fontId="63" fillId="0" borderId="13" xfId="13" applyNumberFormat="1" applyFont="1" applyFill="1" applyBorder="1"/>
    <xf numFmtId="165" fontId="63" fillId="0" borderId="32" xfId="13" applyNumberFormat="1" applyFont="1" applyFill="1" applyBorder="1"/>
    <xf numFmtId="0" fontId="92" fillId="0" borderId="0" xfId="0" applyFont="1" applyFill="1" applyBorder="1"/>
    <xf numFmtId="0" fontId="92" fillId="0" borderId="0" xfId="0" applyFont="1" applyFill="1"/>
    <xf numFmtId="0" fontId="65" fillId="0" borderId="41" xfId="11" applyNumberFormat="1" applyFont="1" applyFill="1" applyBorder="1" applyAlignment="1" applyProtection="1">
      <alignment horizontal="center" vertical="center"/>
      <protection locked="0"/>
    </xf>
    <xf numFmtId="165" fontId="12" fillId="9" borderId="41" xfId="11" applyNumberFormat="1" applyFont="1" applyFill="1" applyBorder="1" applyAlignment="1" applyProtection="1">
      <alignment horizontal="center" vertical="center"/>
    </xf>
    <xf numFmtId="165" fontId="3" fillId="0" borderId="0" xfId="11" applyNumberFormat="1" applyFont="1" applyFill="1" applyBorder="1" applyAlignment="1" applyProtection="1">
      <alignment horizontal="center" vertical="center"/>
    </xf>
    <xf numFmtId="0" fontId="17" fillId="9" borderId="44" xfId="11" applyNumberFormat="1" applyFont="1" applyFill="1" applyBorder="1" applyAlignment="1" applyProtection="1">
      <alignment horizontal="center" vertical="center"/>
    </xf>
    <xf numFmtId="165" fontId="12" fillId="9" borderId="44" xfId="11" applyNumberFormat="1" applyFont="1" applyFill="1" applyBorder="1" applyAlignment="1" applyProtection="1">
      <alignment horizontal="center" vertical="center"/>
    </xf>
    <xf numFmtId="0" fontId="42" fillId="0" borderId="0" xfId="11" applyNumberFormat="1" applyFont="1" applyFill="1" applyBorder="1" applyAlignment="1" applyProtection="1">
      <alignment horizontal="center" vertical="center"/>
      <protection locked="0"/>
    </xf>
    <xf numFmtId="166" fontId="66" fillId="0" borderId="0" xfId="11" applyNumberFormat="1" applyFont="1" applyBorder="1" applyAlignment="1" applyProtection="1">
      <alignment horizontal="center" vertical="center"/>
      <protection locked="0"/>
    </xf>
    <xf numFmtId="0" fontId="15" fillId="9" borderId="44" xfId="11" applyNumberFormat="1" applyFont="1" applyFill="1" applyBorder="1" applyAlignment="1" applyProtection="1">
      <alignment horizontal="center" vertical="center"/>
    </xf>
    <xf numFmtId="166" fontId="42" fillId="0" borderId="44" xfId="11" applyNumberFormat="1" applyFont="1" applyFill="1" applyBorder="1" applyAlignment="1" applyProtection="1">
      <alignment horizontal="right" vertical="top"/>
      <protection locked="0"/>
    </xf>
    <xf numFmtId="166" fontId="43" fillId="0" borderId="0" xfId="11" applyNumberFormat="1" applyFont="1" applyFill="1" applyBorder="1" applyAlignment="1" applyProtection="1">
      <alignment horizontal="right" vertical="center"/>
    </xf>
    <xf numFmtId="166" fontId="42" fillId="0" borderId="0" xfId="11" applyNumberFormat="1" applyFont="1" applyFill="1" applyBorder="1" applyAlignment="1" applyProtection="1">
      <alignment horizontal="right" vertical="top"/>
    </xf>
    <xf numFmtId="165" fontId="9" fillId="0" borderId="0" xfId="11" applyNumberFormat="1" applyFont="1" applyFill="1" applyBorder="1" applyAlignment="1" applyProtection="1">
      <alignment horizontal="center" vertical="center"/>
    </xf>
    <xf numFmtId="166" fontId="23" fillId="0" borderId="0" xfId="11" applyNumberFormat="1" applyFont="1" applyFill="1" applyBorder="1" applyAlignment="1" applyProtection="1">
      <alignment horizontal="center" vertical="center"/>
    </xf>
    <xf numFmtId="166" fontId="11" fillId="0" borderId="0" xfId="0" applyNumberFormat="1" applyFont="1" applyFill="1" applyBorder="1" applyAlignment="1" applyProtection="1">
      <alignment horizontal="center" vertical="center"/>
    </xf>
    <xf numFmtId="169" fontId="4" fillId="0" borderId="0" xfId="11" applyNumberFormat="1" applyFont="1" applyFill="1" applyBorder="1" applyAlignment="1" applyProtection="1">
      <alignment horizontal="center" vertical="center"/>
    </xf>
    <xf numFmtId="165" fontId="4" fillId="0" borderId="0" xfId="11" applyNumberFormat="1" applyFont="1" applyFill="1" applyBorder="1" applyAlignment="1" applyProtection="1">
      <alignment horizontal="left" vertical="center"/>
    </xf>
    <xf numFmtId="165" fontId="4" fillId="0" borderId="0" xfId="11" applyNumberFormat="1" applyFont="1" applyFill="1" applyBorder="1" applyAlignment="1" applyProtection="1">
      <alignment horizontal="center" vertical="center"/>
    </xf>
    <xf numFmtId="169" fontId="3" fillId="0" borderId="3" xfId="11" applyNumberFormat="1" applyFont="1" applyFill="1" applyBorder="1" applyAlignment="1" applyProtection="1">
      <alignment horizontal="center" vertical="center"/>
    </xf>
    <xf numFmtId="170" fontId="4" fillId="0" borderId="0" xfId="11" applyNumberFormat="1" applyFont="1" applyFill="1" applyBorder="1" applyAlignment="1" applyProtection="1">
      <alignment horizontal="center" vertical="center"/>
    </xf>
    <xf numFmtId="166" fontId="66" fillId="0" borderId="16" xfId="11" applyNumberFormat="1" applyFont="1" applyBorder="1" applyAlignment="1" applyProtection="1">
      <alignment horizontal="center" vertical="center"/>
      <protection locked="0"/>
    </xf>
    <xf numFmtId="169" fontId="3" fillId="0" borderId="0" xfId="11" applyNumberFormat="1" applyFont="1" applyFill="1" applyBorder="1" applyAlignment="1" applyProtection="1">
      <alignment horizontal="center" vertical="center"/>
    </xf>
    <xf numFmtId="175" fontId="71" fillId="0" borderId="0" xfId="2" applyNumberFormat="1" applyFont="1"/>
    <xf numFmtId="175" fontId="72" fillId="6" borderId="58" xfId="2" applyNumberFormat="1" applyFont="1" applyFill="1" applyBorder="1" applyAlignment="1">
      <alignment horizontal="center"/>
    </xf>
    <xf numFmtId="186" fontId="17" fillId="0" borderId="8" xfId="0" applyNumberFormat="1" applyFont="1" applyBorder="1" applyAlignment="1" applyProtection="1">
      <alignment horizontal="center" vertical="center"/>
      <protection locked="0"/>
    </xf>
    <xf numFmtId="0" fontId="76" fillId="0" borderId="102" xfId="0" applyFont="1" applyFill="1" applyBorder="1" applyAlignment="1">
      <alignment vertical="center"/>
    </xf>
    <xf numFmtId="0" fontId="76" fillId="0" borderId="103" xfId="0" applyFont="1" applyFill="1" applyBorder="1" applyAlignment="1">
      <alignment horizontal="center" vertical="center"/>
    </xf>
    <xf numFmtId="0" fontId="76" fillId="0" borderId="103" xfId="0" applyFont="1" applyFill="1" applyBorder="1" applyAlignment="1">
      <alignment vertical="center"/>
    </xf>
    <xf numFmtId="0" fontId="75" fillId="0" borderId="104" xfId="0" applyFont="1" applyFill="1" applyBorder="1" applyAlignment="1">
      <alignment horizontal="left" vertical="center"/>
    </xf>
    <xf numFmtId="0" fontId="75" fillId="0" borderId="105" xfId="0" applyFont="1" applyFill="1" applyBorder="1" applyAlignment="1">
      <alignment horizontal="left" vertical="center"/>
    </xf>
    <xf numFmtId="0" fontId="75" fillId="0" borderId="106" xfId="0" applyFont="1" applyFill="1" applyBorder="1" applyAlignment="1">
      <alignment horizontal="left" vertical="center"/>
    </xf>
    <xf numFmtId="0" fontId="75" fillId="0" borderId="102" xfId="0" applyFont="1" applyFill="1" applyBorder="1" applyAlignment="1">
      <alignment horizontal="left" vertical="center"/>
    </xf>
    <xf numFmtId="0" fontId="74" fillId="0" borderId="102" xfId="0" applyFont="1" applyFill="1" applyBorder="1" applyAlignment="1">
      <alignment horizontal="left" vertical="center"/>
    </xf>
    <xf numFmtId="0" fontId="62" fillId="0" borderId="102" xfId="0" applyFont="1" applyFill="1" applyBorder="1" applyAlignment="1">
      <alignment horizontal="left" vertical="center"/>
    </xf>
    <xf numFmtId="0" fontId="6" fillId="12" borderId="0" xfId="1" applyFont="1" applyFill="1"/>
    <xf numFmtId="0" fontId="99" fillId="12" borderId="0" xfId="1" applyFont="1" applyFill="1"/>
    <xf numFmtId="0" fontId="6" fillId="0" borderId="0" xfId="1" applyFont="1"/>
    <xf numFmtId="0" fontId="6" fillId="0" borderId="59" xfId="1" applyFont="1" applyBorder="1"/>
    <xf numFmtId="0" fontId="14" fillId="12" borderId="0" xfId="1" applyFont="1" applyFill="1" applyProtection="1"/>
    <xf numFmtId="0" fontId="85" fillId="0" borderId="43" xfId="1" applyFont="1" applyBorder="1" applyAlignment="1">
      <alignment horizontal="left" indent="1"/>
    </xf>
    <xf numFmtId="0" fontId="2" fillId="12" borderId="0" xfId="1" applyFont="1" applyFill="1"/>
    <xf numFmtId="0" fontId="85" fillId="0" borderId="60" xfId="1" applyFont="1" applyBorder="1" applyAlignment="1">
      <alignment horizontal="left" indent="1"/>
    </xf>
    <xf numFmtId="0" fontId="4" fillId="0" borderId="61" xfId="1" applyFont="1" applyBorder="1" applyAlignment="1">
      <alignment horizontal="center"/>
    </xf>
    <xf numFmtId="0" fontId="4" fillId="0" borderId="62" xfId="1" applyFont="1" applyBorder="1" applyAlignment="1">
      <alignment horizontal="center"/>
    </xf>
    <xf numFmtId="0" fontId="4" fillId="0" borderId="63" xfId="1" applyFont="1" applyBorder="1" applyAlignment="1">
      <alignment vertical="center" wrapText="1"/>
    </xf>
    <xf numFmtId="0" fontId="6" fillId="0" borderId="64" xfId="1" applyFont="1" applyBorder="1"/>
    <xf numFmtId="0" fontId="6" fillId="0" borderId="65" xfId="1" applyFont="1" applyBorder="1"/>
    <xf numFmtId="0" fontId="83" fillId="0" borderId="0" xfId="1" applyFont="1"/>
    <xf numFmtId="0" fontId="6" fillId="0" borderId="66" xfId="1" applyFont="1" applyBorder="1" applyAlignment="1">
      <alignment vertical="center" wrapText="1"/>
    </xf>
    <xf numFmtId="0" fontId="6" fillId="0" borderId="67" xfId="1" applyFont="1" applyBorder="1"/>
    <xf numFmtId="0" fontId="6" fillId="0" borderId="68" xfId="1" applyFont="1" applyBorder="1"/>
    <xf numFmtId="0" fontId="2" fillId="0" borderId="0" xfId="1" applyFont="1"/>
    <xf numFmtId="0" fontId="6" fillId="0" borderId="60" xfId="1" applyFont="1" applyBorder="1" applyAlignment="1">
      <alignment vertical="center" wrapText="1"/>
    </xf>
    <xf numFmtId="177" fontId="81" fillId="0" borderId="61" xfId="1" applyNumberFormat="1" applyFont="1" applyBorder="1"/>
    <xf numFmtId="177" fontId="81" fillId="0" borderId="62" xfId="1" applyNumberFormat="1" applyFont="1" applyBorder="1"/>
    <xf numFmtId="0" fontId="6" fillId="0" borderId="69" xfId="1" applyFont="1" applyBorder="1" applyAlignment="1">
      <alignment vertical="center" wrapText="1"/>
    </xf>
    <xf numFmtId="0" fontId="6" fillId="0" borderId="70" xfId="1" applyFont="1" applyBorder="1" applyAlignment="1">
      <alignment vertical="center" wrapText="1"/>
    </xf>
    <xf numFmtId="177" fontId="81" fillId="0" borderId="71" xfId="1" applyNumberFormat="1" applyFont="1" applyBorder="1"/>
    <xf numFmtId="177" fontId="81" fillId="0" borderId="72" xfId="1" applyNumberFormat="1" applyFont="1" applyBorder="1"/>
    <xf numFmtId="0" fontId="6" fillId="0" borderId="63" xfId="1" applyFont="1" applyBorder="1" applyAlignment="1">
      <alignment vertical="center" wrapText="1"/>
    </xf>
    <xf numFmtId="177" fontId="81" fillId="0" borderId="64" xfId="1" applyNumberFormat="1" applyFont="1" applyBorder="1"/>
    <xf numFmtId="177" fontId="81" fillId="0" borderId="65" xfId="1" applyNumberFormat="1" applyFont="1" applyBorder="1"/>
    <xf numFmtId="0" fontId="4" fillId="0" borderId="20" xfId="1" applyFont="1" applyBorder="1" applyAlignment="1">
      <alignment vertical="center" wrapText="1"/>
    </xf>
    <xf numFmtId="177" fontId="81" fillId="0" borderId="73" xfId="1" applyNumberFormat="1" applyFont="1" applyBorder="1"/>
    <xf numFmtId="177" fontId="81" fillId="0" borderId="74" xfId="1" applyNumberFormat="1" applyFont="1" applyBorder="1"/>
    <xf numFmtId="178" fontId="4" fillId="0" borderId="13" xfId="1" applyNumberFormat="1" applyFont="1" applyBorder="1" applyAlignment="1">
      <alignment vertical="center"/>
    </xf>
    <xf numFmtId="178" fontId="4" fillId="0" borderId="54" xfId="1" applyNumberFormat="1" applyFont="1" applyBorder="1" applyAlignment="1">
      <alignment vertical="center"/>
    </xf>
    <xf numFmtId="178" fontId="5" fillId="0" borderId="0" xfId="1" applyNumberFormat="1" applyFont="1" applyBorder="1" applyAlignment="1">
      <alignment horizontal="center" vertical="center"/>
    </xf>
    <xf numFmtId="177" fontId="81" fillId="0" borderId="0" xfId="1" applyNumberFormat="1" applyFont="1" applyBorder="1" applyAlignment="1"/>
    <xf numFmtId="177" fontId="41" fillId="0" borderId="0" xfId="1" applyNumberFormat="1" applyFont="1" applyBorder="1" applyAlignment="1"/>
    <xf numFmtId="0" fontId="23" fillId="0" borderId="0" xfId="1" applyFont="1"/>
    <xf numFmtId="0" fontId="4" fillId="0" borderId="69" xfId="1" applyFont="1" applyBorder="1" applyAlignment="1">
      <alignment vertical="center" wrapText="1"/>
    </xf>
    <xf numFmtId="0" fontId="68" fillId="0" borderId="0" xfId="3" applyBorder="1"/>
    <xf numFmtId="0" fontId="69" fillId="0" borderId="0" xfId="3" applyFont="1" applyBorder="1"/>
    <xf numFmtId="0" fontId="71" fillId="0" borderId="0" xfId="3" applyFont="1" applyBorder="1"/>
    <xf numFmtId="0" fontId="94" fillId="0" borderId="0" xfId="0" applyFont="1"/>
    <xf numFmtId="0" fontId="93" fillId="0" borderId="0" xfId="0" applyFont="1"/>
    <xf numFmtId="164" fontId="24" fillId="6" borderId="13" xfId="11" applyFont="1" applyFill="1" applyBorder="1" applyAlignment="1">
      <alignment horizontal="center" vertical="center"/>
    </xf>
    <xf numFmtId="164" fontId="24" fillId="6" borderId="13" xfId="11" applyNumberFormat="1" applyFont="1" applyFill="1" applyBorder="1" applyAlignment="1">
      <alignment horizontal="left" vertical="center" indent="4"/>
    </xf>
    <xf numFmtId="0" fontId="63" fillId="0" borderId="12" xfId="0" applyFont="1" applyFill="1" applyBorder="1" applyAlignment="1">
      <alignment wrapText="1"/>
    </xf>
    <xf numFmtId="0" fontId="15" fillId="9" borderId="0" xfId="11" applyNumberFormat="1" applyFont="1" applyFill="1" applyBorder="1" applyAlignment="1" applyProtection="1">
      <alignment horizontal="center" vertical="center"/>
    </xf>
    <xf numFmtId="166" fontId="42" fillId="0" borderId="0" xfId="11" applyNumberFormat="1" applyFont="1" applyFill="1" applyBorder="1" applyAlignment="1" applyProtection="1">
      <alignment horizontal="right" vertical="top"/>
      <protection locked="0"/>
    </xf>
    <xf numFmtId="9" fontId="9" fillId="0" borderId="0" xfId="5" applyNumberFormat="1" applyFont="1" applyFill="1" applyBorder="1" applyAlignment="1" applyProtection="1">
      <alignment horizontal="center" vertical="center"/>
    </xf>
    <xf numFmtId="9" fontId="9" fillId="0" borderId="3" xfId="5" applyNumberFormat="1" applyFont="1" applyFill="1" applyBorder="1" applyAlignment="1" applyProtection="1">
      <alignment horizontal="center" vertical="center"/>
    </xf>
    <xf numFmtId="9" fontId="15" fillId="0" borderId="14" xfId="5" applyNumberFormat="1" applyFont="1" applyFill="1" applyBorder="1" applyAlignment="1" applyProtection="1">
      <alignment horizontal="center" vertical="center"/>
      <protection locked="0"/>
    </xf>
    <xf numFmtId="0" fontId="10" fillId="0" borderId="26" xfId="1" applyFont="1" applyBorder="1" applyAlignment="1">
      <alignment horizontal="left"/>
    </xf>
    <xf numFmtId="0" fontId="10" fillId="0" borderId="0" xfId="1" applyFont="1" applyBorder="1" applyAlignment="1">
      <alignment horizontal="left"/>
    </xf>
    <xf numFmtId="0" fontId="86" fillId="0" borderId="13" xfId="1" applyFont="1" applyBorder="1" applyAlignment="1">
      <alignment horizontal="center" vertical="center" wrapText="1"/>
    </xf>
    <xf numFmtId="175" fontId="72" fillId="6" borderId="13" xfId="2" applyNumberFormat="1" applyFont="1" applyFill="1" applyBorder="1" applyAlignment="1">
      <alignment horizontal="center"/>
    </xf>
    <xf numFmtId="0" fontId="11" fillId="0" borderId="11" xfId="0" applyFont="1" applyBorder="1" applyAlignment="1" applyProtection="1">
      <alignment horizontal="center" vertical="center"/>
    </xf>
    <xf numFmtId="165" fontId="41" fillId="2" borderId="8" xfId="9" applyNumberFormat="1" applyFont="1" applyFill="1" applyBorder="1" applyAlignment="1" applyProtection="1">
      <alignment horizontal="center" vertical="center"/>
    </xf>
    <xf numFmtId="0" fontId="86" fillId="0" borderId="0" xfId="0" applyFont="1" applyBorder="1" applyAlignment="1">
      <alignment horizontal="center" vertical="center" wrapText="1"/>
    </xf>
    <xf numFmtId="0" fontId="83" fillId="0" borderId="0" xfId="0" applyFont="1"/>
    <xf numFmtId="179" fontId="41" fillId="13" borderId="75" xfId="0" applyNumberFormat="1" applyFont="1" applyFill="1" applyBorder="1" applyAlignment="1">
      <alignment horizontal="center" vertical="center" wrapText="1"/>
    </xf>
    <xf numFmtId="181" fontId="41" fillId="13" borderId="13" xfId="0" applyNumberFormat="1" applyFont="1" applyFill="1" applyBorder="1" applyAlignment="1">
      <alignment horizontal="center" vertical="center" wrapText="1"/>
    </xf>
    <xf numFmtId="0" fontId="4" fillId="13" borderId="76" xfId="0" applyFont="1" applyFill="1" applyBorder="1" applyAlignment="1">
      <alignment horizontal="left" vertical="center"/>
    </xf>
    <xf numFmtId="178" fontId="10" fillId="13" borderId="13" xfId="0" applyNumberFormat="1" applyFont="1" applyFill="1" applyBorder="1" applyAlignment="1">
      <alignment horizontal="center"/>
    </xf>
    <xf numFmtId="178" fontId="95" fillId="13" borderId="13" xfId="0" applyNumberFormat="1" applyFont="1" applyFill="1" applyBorder="1" applyAlignment="1">
      <alignment horizontal="center"/>
    </xf>
    <xf numFmtId="178" fontId="5" fillId="13" borderId="77" xfId="14" applyNumberFormat="1" applyFont="1" applyFill="1" applyBorder="1" applyAlignment="1">
      <alignment horizontal="right"/>
    </xf>
    <xf numFmtId="0" fontId="10" fillId="13" borderId="78" xfId="0" applyFont="1" applyFill="1" applyBorder="1" applyAlignment="1">
      <alignment horizontal="center"/>
    </xf>
    <xf numFmtId="0" fontId="19" fillId="13" borderId="0" xfId="0" applyFont="1" applyFill="1" applyBorder="1"/>
    <xf numFmtId="2" fontId="10" fillId="13" borderId="0" xfId="0" applyNumberFormat="1" applyFont="1" applyFill="1" applyBorder="1"/>
    <xf numFmtId="2" fontId="10" fillId="13" borderId="79" xfId="0" applyNumberFormat="1" applyFont="1" applyFill="1" applyBorder="1" applyAlignment="1">
      <alignment horizontal="right"/>
    </xf>
    <xf numFmtId="0" fontId="96" fillId="0" borderId="0" xfId="0" applyFont="1" applyFill="1" applyBorder="1" applyAlignment="1" applyProtection="1">
      <alignment horizontal="center" vertical="center"/>
    </xf>
    <xf numFmtId="166" fontId="3" fillId="0" borderId="0" xfId="9" applyNumberFormat="1" applyFont="1" applyFill="1" applyBorder="1" applyAlignment="1" applyProtection="1">
      <alignment horizontal="center" vertical="center"/>
    </xf>
    <xf numFmtId="166" fontId="9" fillId="0" borderId="0" xfId="9" applyNumberFormat="1" applyFont="1" applyFill="1" applyBorder="1" applyAlignment="1" applyProtection="1">
      <alignment horizontal="center" vertical="center"/>
    </xf>
    <xf numFmtId="166" fontId="4" fillId="0" borderId="0" xfId="9" applyNumberFormat="1" applyFont="1" applyFill="1" applyBorder="1" applyAlignment="1" applyProtection="1">
      <alignment horizontal="center" vertical="center"/>
    </xf>
    <xf numFmtId="165" fontId="3" fillId="9" borderId="41" xfId="9" applyNumberFormat="1" applyFont="1" applyFill="1" applyBorder="1" applyAlignment="1" applyProtection="1">
      <alignment horizontal="center" vertical="center"/>
    </xf>
    <xf numFmtId="165" fontId="3" fillId="9" borderId="44" xfId="9" applyNumberFormat="1" applyFont="1" applyFill="1" applyBorder="1" applyAlignment="1" applyProtection="1">
      <alignment horizontal="center" vertical="center"/>
    </xf>
    <xf numFmtId="165" fontId="3" fillId="9" borderId="0" xfId="9" applyNumberFormat="1" applyFont="1" applyFill="1" applyBorder="1" applyAlignment="1" applyProtection="1">
      <alignment horizontal="center" vertical="center"/>
    </xf>
    <xf numFmtId="165" fontId="4" fillId="9" borderId="0" xfId="9" applyNumberFormat="1" applyFont="1" applyFill="1" applyBorder="1" applyAlignment="1" applyProtection="1">
      <alignment horizontal="center" vertical="center"/>
    </xf>
    <xf numFmtId="165" fontId="4" fillId="9" borderId="26" xfId="9" applyNumberFormat="1" applyFont="1" applyFill="1" applyBorder="1" applyAlignment="1" applyProtection="1">
      <alignment horizontal="center" vertical="center"/>
    </xf>
    <xf numFmtId="165" fontId="12" fillId="2" borderId="3" xfId="9" applyNumberFormat="1" applyFont="1" applyFill="1" applyBorder="1" applyAlignment="1" applyProtection="1">
      <alignment horizontal="center" vertical="center"/>
    </xf>
    <xf numFmtId="0" fontId="97" fillId="0" borderId="0" xfId="0" applyFont="1" applyBorder="1" applyAlignment="1" applyProtection="1">
      <alignment horizontal="center" vertical="center" wrapText="1"/>
    </xf>
    <xf numFmtId="164" fontId="9" fillId="0" borderId="0" xfId="9" applyNumberFormat="1" applyFont="1" applyFill="1" applyBorder="1" applyAlignment="1" applyProtection="1">
      <alignment horizontal="left" vertical="center"/>
    </xf>
    <xf numFmtId="0" fontId="66" fillId="0" borderId="80" xfId="11" applyNumberFormat="1" applyFont="1" applyBorder="1" applyAlignment="1" applyProtection="1">
      <alignment horizontal="center" vertical="center"/>
      <protection locked="0"/>
    </xf>
    <xf numFmtId="166" fontId="23" fillId="0" borderId="13" xfId="9" applyNumberFormat="1" applyFont="1" applyBorder="1" applyAlignment="1">
      <alignment horizontal="right"/>
    </xf>
    <xf numFmtId="3" fontId="3" fillId="0" borderId="13" xfId="4" applyNumberFormat="1" applyFont="1" applyBorder="1" applyAlignment="1">
      <alignment horizontal="right"/>
    </xf>
    <xf numFmtId="166" fontId="3" fillId="0" borderId="13" xfId="9" applyNumberFormat="1" applyFont="1" applyBorder="1" applyAlignment="1"/>
    <xf numFmtId="168" fontId="3" fillId="0" borderId="13" xfId="5" applyNumberFormat="1" applyFont="1" applyBorder="1" applyAlignment="1"/>
    <xf numFmtId="0" fontId="11" fillId="0" borderId="11" xfId="0" applyFont="1" applyBorder="1" applyAlignment="1" applyProtection="1">
      <alignment horizontal="center" vertical="center"/>
    </xf>
    <xf numFmtId="0" fontId="11" fillId="0" borderId="81" xfId="0" applyFont="1" applyBorder="1" applyAlignment="1" applyProtection="1">
      <alignment horizontal="center" vertical="center"/>
    </xf>
    <xf numFmtId="168" fontId="4" fillId="0" borderId="60" xfId="5" applyNumberFormat="1" applyFont="1" applyBorder="1" applyAlignment="1">
      <alignment horizontal="center" vertical="center"/>
    </xf>
    <xf numFmtId="168" fontId="4" fillId="0" borderId="85" xfId="5" applyNumberFormat="1" applyFont="1" applyBorder="1" applyAlignment="1">
      <alignment horizontal="center" vertical="center"/>
    </xf>
    <xf numFmtId="168" fontId="4" fillId="0" borderId="0" xfId="5" applyNumberFormat="1" applyFont="1" applyBorder="1" applyAlignment="1">
      <alignment horizontal="center" vertical="center"/>
    </xf>
    <xf numFmtId="0" fontId="4" fillId="0" borderId="83" xfId="1" applyFont="1" applyBorder="1" applyAlignment="1">
      <alignment horizontal="center" vertical="center" wrapText="1"/>
    </xf>
    <xf numFmtId="0" fontId="4" fillId="0" borderId="84" xfId="1" applyFont="1" applyBorder="1" applyAlignment="1">
      <alignment horizontal="center" vertical="center" wrapText="1"/>
    </xf>
    <xf numFmtId="0" fontId="58" fillId="0" borderId="83" xfId="1" applyFont="1" applyBorder="1" applyAlignment="1">
      <alignment horizontal="center" vertical="center" wrapText="1"/>
    </xf>
    <xf numFmtId="0" fontId="58" fillId="0" borderId="84" xfId="1" applyFont="1" applyBorder="1" applyAlignment="1">
      <alignment horizontal="center" vertical="center" wrapText="1"/>
    </xf>
    <xf numFmtId="168" fontId="4" fillId="0" borderId="60" xfId="1" applyNumberFormat="1" applyFont="1" applyBorder="1" applyAlignment="1">
      <alignment horizontal="center" vertical="center" wrapText="1"/>
    </xf>
    <xf numFmtId="168" fontId="4" fillId="0" borderId="82" xfId="1" applyNumberFormat="1" applyFont="1" applyBorder="1" applyAlignment="1">
      <alignment horizontal="center" vertical="center" wrapText="1"/>
    </xf>
    <xf numFmtId="0" fontId="82" fillId="0" borderId="83" xfId="1" applyFont="1" applyBorder="1" applyAlignment="1">
      <alignment horizontal="center" vertical="center" wrapText="1"/>
    </xf>
    <xf numFmtId="0" fontId="82" fillId="0" borderId="84" xfId="1" applyFont="1" applyBorder="1" applyAlignment="1">
      <alignment horizontal="center" vertical="center" wrapText="1"/>
    </xf>
    <xf numFmtId="178" fontId="5" fillId="0" borderId="58" xfId="1" applyNumberFormat="1" applyFont="1" applyBorder="1" applyAlignment="1">
      <alignment horizontal="center" vertical="center"/>
    </xf>
    <xf numFmtId="178" fontId="5" fillId="0" borderId="54" xfId="1" applyNumberFormat="1" applyFont="1" applyBorder="1" applyAlignment="1">
      <alignment horizontal="center" vertical="center"/>
    </xf>
    <xf numFmtId="0" fontId="86" fillId="0" borderId="25" xfId="1" applyFont="1" applyBorder="1" applyAlignment="1">
      <alignment horizontal="center" vertical="center" wrapText="1"/>
    </xf>
    <xf numFmtId="0" fontId="86" fillId="0" borderId="20" xfId="1" applyFont="1" applyBorder="1" applyAlignment="1">
      <alignment horizontal="center" vertical="center" wrapText="1"/>
    </xf>
    <xf numFmtId="4" fontId="41" fillId="13" borderId="26" xfId="11" applyNumberFormat="1" applyFont="1" applyFill="1" applyBorder="1" applyAlignment="1">
      <alignment horizontal="right"/>
    </xf>
    <xf numFmtId="0" fontId="10" fillId="13" borderId="86" xfId="0" applyFont="1" applyFill="1" applyBorder="1" applyAlignment="1">
      <alignment horizontal="left" vertical="center"/>
    </xf>
    <xf numFmtId="0" fontId="10" fillId="13" borderId="87" xfId="0" applyFont="1" applyFill="1" applyBorder="1" applyAlignment="1">
      <alignment horizontal="left" vertical="center"/>
    </xf>
    <xf numFmtId="0" fontId="10" fillId="13" borderId="88" xfId="0" applyFont="1" applyFill="1" applyBorder="1" applyAlignment="1">
      <alignment horizontal="center" vertical="center" wrapText="1"/>
    </xf>
    <xf numFmtId="0" fontId="10" fillId="13" borderId="18" xfId="0" applyFont="1" applyFill="1" applyBorder="1" applyAlignment="1">
      <alignment horizontal="center" vertical="center" wrapText="1"/>
    </xf>
    <xf numFmtId="180" fontId="41" fillId="13" borderId="88" xfId="0" applyNumberFormat="1" applyFont="1" applyFill="1" applyBorder="1" applyAlignment="1">
      <alignment horizontal="center" vertical="center" wrapText="1"/>
    </xf>
    <xf numFmtId="180" fontId="41" fillId="13" borderId="18" xfId="0" applyNumberFormat="1" applyFont="1" applyFill="1" applyBorder="1" applyAlignment="1">
      <alignment horizontal="center" vertical="center" wrapText="1"/>
    </xf>
    <xf numFmtId="180" fontId="4" fillId="13" borderId="89" xfId="0" applyNumberFormat="1" applyFont="1" applyFill="1" applyBorder="1" applyAlignment="1">
      <alignment horizontal="center" vertical="center" wrapText="1"/>
    </xf>
    <xf numFmtId="180" fontId="4" fillId="13" borderId="90" xfId="0" applyNumberFormat="1" applyFont="1" applyFill="1" applyBorder="1" applyAlignment="1">
      <alignment horizontal="center" vertical="center" wrapText="1"/>
    </xf>
    <xf numFmtId="0" fontId="4" fillId="14" borderId="91" xfId="0" applyFont="1" applyFill="1" applyBorder="1" applyAlignment="1">
      <alignment horizontal="left" vertical="center" wrapText="1"/>
    </xf>
    <xf numFmtId="0" fontId="0" fillId="0" borderId="55" xfId="0" applyBorder="1" applyAlignment="1">
      <alignment horizontal="left"/>
    </xf>
    <xf numFmtId="175" fontId="10" fillId="14" borderId="55" xfId="0" applyNumberFormat="1" applyFont="1" applyFill="1" applyBorder="1" applyAlignment="1">
      <alignment horizontal="right" vertical="center"/>
    </xf>
    <xf numFmtId="175" fontId="10" fillId="14" borderId="92" xfId="0" applyNumberFormat="1" applyFont="1" applyFill="1" applyBorder="1" applyAlignment="1">
      <alignment horizontal="right" vertical="center"/>
    </xf>
    <xf numFmtId="172" fontId="26" fillId="0" borderId="0" xfId="0" applyNumberFormat="1" applyFont="1" applyFill="1" applyBorder="1" applyAlignment="1" applyProtection="1">
      <alignment horizontal="left"/>
    </xf>
    <xf numFmtId="9" fontId="9" fillId="0" borderId="14" xfId="5" applyNumberFormat="1" applyFont="1" applyFill="1" applyBorder="1" applyAlignment="1" applyProtection="1">
      <alignment horizontal="center" vertical="center"/>
    </xf>
    <xf numFmtId="9" fontId="9" fillId="0" borderId="94" xfId="5" applyNumberFormat="1" applyFont="1" applyFill="1" applyBorder="1" applyAlignment="1" applyProtection="1">
      <alignment horizontal="center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95" xfId="0" applyNumberFormat="1" applyFont="1" applyBorder="1" applyAlignment="1" applyProtection="1">
      <alignment horizontal="center" vertical="center"/>
    </xf>
    <xf numFmtId="0" fontId="2" fillId="0" borderId="49" xfId="0" applyNumberFormat="1" applyFont="1" applyFill="1" applyBorder="1" applyAlignment="1" applyProtection="1">
      <alignment horizontal="left" vertical="center" indent="3"/>
    </xf>
    <xf numFmtId="0" fontId="2" fillId="0" borderId="47" xfId="0" applyNumberFormat="1" applyFont="1" applyFill="1" applyBorder="1" applyAlignment="1" applyProtection="1">
      <alignment horizontal="left" vertical="center" indent="3"/>
    </xf>
    <xf numFmtId="164" fontId="3" fillId="0" borderId="22" xfId="0" quotePrefix="1" applyNumberFormat="1" applyFont="1" applyBorder="1" applyAlignment="1" applyProtection="1">
      <alignment horizontal="center" vertical="center"/>
    </xf>
    <xf numFmtId="164" fontId="3" fillId="0" borderId="23" xfId="0" applyNumberFormat="1" applyFont="1" applyBorder="1" applyAlignment="1" applyProtection="1">
      <alignment horizontal="center" vertical="center"/>
    </xf>
    <xf numFmtId="9" fontId="15" fillId="0" borderId="96" xfId="5" applyNumberFormat="1" applyFont="1" applyFill="1" applyBorder="1" applyAlignment="1" applyProtection="1">
      <alignment horizontal="center" vertical="center"/>
      <protection locked="0"/>
    </xf>
    <xf numFmtId="9" fontId="15" fillId="0" borderId="7" xfId="5" applyNumberFormat="1" applyFont="1" applyFill="1" applyBorder="1" applyAlignment="1" applyProtection="1">
      <alignment horizontal="center" vertical="center"/>
      <protection locked="0"/>
    </xf>
    <xf numFmtId="171" fontId="26" fillId="0" borderId="0" xfId="0" applyNumberFormat="1" applyFont="1" applyFill="1" applyBorder="1" applyAlignment="1" applyProtection="1">
      <alignment horizontal="left"/>
    </xf>
    <xf numFmtId="0" fontId="23" fillId="0" borderId="3" xfId="0" applyFont="1" applyBorder="1" applyAlignment="1" applyProtection="1">
      <alignment horizontal="left" vertical="center" wrapText="1"/>
    </xf>
    <xf numFmtId="0" fontId="23" fillId="0" borderId="0" xfId="0" applyFont="1" applyAlignment="1" applyProtection="1">
      <alignment horizontal="left" vertical="center" wrapText="1"/>
    </xf>
    <xf numFmtId="0" fontId="59" fillId="0" borderId="14" xfId="0" applyNumberFormat="1" applyFont="1" applyFill="1" applyBorder="1" applyAlignment="1" applyProtection="1">
      <alignment horizontal="left" vertical="center" indent="1"/>
      <protection locked="0"/>
    </xf>
    <xf numFmtId="0" fontId="59" fillId="0" borderId="48" xfId="0" applyNumberFormat="1" applyFont="1" applyFill="1" applyBorder="1" applyAlignment="1" applyProtection="1">
      <alignment horizontal="left" vertical="center" indent="1"/>
      <protection locked="0"/>
    </xf>
    <xf numFmtId="165" fontId="41" fillId="2" borderId="8" xfId="9" applyNumberFormat="1" applyFont="1" applyFill="1" applyBorder="1" applyAlignment="1" applyProtection="1">
      <alignment horizontal="center" vertical="center"/>
    </xf>
    <xf numFmtId="165" fontId="41" fillId="2" borderId="9" xfId="9" applyNumberFormat="1" applyFont="1" applyFill="1" applyBorder="1" applyAlignment="1" applyProtection="1">
      <alignment horizontal="center" vertical="center"/>
    </xf>
    <xf numFmtId="165" fontId="4" fillId="0" borderId="31" xfId="9" applyNumberFormat="1" applyFont="1" applyBorder="1" applyAlignment="1" applyProtection="1">
      <alignment horizontal="center" vertical="center"/>
    </xf>
    <xf numFmtId="165" fontId="4" fillId="0" borderId="38" xfId="9" applyNumberFormat="1" applyFont="1" applyBorder="1" applyAlignment="1" applyProtection="1">
      <alignment horizontal="center" vertical="center"/>
    </xf>
    <xf numFmtId="0" fontId="11" fillId="0" borderId="5" xfId="0" applyFont="1" applyBorder="1" applyAlignment="1" applyProtection="1">
      <alignment horizontal="center" vertical="center"/>
    </xf>
    <xf numFmtId="165" fontId="3" fillId="0" borderId="15" xfId="9" applyNumberFormat="1" applyFont="1" applyBorder="1" applyAlignment="1" applyProtection="1">
      <alignment horizontal="center" vertical="center"/>
    </xf>
    <xf numFmtId="165" fontId="3" fillId="0" borderId="45" xfId="9" applyNumberFormat="1" applyFont="1" applyBorder="1" applyAlignment="1" applyProtection="1">
      <alignment horizontal="center" vertical="center"/>
    </xf>
    <xf numFmtId="165" fontId="4" fillId="9" borderId="39" xfId="9" applyNumberFormat="1" applyFont="1" applyFill="1" applyBorder="1" applyAlignment="1" applyProtection="1">
      <alignment horizontal="center" vertical="center"/>
    </xf>
    <xf numFmtId="165" fontId="4" fillId="9" borderId="9" xfId="9" applyNumberFormat="1" applyFont="1" applyFill="1" applyBorder="1" applyAlignment="1" applyProtection="1">
      <alignment horizontal="center" vertical="center"/>
    </xf>
    <xf numFmtId="164" fontId="9" fillId="9" borderId="15" xfId="9" applyNumberFormat="1" applyFont="1" applyFill="1" applyBorder="1" applyAlignment="1" applyProtection="1">
      <alignment horizontal="center" vertical="center"/>
    </xf>
    <xf numFmtId="164" fontId="9" fillId="9" borderId="16" xfId="9" applyNumberFormat="1" applyFont="1" applyFill="1" applyBorder="1" applyAlignment="1" applyProtection="1">
      <alignment horizontal="center" vertical="center"/>
    </xf>
    <xf numFmtId="164" fontId="9" fillId="9" borderId="0" xfId="9" applyNumberFormat="1" applyFont="1" applyFill="1" applyBorder="1" applyAlignment="1" applyProtection="1">
      <alignment horizontal="center" vertical="center"/>
    </xf>
    <xf numFmtId="165" fontId="4" fillId="9" borderId="31" xfId="9" applyNumberFormat="1" applyFont="1" applyFill="1" applyBorder="1" applyAlignment="1" applyProtection="1">
      <alignment horizontal="center" vertical="center"/>
    </xf>
    <xf numFmtId="165" fontId="4" fillId="9" borderId="38" xfId="9" applyNumberFormat="1" applyFont="1" applyFill="1" applyBorder="1" applyAlignment="1" applyProtection="1">
      <alignment horizontal="center" vertical="center"/>
    </xf>
    <xf numFmtId="165" fontId="4" fillId="0" borderId="39" xfId="9" applyNumberFormat="1" applyFont="1" applyBorder="1" applyAlignment="1" applyProtection="1">
      <alignment horizontal="center" vertical="center"/>
    </xf>
    <xf numFmtId="165" fontId="4" fillId="0" borderId="9" xfId="9" applyNumberFormat="1" applyFont="1" applyBorder="1" applyAlignment="1" applyProtection="1">
      <alignment horizontal="center" vertical="center"/>
    </xf>
    <xf numFmtId="0" fontId="11" fillId="0" borderId="93" xfId="0" applyFont="1" applyBorder="1" applyAlignment="1" applyProtection="1">
      <alignment horizontal="center" vertical="center"/>
    </xf>
    <xf numFmtId="165" fontId="3" fillId="9" borderId="15" xfId="9" applyNumberFormat="1" applyFont="1" applyFill="1" applyBorder="1" applyAlignment="1" applyProtection="1">
      <alignment horizontal="center" vertical="center"/>
    </xf>
    <xf numFmtId="165" fontId="3" fillId="9" borderId="45" xfId="9" applyNumberFormat="1" applyFont="1" applyFill="1" applyBorder="1" applyAlignment="1" applyProtection="1">
      <alignment horizontal="center" vertical="center"/>
    </xf>
    <xf numFmtId="0" fontId="3" fillId="0" borderId="49" xfId="0" applyNumberFormat="1" applyFont="1" applyFill="1" applyBorder="1" applyAlignment="1" applyProtection="1">
      <alignment horizontal="left" vertical="center" indent="3"/>
    </xf>
    <xf numFmtId="0" fontId="0" fillId="0" borderId="47" xfId="0" applyBorder="1" applyAlignment="1">
      <alignment horizontal="left" vertical="center" indent="3"/>
    </xf>
    <xf numFmtId="167" fontId="9" fillId="9" borderId="15" xfId="9" applyNumberFormat="1" applyFont="1" applyFill="1" applyBorder="1" applyAlignment="1" applyProtection="1">
      <alignment horizontal="center" vertical="center" textRotation="40"/>
    </xf>
    <xf numFmtId="167" fontId="9" fillId="9" borderId="0" xfId="9" applyNumberFormat="1" applyFont="1" applyFill="1" applyBorder="1" applyAlignment="1" applyProtection="1">
      <alignment horizontal="center" vertical="center" textRotation="40"/>
    </xf>
    <xf numFmtId="167" fontId="9" fillId="9" borderId="16" xfId="9" applyNumberFormat="1" applyFont="1" applyFill="1" applyBorder="1" applyAlignment="1" applyProtection="1">
      <alignment horizontal="center" vertical="center" textRotation="40"/>
    </xf>
    <xf numFmtId="0" fontId="36" fillId="0" borderId="0" xfId="0" applyFont="1" applyBorder="1" applyAlignment="1" applyProtection="1">
      <alignment horizontal="center" vertical="center"/>
    </xf>
    <xf numFmtId="165" fontId="3" fillId="0" borderId="31" xfId="9" applyNumberFormat="1" applyFont="1" applyBorder="1" applyAlignment="1" applyProtection="1">
      <alignment horizontal="center" vertical="center"/>
    </xf>
    <xf numFmtId="165" fontId="3" fillId="0" borderId="46" xfId="9" applyNumberFormat="1" applyFont="1" applyBorder="1" applyAlignment="1" applyProtection="1">
      <alignment horizontal="center" vertical="center"/>
    </xf>
    <xf numFmtId="0" fontId="53" fillId="0" borderId="81" xfId="0" applyFont="1" applyBorder="1" applyAlignment="1" applyProtection="1">
      <alignment horizontal="center" vertical="center"/>
      <protection locked="0"/>
    </xf>
    <xf numFmtId="0" fontId="53" fillId="0" borderId="11" xfId="0" applyFont="1" applyBorder="1" applyAlignment="1" applyProtection="1">
      <alignment horizontal="center" vertical="center"/>
      <protection locked="0"/>
    </xf>
    <xf numFmtId="14" fontId="4" fillId="0" borderId="11" xfId="0" applyNumberFormat="1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93" xfId="0" applyFont="1" applyBorder="1" applyAlignment="1" applyProtection="1">
      <alignment horizontal="center" vertical="center"/>
      <protection locked="0"/>
    </xf>
    <xf numFmtId="0" fontId="10" fillId="0" borderId="19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9" xfId="0" applyFont="1" applyBorder="1" applyAlignment="1" applyProtection="1">
      <alignment horizontal="center" vertical="center"/>
    </xf>
    <xf numFmtId="0" fontId="52" fillId="11" borderId="16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</xf>
    <xf numFmtId="0" fontId="52" fillId="11" borderId="15" xfId="0" applyFont="1" applyFill="1" applyBorder="1" applyAlignment="1" applyProtection="1">
      <alignment horizontal="center" vertical="center"/>
    </xf>
    <xf numFmtId="0" fontId="52" fillId="9" borderId="16" xfId="0" applyFont="1" applyFill="1" applyBorder="1" applyAlignment="1" applyProtection="1">
      <alignment horizontal="center" vertical="center"/>
    </xf>
    <xf numFmtId="0" fontId="52" fillId="9" borderId="0" xfId="0" applyFont="1" applyFill="1" applyBorder="1" applyAlignment="1" applyProtection="1">
      <alignment horizontal="center" vertical="center"/>
    </xf>
    <xf numFmtId="0" fontId="52" fillId="9" borderId="15" xfId="0" applyFont="1" applyFill="1" applyBorder="1" applyAlignment="1" applyProtection="1">
      <alignment horizontal="center" vertical="center"/>
    </xf>
    <xf numFmtId="0" fontId="72" fillId="0" borderId="13" xfId="2" applyFont="1" applyBorder="1" applyAlignment="1">
      <alignment horizontal="center" vertical="center" wrapText="1"/>
    </xf>
    <xf numFmtId="175" fontId="70" fillId="0" borderId="24" xfId="2" applyNumberFormat="1" applyFont="1" applyBorder="1" applyAlignment="1">
      <alignment horizontal="center" vertical="center" wrapText="1"/>
    </xf>
    <xf numFmtId="175" fontId="70" fillId="0" borderId="18" xfId="2" applyNumberFormat="1" applyFont="1" applyBorder="1" applyAlignment="1">
      <alignment horizontal="center" vertical="center" wrapText="1"/>
    </xf>
    <xf numFmtId="0" fontId="72" fillId="6" borderId="13" xfId="2" applyFont="1" applyFill="1" applyBorder="1" applyAlignment="1">
      <alignment horizontal="center"/>
    </xf>
    <xf numFmtId="0" fontId="67" fillId="0" borderId="13" xfId="3" applyFont="1" applyBorder="1" applyAlignment="1">
      <alignment horizontal="center" vertical="center" wrapText="1"/>
    </xf>
    <xf numFmtId="0" fontId="67" fillId="5" borderId="24" xfId="3" applyFont="1" applyFill="1" applyBorder="1" applyAlignment="1">
      <alignment horizontal="center"/>
    </xf>
    <xf numFmtId="0" fontId="0" fillId="0" borderId="0" xfId="0" applyAlignment="1">
      <alignment horizontal="left"/>
    </xf>
    <xf numFmtId="43" fontId="24" fillId="0" borderId="0" xfId="0" applyNumberFormat="1" applyFont="1" applyAlignment="1">
      <alignment horizontal="left" wrapText="1"/>
    </xf>
    <xf numFmtId="43" fontId="0" fillId="0" borderId="0" xfId="0" applyNumberFormat="1" applyAlignment="1">
      <alignment horizontal="left" wrapText="1"/>
    </xf>
    <xf numFmtId="0" fontId="63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168" fontId="58" fillId="0" borderId="58" xfId="6" applyNumberFormat="1" applyFont="1" applyBorder="1" applyAlignment="1">
      <alignment horizontal="center" vertical="center"/>
    </xf>
    <xf numFmtId="168" fontId="58" fillId="0" borderId="54" xfId="6" applyNumberFormat="1" applyFont="1" applyBorder="1" applyAlignment="1">
      <alignment horizontal="center" vertical="center"/>
    </xf>
    <xf numFmtId="0" fontId="63" fillId="0" borderId="32" xfId="0" applyFont="1" applyFill="1" applyBorder="1" applyAlignment="1">
      <alignment horizontal="center"/>
    </xf>
    <xf numFmtId="0" fontId="88" fillId="0" borderId="58" xfId="0" applyFont="1" applyFill="1" applyBorder="1" applyAlignment="1">
      <alignment horizontal="center"/>
    </xf>
    <xf numFmtId="0" fontId="89" fillId="0" borderId="32" xfId="0" applyFont="1" applyFill="1" applyBorder="1" applyAlignment="1">
      <alignment horizontal="center"/>
    </xf>
    <xf numFmtId="0" fontId="89" fillId="0" borderId="54" xfId="0" applyFont="1" applyFill="1" applyBorder="1" applyAlignment="1">
      <alignment horizontal="center"/>
    </xf>
    <xf numFmtId="0" fontId="90" fillId="0" borderId="97" xfId="0" applyFont="1" applyFill="1" applyBorder="1" applyAlignment="1">
      <alignment horizontal="center" vertical="center"/>
    </xf>
    <xf numFmtId="0" fontId="63" fillId="0" borderId="11" xfId="0" applyFont="1" applyFill="1" applyBorder="1" applyAlignment="1">
      <alignment horizont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41" fillId="0" borderId="12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174" fontId="5" fillId="0" borderId="25" xfId="0" applyNumberFormat="1" applyFont="1" applyBorder="1" applyAlignment="1">
      <alignment horizontal="center" vertical="center" wrapText="1"/>
    </xf>
    <xf numFmtId="174" fontId="5" fillId="0" borderId="20" xfId="0" applyNumberFormat="1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95" xfId="0" applyFont="1" applyBorder="1" applyAlignment="1">
      <alignment horizontal="center" vertical="center" wrapText="1"/>
    </xf>
    <xf numFmtId="0" fontId="3" fillId="0" borderId="99" xfId="4" applyFont="1" applyBorder="1" applyAlignment="1">
      <alignment horizontal="right"/>
    </xf>
    <xf numFmtId="0" fontId="3" fillId="0" borderId="58" xfId="4" applyFont="1" applyBorder="1" applyAlignment="1">
      <alignment horizontal="left"/>
    </xf>
    <xf numFmtId="0" fontId="3" fillId="0" borderId="54" xfId="4" applyFont="1" applyBorder="1" applyAlignment="1">
      <alignment horizontal="left"/>
    </xf>
    <xf numFmtId="0" fontId="23" fillId="10" borderId="32" xfId="4" applyFont="1" applyFill="1" applyBorder="1" applyAlignment="1">
      <alignment horizontal="center"/>
    </xf>
    <xf numFmtId="0" fontId="3" fillId="0" borderId="41" xfId="4" applyFont="1" applyBorder="1" applyAlignment="1">
      <alignment horizontal="left"/>
    </xf>
    <xf numFmtId="10" fontId="45" fillId="0" borderId="81" xfId="0" applyNumberFormat="1" applyFont="1" applyBorder="1" applyAlignment="1" applyProtection="1">
      <alignment horizontal="center" vertical="center"/>
    </xf>
    <xf numFmtId="0" fontId="45" fillId="0" borderId="11" xfId="0" applyFont="1" applyBorder="1" applyAlignment="1" applyProtection="1">
      <alignment horizontal="center" vertical="center"/>
    </xf>
    <xf numFmtId="0" fontId="49" fillId="0" borderId="58" xfId="0" applyFont="1" applyBorder="1" applyAlignment="1" applyProtection="1">
      <alignment horizontal="center" vertical="center" wrapText="1"/>
    </xf>
    <xf numFmtId="0" fontId="38" fillId="0" borderId="32" xfId="0" applyFont="1" applyBorder="1" applyAlignment="1" applyProtection="1">
      <alignment horizontal="center" vertical="center"/>
    </xf>
    <xf numFmtId="0" fontId="23" fillId="0" borderId="14" xfId="0" applyNumberFormat="1" applyFont="1" applyFill="1" applyBorder="1" applyAlignment="1" applyProtection="1">
      <alignment horizontal="left" vertical="center" indent="1"/>
    </xf>
    <xf numFmtId="0" fontId="23" fillId="0" borderId="15" xfId="0" applyNumberFormat="1" applyFont="1" applyFill="1" applyBorder="1" applyAlignment="1" applyProtection="1">
      <alignment horizontal="left" vertical="center" indent="1"/>
    </xf>
    <xf numFmtId="0" fontId="41" fillId="0" borderId="2" xfId="0" applyFont="1" applyBorder="1" applyAlignment="1" applyProtection="1">
      <alignment horizontal="center" vertical="center"/>
    </xf>
    <xf numFmtId="0" fontId="41" fillId="0" borderId="3" xfId="0" applyFont="1" applyBorder="1" applyAlignment="1" applyProtection="1">
      <alignment horizontal="center" vertical="center"/>
    </xf>
    <xf numFmtId="0" fontId="10" fillId="0" borderId="100" xfId="0" applyFont="1" applyBorder="1" applyAlignment="1" applyProtection="1">
      <alignment horizontal="center" vertical="center"/>
    </xf>
    <xf numFmtId="0" fontId="10" fillId="0" borderId="101" xfId="0" applyFont="1" applyBorder="1" applyAlignment="1" applyProtection="1">
      <alignment horizontal="center" vertical="center"/>
    </xf>
    <xf numFmtId="0" fontId="10" fillId="0" borderId="97" xfId="0" applyFont="1" applyBorder="1" applyAlignment="1" applyProtection="1">
      <alignment horizontal="center" vertical="center"/>
    </xf>
    <xf numFmtId="167" fontId="9" fillId="5" borderId="3" xfId="9" applyNumberFormat="1" applyFont="1" applyFill="1" applyBorder="1" applyAlignment="1" applyProtection="1">
      <alignment horizontal="center" vertical="center" textRotation="40"/>
    </xf>
    <xf numFmtId="167" fontId="9" fillId="5" borderId="12" xfId="9" applyNumberFormat="1" applyFont="1" applyFill="1" applyBorder="1" applyAlignment="1" applyProtection="1">
      <alignment horizontal="center" vertical="center" textRotation="40"/>
    </xf>
    <xf numFmtId="167" fontId="9" fillId="5" borderId="33" xfId="9" applyNumberFormat="1" applyFont="1" applyFill="1" applyBorder="1" applyAlignment="1" applyProtection="1">
      <alignment horizontal="center" vertical="center" textRotation="40"/>
    </xf>
    <xf numFmtId="167" fontId="9" fillId="5" borderId="20" xfId="9" applyNumberFormat="1" applyFont="1" applyFill="1" applyBorder="1" applyAlignment="1" applyProtection="1">
      <alignment horizontal="center" vertical="center" textRotation="40"/>
    </xf>
    <xf numFmtId="10" fontId="45" fillId="0" borderId="33" xfId="5" applyNumberFormat="1" applyFont="1" applyBorder="1" applyAlignment="1" applyProtection="1">
      <alignment horizontal="center" vertical="center"/>
    </xf>
    <xf numFmtId="10" fontId="45" fillId="0" borderId="3" xfId="5" applyNumberFormat="1" applyFont="1" applyBorder="1" applyAlignment="1" applyProtection="1">
      <alignment horizontal="center" vertical="center"/>
    </xf>
    <xf numFmtId="164" fontId="3" fillId="5" borderId="28" xfId="9" applyNumberFormat="1" applyFont="1" applyFill="1" applyBorder="1" applyAlignment="1" applyProtection="1">
      <alignment horizontal="center" vertical="center"/>
    </xf>
    <xf numFmtId="164" fontId="3" fillId="5" borderId="95" xfId="9" applyNumberFormat="1" applyFont="1" applyFill="1" applyBorder="1" applyAlignment="1" applyProtection="1">
      <alignment horizontal="center" vertical="center"/>
    </xf>
    <xf numFmtId="169" fontId="4" fillId="0" borderId="22" xfId="9" applyNumberFormat="1" applyFont="1" applyFill="1" applyBorder="1" applyAlignment="1" applyProtection="1">
      <alignment horizontal="center" vertical="center"/>
    </xf>
    <xf numFmtId="169" fontId="4" fillId="0" borderId="95" xfId="9" applyNumberFormat="1" applyFont="1" applyFill="1" applyBorder="1" applyAlignment="1" applyProtection="1">
      <alignment horizontal="center" vertical="center"/>
    </xf>
    <xf numFmtId="10" fontId="3" fillId="5" borderId="33" xfId="5" applyNumberFormat="1" applyFont="1" applyFill="1" applyBorder="1" applyAlignment="1" applyProtection="1">
      <alignment horizontal="center" vertical="center"/>
    </xf>
    <xf numFmtId="10" fontId="3" fillId="5" borderId="20" xfId="5" applyNumberFormat="1" applyFont="1" applyFill="1" applyBorder="1" applyAlignment="1" applyProtection="1">
      <alignment horizontal="center" vertical="center"/>
    </xf>
    <xf numFmtId="10" fontId="3" fillId="5" borderId="3" xfId="5" applyNumberFormat="1" applyFont="1" applyFill="1" applyBorder="1" applyAlignment="1" applyProtection="1">
      <alignment horizontal="center" vertical="center"/>
    </xf>
    <xf numFmtId="10" fontId="3" fillId="5" borderId="12" xfId="5" applyNumberFormat="1" applyFont="1" applyFill="1" applyBorder="1" applyAlignment="1" applyProtection="1">
      <alignment horizontal="center" vertical="center"/>
    </xf>
    <xf numFmtId="9" fontId="4" fillId="0" borderId="14" xfId="5" applyNumberFormat="1" applyFont="1" applyFill="1" applyBorder="1" applyAlignment="1" applyProtection="1">
      <alignment horizontal="center" vertical="center"/>
    </xf>
    <xf numFmtId="9" fontId="4" fillId="0" borderId="94" xfId="5" applyNumberFormat="1" applyFont="1" applyFill="1" applyBorder="1" applyAlignment="1" applyProtection="1">
      <alignment horizontal="center" vertical="center"/>
    </xf>
    <xf numFmtId="171" fontId="4" fillId="0" borderId="0" xfId="0" applyNumberFormat="1" applyFont="1" applyFill="1" applyBorder="1" applyAlignment="1" applyProtection="1">
      <alignment horizontal="left"/>
    </xf>
    <xf numFmtId="0" fontId="23" fillId="0" borderId="0" xfId="0" applyFont="1" applyBorder="1" applyAlignment="1" applyProtection="1">
      <alignment horizontal="left" vertical="center" wrapText="1"/>
    </xf>
    <xf numFmtId="10" fontId="3" fillId="5" borderId="25" xfId="5" applyNumberFormat="1" applyFont="1" applyFill="1" applyBorder="1" applyAlignment="1" applyProtection="1">
      <alignment horizontal="center" vertical="center"/>
    </xf>
    <xf numFmtId="10" fontId="3" fillId="5" borderId="19" xfId="5" applyNumberFormat="1" applyFont="1" applyFill="1" applyBorder="1" applyAlignment="1" applyProtection="1">
      <alignment horizontal="center" vertical="center"/>
    </xf>
    <xf numFmtId="10" fontId="3" fillId="5" borderId="26" xfId="5" applyNumberFormat="1" applyFont="1" applyFill="1" applyBorder="1" applyAlignment="1" applyProtection="1">
      <alignment horizontal="center" vertical="center"/>
    </xf>
    <xf numFmtId="10" fontId="3" fillId="5" borderId="8" xfId="5" applyNumberFormat="1" applyFont="1" applyFill="1" applyBorder="1" applyAlignment="1" applyProtection="1">
      <alignment horizontal="center" vertical="center"/>
    </xf>
    <xf numFmtId="164" fontId="3" fillId="5" borderId="22" xfId="9" applyNumberFormat="1" applyFont="1" applyFill="1" applyBorder="1" applyAlignment="1" applyProtection="1">
      <alignment horizontal="center" vertical="center"/>
    </xf>
    <xf numFmtId="164" fontId="3" fillId="5" borderId="23" xfId="9" applyNumberFormat="1" applyFont="1" applyFill="1" applyBorder="1" applyAlignment="1" applyProtection="1">
      <alignment horizontal="center" vertical="center"/>
    </xf>
    <xf numFmtId="9" fontId="4" fillId="0" borderId="96" xfId="5" applyNumberFormat="1" applyFont="1" applyFill="1" applyBorder="1" applyAlignment="1" applyProtection="1">
      <alignment horizontal="center" vertical="center"/>
    </xf>
    <xf numFmtId="9" fontId="4" fillId="0" borderId="7" xfId="5" applyNumberFormat="1" applyFont="1" applyFill="1" applyBorder="1" applyAlignment="1" applyProtection="1">
      <alignment horizontal="center" vertical="center"/>
    </xf>
    <xf numFmtId="9" fontId="3" fillId="0" borderId="15" xfId="0" applyNumberFormat="1" applyFont="1" applyBorder="1" applyAlignment="1" applyProtection="1">
      <alignment horizontal="center" vertical="center"/>
    </xf>
    <xf numFmtId="9" fontId="3" fillId="0" borderId="22" xfId="0" applyNumberFormat="1" applyFont="1" applyBorder="1" applyAlignment="1" applyProtection="1">
      <alignment horizontal="center" vertical="center"/>
    </xf>
    <xf numFmtId="169" fontId="4" fillId="0" borderId="23" xfId="9" applyNumberFormat="1" applyFont="1" applyFill="1" applyBorder="1" applyAlignment="1" applyProtection="1">
      <alignment horizontal="center" vertical="center"/>
    </xf>
  </cellXfs>
  <cellStyles count="15">
    <cellStyle name="Normal" xfId="0" builtinId="0"/>
    <cellStyle name="Normal 2" xfId="1"/>
    <cellStyle name="Normal_Plan1" xfId="2"/>
    <cellStyle name="Normal_Plan2" xfId="3"/>
    <cellStyle name="Normal_Plan3" xfId="4"/>
    <cellStyle name="Porcentagem" xfId="5" builtinId="5"/>
    <cellStyle name="Porcentagem 2" xfId="6"/>
    <cellStyle name="Porcentagem 3" xfId="7"/>
    <cellStyle name="Porcentagem 3 2" xfId="8"/>
    <cellStyle name="Separador de milhares 2" xfId="10"/>
    <cellStyle name="Separador de milhares 2 2" xfId="11"/>
    <cellStyle name="Separador de milhares 3" xfId="12"/>
    <cellStyle name="Separador de milhares 4" xfId="13"/>
    <cellStyle name="Separador de milhares 5" xfId="14"/>
    <cellStyle name="Vírgula" xfId="9" builtinId="3"/>
  </cellStyles>
  <dxfs count="211">
    <dxf>
      <font>
        <color rgb="FFC00000"/>
      </font>
    </dxf>
    <dxf>
      <font>
        <strike val="0"/>
        <condense val="0"/>
        <extend val="0"/>
      </font>
    </dxf>
    <dxf>
      <font>
        <strike val="0"/>
        <condense val="0"/>
        <extend val="0"/>
      </font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 val="0"/>
        <i val="0"/>
        <condense val="0"/>
        <extend val="0"/>
        <u val="none"/>
      </font>
    </dxf>
    <dxf>
      <fill>
        <patternFill>
          <bgColor theme="4" tint="0.79998168889431442"/>
        </patternFill>
      </fill>
    </dxf>
    <dxf>
      <fill>
        <patternFill>
          <bgColor rgb="FFADDB7B"/>
        </patternFill>
      </fill>
    </dxf>
    <dxf>
      <fill>
        <patternFill>
          <bgColor rgb="FFFFFF99"/>
        </patternFill>
      </fill>
    </dxf>
    <dxf>
      <fill>
        <patternFill>
          <bgColor rgb="FFFF3300"/>
        </patternFill>
      </fill>
    </dxf>
    <dxf>
      <fill>
        <patternFill>
          <bgColor theme="4" tint="0.79998168889431442"/>
        </patternFill>
      </fill>
    </dxf>
    <dxf>
      <fill>
        <patternFill>
          <bgColor rgb="FFADDB7B"/>
        </patternFill>
      </fill>
    </dxf>
    <dxf>
      <fill>
        <patternFill>
          <bgColor rgb="FFFFFF99"/>
        </patternFill>
      </fill>
    </dxf>
    <dxf>
      <fill>
        <patternFill>
          <bgColor rgb="FFFF33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/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condense val="0"/>
        <extend val="0"/>
      </font>
      <fill>
        <patternFill>
          <bgColor indexed="9"/>
        </patternFill>
      </fill>
      <border>
        <left/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u val="none"/>
        <color indexed="12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9"/>
        </patternFill>
      </fill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ont>
        <strike val="0"/>
        <condense val="0"/>
        <extend val="0"/>
      </font>
    </dxf>
    <dxf>
      <font>
        <strike val="0"/>
        <condense val="0"/>
        <extend val="0"/>
      </font>
    </dxf>
    <dxf>
      <font>
        <b val="0"/>
        <i val="0"/>
        <strike val="0"/>
        <condense val="0"/>
        <extend val="0"/>
        <u val="none"/>
      </font>
      <fill>
        <patternFill>
          <bgColor indexed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4" tint="0.79998168889431442"/>
        </patternFill>
      </fill>
    </dxf>
    <dxf>
      <fill>
        <patternFill>
          <bgColor rgb="FFADDB7B"/>
        </patternFill>
      </fill>
    </dxf>
    <dxf>
      <fill>
        <patternFill>
          <bgColor rgb="FFFFFF99"/>
        </patternFill>
      </fill>
    </dxf>
    <dxf>
      <fill>
        <patternFill>
          <bgColor rgb="FFFF3300"/>
        </patternFill>
      </fill>
    </dxf>
    <dxf>
      <fill>
        <patternFill>
          <bgColor theme="4" tint="0.79998168889431442"/>
        </patternFill>
      </fill>
    </dxf>
    <dxf>
      <fill>
        <patternFill>
          <bgColor rgb="FFADDB7B"/>
        </patternFill>
      </fill>
    </dxf>
    <dxf>
      <fill>
        <patternFill>
          <bgColor rgb="FFFFFF99"/>
        </patternFill>
      </fill>
    </dxf>
    <dxf>
      <fill>
        <patternFill>
          <bgColor rgb="FFFF3300"/>
        </patternFill>
      </fill>
    </dxf>
    <dxf>
      <fill>
        <patternFill>
          <bgColor theme="4" tint="0.79998168889431442"/>
        </patternFill>
      </fill>
    </dxf>
    <dxf>
      <fill>
        <patternFill>
          <bgColor rgb="FFADDB7B"/>
        </patternFill>
      </fill>
    </dxf>
    <dxf>
      <fill>
        <patternFill>
          <bgColor rgb="FFFFFF99"/>
        </patternFill>
      </fill>
    </dxf>
    <dxf>
      <fill>
        <patternFill>
          <bgColor rgb="FFFF3300"/>
        </patternFill>
      </fill>
    </dxf>
    <dxf>
      <fill>
        <patternFill>
          <bgColor theme="4" tint="0.79998168889431442"/>
        </patternFill>
      </fill>
    </dxf>
    <dxf>
      <fill>
        <patternFill>
          <bgColor rgb="FFADDB7B"/>
        </patternFill>
      </fill>
    </dxf>
    <dxf>
      <fill>
        <patternFill>
          <bgColor rgb="FFFFFF99"/>
        </patternFill>
      </fill>
    </dxf>
    <dxf>
      <fill>
        <patternFill>
          <bgColor rgb="FFFF33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4" tint="0.79998168889431442"/>
        </patternFill>
      </fill>
    </dxf>
    <dxf>
      <fill>
        <patternFill>
          <bgColor rgb="FFADDB7B"/>
        </patternFill>
      </fill>
    </dxf>
    <dxf>
      <fill>
        <patternFill>
          <bgColor rgb="FFFFFF99"/>
        </patternFill>
      </fill>
    </dxf>
    <dxf>
      <fill>
        <patternFill>
          <bgColor rgb="FFFF33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F0EFFB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12306929375733"/>
          <c:y val="5.2937937731605621E-2"/>
          <c:w val="0.73699752047123168"/>
          <c:h val="0.813264911350811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Graf_Quanti!$C$3</c:f>
              <c:strCache>
                <c:ptCount val="1"/>
                <c:pt idx="0">
                  <c:v>2006</c:v>
                </c:pt>
              </c:strCache>
            </c:strRef>
          </c:tx>
          <c:spPr>
            <a:solidFill>
              <a:srgbClr val="FFFF66"/>
            </a:solidFill>
            <a:ln w="15875" cap="rnd"/>
          </c:spPr>
          <c:invertIfNegative val="0"/>
          <c:dLbls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Graf_Quanti!$B$4:$B$9</c:f>
              <c:strCache>
                <c:ptCount val="6"/>
                <c:pt idx="0">
                  <c:v>Nota Final</c:v>
                </c:pt>
                <c:pt idx="2">
                  <c:v>Capital</c:v>
                </c:pt>
                <c:pt idx="3">
                  <c:v>Ativos</c:v>
                </c:pt>
                <c:pt idx="4">
                  <c:v>Exigibilidades Liquidez</c:v>
                </c:pt>
                <c:pt idx="5">
                  <c:v>Resultados</c:v>
                </c:pt>
              </c:strCache>
            </c:strRef>
          </c:cat>
          <c:val>
            <c:numRef>
              <c:f>Graf_Quanti!$C$4:$C$9</c:f>
              <c:numCache>
                <c:formatCode>_(* #,##0.0_);_(* \(#,##0.0\);_(* "-"??_);_(@_)</c:formatCode>
                <c:ptCount val="6"/>
                <c:pt idx="0">
                  <c:v>4</c:v>
                </c:pt>
                <c:pt idx="2">
                  <c:v>2.9</c:v>
                </c:pt>
                <c:pt idx="3">
                  <c:v>3.5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</c:ser>
        <c:ser>
          <c:idx val="1"/>
          <c:order val="1"/>
          <c:tx>
            <c:strRef>
              <c:f>Graf_Quanti!$D$3</c:f>
              <c:strCache>
                <c:ptCount val="1"/>
                <c:pt idx="0">
                  <c:v>2009</c:v>
                </c:pt>
              </c:strCache>
            </c:strRef>
          </c:tx>
          <c:spPr>
            <a:solidFill>
              <a:srgbClr val="4F81BD"/>
            </a:solidFill>
          </c:spPr>
          <c:invertIfNegative val="0"/>
          <c:dLbls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Graf_Quanti!$B$4:$B$9</c:f>
              <c:strCache>
                <c:ptCount val="6"/>
                <c:pt idx="0">
                  <c:v>Nota Final</c:v>
                </c:pt>
                <c:pt idx="2">
                  <c:v>Capital</c:v>
                </c:pt>
                <c:pt idx="3">
                  <c:v>Ativos</c:v>
                </c:pt>
                <c:pt idx="4">
                  <c:v>Exigibilidades Liquidez</c:v>
                </c:pt>
                <c:pt idx="5">
                  <c:v>Resultados</c:v>
                </c:pt>
              </c:strCache>
            </c:strRef>
          </c:cat>
          <c:val>
            <c:numRef>
              <c:f>Graf_Quanti!$D$4:$D$9</c:f>
              <c:numCache>
                <c:formatCode>_(* #,##0.0_);_(* \(#,##0.0\);_(* "-"??_);_(@_)</c:formatCode>
                <c:ptCount val="6"/>
                <c:pt idx="0">
                  <c:v>3.9</c:v>
                </c:pt>
                <c:pt idx="2">
                  <c:v>3.4</c:v>
                </c:pt>
                <c:pt idx="3">
                  <c:v>3.3</c:v>
                </c:pt>
                <c:pt idx="4">
                  <c:v>3</c:v>
                </c:pt>
                <c:pt idx="5">
                  <c:v>3.9</c:v>
                </c:pt>
              </c:numCache>
            </c:numRef>
          </c:val>
        </c:ser>
        <c:ser>
          <c:idx val="3"/>
          <c:order val="2"/>
          <c:tx>
            <c:strRef>
              <c:f>Graf_Quanti!$E$3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Graf_Quanti!$B$4:$B$9</c:f>
              <c:strCache>
                <c:ptCount val="6"/>
                <c:pt idx="0">
                  <c:v>Nota Final</c:v>
                </c:pt>
                <c:pt idx="2">
                  <c:v>Capital</c:v>
                </c:pt>
                <c:pt idx="3">
                  <c:v>Ativos</c:v>
                </c:pt>
                <c:pt idx="4">
                  <c:v>Exigibilidades Liquidez</c:v>
                </c:pt>
                <c:pt idx="5">
                  <c:v>Resultados</c:v>
                </c:pt>
              </c:strCache>
            </c:strRef>
          </c:cat>
          <c:val>
            <c:numRef>
              <c:f>Graf_Quanti!$E$4:$E$9</c:f>
              <c:numCache>
                <c:formatCode>_(* #,##0.0_);_(* \(#,##0.0\);_(* "-"??_);_(@_)</c:formatCode>
                <c:ptCount val="6"/>
                <c:pt idx="0">
                  <c:v>3.6</c:v>
                </c:pt>
                <c:pt idx="2">
                  <c:v>3.8</c:v>
                </c:pt>
                <c:pt idx="3">
                  <c:v>3.5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28791296"/>
        <c:axId val="128792832"/>
      </c:barChart>
      <c:catAx>
        <c:axId val="12879129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8792832"/>
        <c:crossesAt val="5"/>
        <c:auto val="1"/>
        <c:lblAlgn val="ctr"/>
        <c:lblOffset val="100"/>
        <c:tickLblSkip val="1"/>
        <c:tickMarkSkip val="1"/>
        <c:noMultiLvlLbl val="0"/>
      </c:catAx>
      <c:valAx>
        <c:axId val="128792832"/>
        <c:scaling>
          <c:orientation val="maxMin"/>
          <c:max val="5"/>
          <c:min val="0"/>
        </c:scaling>
        <c:delete val="0"/>
        <c:axPos val="l"/>
        <c:majorGridlines/>
        <c:numFmt formatCode="[Black][&lt;=4]#,##0.00;[White][=5]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8791296"/>
        <c:crosses val="autoZero"/>
        <c:crossBetween val="between"/>
        <c:majorUnit val="1"/>
      </c:valAx>
    </c:plotArea>
    <c:legend>
      <c:legendPos val="l"/>
      <c:layout>
        <c:manualLayout>
          <c:xMode val="edge"/>
          <c:yMode val="edge"/>
          <c:x val="3.8529772013792395E-2"/>
          <c:y val="0.41545299694681032"/>
          <c:w val="0.10628885114850839"/>
          <c:h val="0.21563254593175857"/>
        </c:manualLayout>
      </c:layout>
      <c:overlay val="0"/>
      <c:spPr>
        <a:ln>
          <a:solidFill>
            <a:schemeClr val="tx2"/>
          </a:solidFill>
        </a:ln>
      </c:spPr>
      <c:txPr>
        <a:bodyPr/>
        <a:lstStyle/>
        <a:p>
          <a:pPr>
            <a:defRPr sz="9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1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065" footer="0.4921259850000006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226227480727217"/>
          <c:y val="3.9260160973029071E-3"/>
          <c:w val="0.77339346110484841"/>
          <c:h val="0.883462556542134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Graf_Quali!$C$3</c:f>
              <c:strCache>
                <c:ptCount val="1"/>
                <c:pt idx="0">
                  <c:v>2008</c:v>
                </c:pt>
              </c:strCache>
            </c:strRef>
          </c:tx>
          <c:spPr>
            <a:solidFill>
              <a:srgbClr val="FFFF66"/>
            </a:solidFill>
          </c:spPr>
          <c:invertIfNegative val="0"/>
          <c:dLbls>
            <c:spPr>
              <a:gradFill>
                <a:gsLst>
                  <a:gs pos="50000">
                    <a:srgbClr val="4F81BD">
                      <a:tint val="44500"/>
                      <a:satMod val="160000"/>
                      <a:alpha val="26000"/>
                    </a:srgbClr>
                  </a:gs>
                  <a:gs pos="100000">
                    <a:srgbClr val="4F81BD">
                      <a:tint val="23500"/>
                      <a:satMod val="160000"/>
                    </a:srgbClr>
                  </a:gs>
                </a:gsLst>
                <a:lin ang="5400000" scaled="0"/>
              </a:gra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Graf_Quali!$B$4:$B$14</c:f>
              <c:strCache>
                <c:ptCount val="11"/>
                <c:pt idx="0">
                  <c:v>Nota Final</c:v>
                </c:pt>
                <c:pt idx="2">
                  <c:v>Crédito</c:v>
                </c:pt>
                <c:pt idx="3">
                  <c:v>Mercado</c:v>
                </c:pt>
                <c:pt idx="4">
                  <c:v>Liquidez</c:v>
                </c:pt>
                <c:pt idx="5">
                  <c:v>Contágio</c:v>
                </c:pt>
                <c:pt idx="6">
                  <c:v>RO</c:v>
                </c:pt>
                <c:pt idx="7">
                  <c:v>Reputação</c:v>
                </c:pt>
                <c:pt idx="8">
                  <c:v>Estrat.</c:v>
                </c:pt>
                <c:pt idx="9">
                  <c:v>TI</c:v>
                </c:pt>
                <c:pt idx="10">
                  <c:v>L.D.</c:v>
                </c:pt>
              </c:strCache>
            </c:strRef>
          </c:cat>
          <c:val>
            <c:numRef>
              <c:f>Graf_Quali!$C$4:$C$14</c:f>
              <c:numCache>
                <c:formatCode>_(* #,##0.00_);_(* \(#,##0.00\);_(* "-"??_);_(@_)</c:formatCode>
                <c:ptCount val="11"/>
                <c:pt idx="0">
                  <c:v>1.59</c:v>
                </c:pt>
                <c:pt idx="2">
                  <c:v>1.62</c:v>
                </c:pt>
                <c:pt idx="3">
                  <c:v>1.54</c:v>
                </c:pt>
                <c:pt idx="4">
                  <c:v>1.34</c:v>
                </c:pt>
                <c:pt idx="5">
                  <c:v>1.17</c:v>
                </c:pt>
                <c:pt idx="6">
                  <c:v>1</c:v>
                </c:pt>
                <c:pt idx="7">
                  <c:v>1.41</c:v>
                </c:pt>
                <c:pt idx="8">
                  <c:v>2.44</c:v>
                </c:pt>
                <c:pt idx="9">
                  <c:v>4</c:v>
                </c:pt>
                <c:pt idx="10">
                  <c:v>1.55</c:v>
                </c:pt>
              </c:numCache>
            </c:numRef>
          </c:val>
        </c:ser>
        <c:ser>
          <c:idx val="1"/>
          <c:order val="1"/>
          <c:tx>
            <c:strRef>
              <c:f>Graf_Quali!$D$3</c:f>
              <c:strCache>
                <c:ptCount val="1"/>
                <c:pt idx="0">
                  <c:v>2009</c:v>
                </c:pt>
              </c:strCache>
            </c:strRef>
          </c:tx>
          <c:spPr>
            <a:solidFill>
              <a:srgbClr val="4F81BD"/>
            </a:solidFill>
          </c:spPr>
          <c:invertIfNegative val="0"/>
          <c:dLbls>
            <c:spPr>
              <a:gradFill>
                <a:gsLst>
                  <a:gs pos="50000">
                    <a:srgbClr val="4F81BD">
                      <a:tint val="44500"/>
                      <a:satMod val="160000"/>
                      <a:alpha val="25000"/>
                    </a:srgbClr>
                  </a:gs>
                  <a:gs pos="100000">
                    <a:srgbClr val="4F81BD">
                      <a:tint val="23500"/>
                      <a:satMod val="160000"/>
                    </a:srgbClr>
                  </a:gs>
                </a:gsLst>
                <a:lin ang="5400000" scaled="0"/>
              </a:gra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Graf_Quali!$B$4:$B$14</c:f>
              <c:strCache>
                <c:ptCount val="11"/>
                <c:pt idx="0">
                  <c:v>Nota Final</c:v>
                </c:pt>
                <c:pt idx="2">
                  <c:v>Crédito</c:v>
                </c:pt>
                <c:pt idx="3">
                  <c:v>Mercado</c:v>
                </c:pt>
                <c:pt idx="4">
                  <c:v>Liquidez</c:v>
                </c:pt>
                <c:pt idx="5">
                  <c:v>Contágio</c:v>
                </c:pt>
                <c:pt idx="6">
                  <c:v>RO</c:v>
                </c:pt>
                <c:pt idx="7">
                  <c:v>Reputação</c:v>
                </c:pt>
                <c:pt idx="8">
                  <c:v>Estrat.</c:v>
                </c:pt>
                <c:pt idx="9">
                  <c:v>TI</c:v>
                </c:pt>
                <c:pt idx="10">
                  <c:v>L.D.</c:v>
                </c:pt>
              </c:strCache>
            </c:strRef>
          </c:cat>
          <c:val>
            <c:numRef>
              <c:f>Graf_Quali!$D$4:$D$14</c:f>
              <c:numCache>
                <c:formatCode>_(* #,##0.00_);_(* \(#,##0.00\);_(* "-"??_);_(@_)</c:formatCode>
                <c:ptCount val="11"/>
                <c:pt idx="0">
                  <c:v>2.02</c:v>
                </c:pt>
                <c:pt idx="2">
                  <c:v>1.62</c:v>
                </c:pt>
                <c:pt idx="3">
                  <c:v>1.63</c:v>
                </c:pt>
                <c:pt idx="4">
                  <c:v>1.34</c:v>
                </c:pt>
                <c:pt idx="5">
                  <c:v>1.18</c:v>
                </c:pt>
                <c:pt idx="6">
                  <c:v>1</c:v>
                </c:pt>
                <c:pt idx="7">
                  <c:v>2</c:v>
                </c:pt>
                <c:pt idx="8">
                  <c:v>2.44</c:v>
                </c:pt>
                <c:pt idx="9">
                  <c:v>4</c:v>
                </c:pt>
                <c:pt idx="10">
                  <c:v>1</c:v>
                </c:pt>
              </c:numCache>
            </c:numRef>
          </c:val>
        </c:ser>
        <c:ser>
          <c:idx val="3"/>
          <c:order val="2"/>
          <c:tx>
            <c:strRef>
              <c:f>Graf_Quali!$E$3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gradFill>
                <a:gsLst>
                  <a:gs pos="50000">
                    <a:srgbClr val="4F81BD">
                      <a:tint val="44500"/>
                      <a:satMod val="160000"/>
                      <a:alpha val="25000"/>
                    </a:srgbClr>
                  </a:gs>
                  <a:gs pos="100000">
                    <a:srgbClr val="4F81BD">
                      <a:tint val="23500"/>
                      <a:satMod val="160000"/>
                    </a:srgbClr>
                  </a:gs>
                </a:gsLst>
                <a:lin ang="5400000" scaled="0"/>
              </a:gradFill>
              <a:ln w="9525" cap="rnd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Graf_Quali!$B$4:$B$14</c:f>
              <c:strCache>
                <c:ptCount val="11"/>
                <c:pt idx="0">
                  <c:v>Nota Final</c:v>
                </c:pt>
                <c:pt idx="2">
                  <c:v>Crédito</c:v>
                </c:pt>
                <c:pt idx="3">
                  <c:v>Mercado</c:v>
                </c:pt>
                <c:pt idx="4">
                  <c:v>Liquidez</c:v>
                </c:pt>
                <c:pt idx="5">
                  <c:v>Contágio</c:v>
                </c:pt>
                <c:pt idx="6">
                  <c:v>RO</c:v>
                </c:pt>
                <c:pt idx="7">
                  <c:v>Reputação</c:v>
                </c:pt>
                <c:pt idx="8">
                  <c:v>Estrat.</c:v>
                </c:pt>
                <c:pt idx="9">
                  <c:v>TI</c:v>
                </c:pt>
                <c:pt idx="10">
                  <c:v>L.D.</c:v>
                </c:pt>
              </c:strCache>
            </c:strRef>
          </c:cat>
          <c:val>
            <c:numRef>
              <c:f>Graf_Quali!$E$4:$E$14</c:f>
              <c:numCache>
                <c:formatCode>_(* #,##0.00_);_(* \(#,##0.00\);_(* "-"??_);_(@_)</c:formatCode>
                <c:ptCount val="11"/>
                <c:pt idx="0">
                  <c:v>2.0499999999999998</c:v>
                </c:pt>
                <c:pt idx="2">
                  <c:v>2.1</c:v>
                </c:pt>
                <c:pt idx="3">
                  <c:v>2</c:v>
                </c:pt>
                <c:pt idx="4">
                  <c:v>1.4500000000000002</c:v>
                </c:pt>
                <c:pt idx="5">
                  <c:v>1.85</c:v>
                </c:pt>
                <c:pt idx="6">
                  <c:v>2</c:v>
                </c:pt>
                <c:pt idx="7">
                  <c:v>2</c:v>
                </c:pt>
                <c:pt idx="8">
                  <c:v>1.4500000000000002</c:v>
                </c:pt>
                <c:pt idx="9">
                  <c:v>2.6500000000000004</c:v>
                </c:pt>
                <c:pt idx="10">
                  <c:v>3.1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128162816"/>
        <c:axId val="128172800"/>
      </c:barChart>
      <c:catAx>
        <c:axId val="1281628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8172800"/>
        <c:crossesAt val="5"/>
        <c:auto val="1"/>
        <c:lblAlgn val="ctr"/>
        <c:lblOffset val="100"/>
        <c:tickLblSkip val="1"/>
        <c:tickMarkSkip val="1"/>
        <c:noMultiLvlLbl val="0"/>
      </c:catAx>
      <c:valAx>
        <c:axId val="128172800"/>
        <c:scaling>
          <c:orientation val="maxMin"/>
          <c:max val="5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[Black][&lt;=4]#,##0.00;[White][=5]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8162816"/>
        <c:crosses val="autoZero"/>
        <c:crossBetween val="between"/>
        <c:majorUnit val="1"/>
      </c:valAx>
    </c:plotArea>
    <c:legend>
      <c:legendPos val="l"/>
      <c:legendEntry>
        <c:idx val="0"/>
        <c:txPr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</c:legendEntry>
      <c:layout>
        <c:manualLayout>
          <c:xMode val="edge"/>
          <c:yMode val="edge"/>
          <c:x val="3.2465405492133559E-2"/>
          <c:y val="0.38909697931594184"/>
          <c:w val="6.9750398847202952E-2"/>
          <c:h val="0.20615046406870371"/>
        </c:manualLayout>
      </c:layout>
      <c:overlay val="1"/>
      <c:spPr>
        <a:ln>
          <a:solidFill>
            <a:srgbClr val="1F497D"/>
          </a:solidFill>
        </a:ln>
      </c:spPr>
      <c:txPr>
        <a:bodyPr/>
        <a:lstStyle/>
        <a:p>
          <a:pPr>
            <a:defRPr sz="9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065" footer="0.4921259850000006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66675</xdr:rowOff>
        </xdr:from>
        <xdr:to>
          <xdr:col>0</xdr:col>
          <xdr:colOff>1162050</xdr:colOff>
          <xdr:row>1</xdr:row>
          <xdr:rowOff>76200</xdr:rowOff>
        </xdr:to>
        <xdr:sp macro="" textlink="">
          <xdr:nvSpPr>
            <xdr:cNvPr id="662529" name="Button 1" hidden="1">
              <a:extLst>
                <a:ext uri="{63B3BB69-23CF-44E3-9099-C40C66FF867C}">
                  <a14:compatExt spid="_x0000_s66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993300"/>
                  </a:solidFill>
                  <a:latin typeface="Verdana"/>
                  <a:ea typeface="Verdana"/>
                  <a:cs typeface="Verdana"/>
                </a:rPr>
                <a:t>Esconder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923925</xdr:colOff>
          <xdr:row>1</xdr:row>
          <xdr:rowOff>152400</xdr:rowOff>
        </xdr:from>
        <xdr:to>
          <xdr:col>0</xdr:col>
          <xdr:colOff>1895475</xdr:colOff>
          <xdr:row>2</xdr:row>
          <xdr:rowOff>171450</xdr:rowOff>
        </xdr:to>
        <xdr:sp macro="" textlink="">
          <xdr:nvSpPr>
            <xdr:cNvPr id="662530" name="Button 2" hidden="1">
              <a:extLst>
                <a:ext uri="{63B3BB69-23CF-44E3-9099-C40C66FF867C}">
                  <a14:compatExt spid="_x0000_s66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993300"/>
                  </a:solidFill>
                  <a:latin typeface="Verdana"/>
                  <a:ea typeface="Verdana"/>
                  <a:cs typeface="Verdana"/>
                </a:rPr>
                <a:t>Mostrar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1609725</xdr:colOff>
          <xdr:row>0</xdr:row>
          <xdr:rowOff>38100</xdr:rowOff>
        </xdr:from>
        <xdr:to>
          <xdr:col>2</xdr:col>
          <xdr:colOff>628650</xdr:colOff>
          <xdr:row>0</xdr:row>
          <xdr:rowOff>219075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FF0000"/>
                  </a:solidFill>
                  <a:latin typeface="Verdana"/>
                  <a:ea typeface="Verdana"/>
                  <a:cs typeface="Verdana"/>
                </a:rPr>
                <a:t>Esconder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1600200</xdr:colOff>
          <xdr:row>0</xdr:row>
          <xdr:rowOff>266700</xdr:rowOff>
        </xdr:from>
        <xdr:to>
          <xdr:col>2</xdr:col>
          <xdr:colOff>638175</xdr:colOff>
          <xdr:row>1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FF"/>
                  </a:solidFill>
                  <a:latin typeface="Verdana"/>
                  <a:ea typeface="Verdana"/>
                  <a:cs typeface="Verdana"/>
                </a:rPr>
                <a:t>Mostrar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1</xdr:col>
          <xdr:colOff>628650</xdr:colOff>
          <xdr:row>1</xdr:row>
          <xdr:rowOff>180975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Imprimir tudo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versão 1.6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14</xdr:row>
      <xdr:rowOff>0</xdr:rowOff>
    </xdr:from>
    <xdr:to>
      <xdr:col>16</xdr:col>
      <xdr:colOff>285750</xdr:colOff>
      <xdr:row>42</xdr:row>
      <xdr:rowOff>133350</xdr:rowOff>
    </xdr:to>
    <xdr:graphicFrame macro="">
      <xdr:nvGraphicFramePr>
        <xdr:cNvPr id="31051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68" name="Rectangle 1"/>
        <xdr:cNvSpPr>
          <a:spLocks noChangeArrowheads="1"/>
        </xdr:cNvSpPr>
      </xdr:nvSpPr>
      <xdr:spPr bwMode="auto">
        <a:xfrm>
          <a:off x="666750" y="12306300"/>
          <a:ext cx="10639425" cy="0"/>
        </a:xfrm>
        <a:prstGeom prst="rect">
          <a:avLst/>
        </a:prstGeom>
        <a:solidFill>
          <a:srgbClr val="FFFFCC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269" name="Line 2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270" name="Rectangle 3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271" name="Line 4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272" name="Rectangle 5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273" name="Line 6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274" name="Rectangle 7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275" name="Line 8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276" name="Rectangle 9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277" name="Line 10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278" name="Rectangle 11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79" name="Rectangle 12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14" name="Rectangle 13"/>
        <xdr:cNvSpPr>
          <a:spLocks noChangeArrowheads="1"/>
        </xdr:cNvSpPr>
      </xdr:nvSpPr>
      <xdr:spPr bwMode="auto">
        <a:xfrm>
          <a:off x="676275" y="12630150"/>
          <a:ext cx="12077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81" name="Rectangle 14"/>
        <xdr:cNvSpPr>
          <a:spLocks noChangeArrowheads="1"/>
        </xdr:cNvSpPr>
      </xdr:nvSpPr>
      <xdr:spPr bwMode="auto">
        <a:xfrm>
          <a:off x="666750" y="12306300"/>
          <a:ext cx="10639425" cy="0"/>
        </a:xfrm>
        <a:prstGeom prst="rect">
          <a:avLst/>
        </a:prstGeom>
        <a:solidFill>
          <a:srgbClr val="FFFFCC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82" name="Rectangle 15"/>
        <xdr:cNvSpPr>
          <a:spLocks noChangeArrowheads="1"/>
        </xdr:cNvSpPr>
      </xdr:nvSpPr>
      <xdr:spPr bwMode="auto">
        <a:xfrm>
          <a:off x="666750" y="12306300"/>
          <a:ext cx="10639425" cy="0"/>
        </a:xfrm>
        <a:prstGeom prst="rect">
          <a:avLst/>
        </a:prstGeom>
        <a:solidFill>
          <a:srgbClr val="FFFFCC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7</xdr:col>
      <xdr:colOff>457200</xdr:colOff>
      <xdr:row>76</xdr:row>
      <xdr:rowOff>0</xdr:rowOff>
    </xdr:from>
    <xdr:ext cx="65" cy="632966"/>
    <xdr:sp macro="" textlink="">
      <xdr:nvSpPr>
        <xdr:cNvPr id="17" name="Rectangle 16"/>
        <xdr:cNvSpPr>
          <a:spLocks noChangeArrowheads="1"/>
        </xdr:cNvSpPr>
      </xdr:nvSpPr>
      <xdr:spPr bwMode="auto">
        <a:xfrm>
          <a:off x="7115175" y="12630150"/>
          <a:ext cx="65" cy="6329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one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284" name="Line 17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285" name="Rectangle 18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286" name="Line 19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287" name="Rectangle 20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288" name="Line 21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289" name="Rectangle 22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290" name="Line 23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291" name="Rectangle 24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292" name="Line 25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293" name="Rectangle 26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94" name="Line 27"/>
        <xdr:cNvSpPr>
          <a:spLocks noChangeShapeType="1"/>
        </xdr:cNvSpPr>
      </xdr:nvSpPr>
      <xdr:spPr bwMode="auto">
        <a:xfrm>
          <a:off x="676275" y="12306300"/>
          <a:ext cx="106299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95" name="Rectangle 28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96" name="Line 29"/>
        <xdr:cNvSpPr>
          <a:spLocks noChangeShapeType="1"/>
        </xdr:cNvSpPr>
      </xdr:nvSpPr>
      <xdr:spPr bwMode="auto">
        <a:xfrm>
          <a:off x="676275" y="12306300"/>
          <a:ext cx="106299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97" name="Rectangle 30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98" name="Rectangle 31"/>
        <xdr:cNvSpPr>
          <a:spLocks noChangeArrowheads="1"/>
        </xdr:cNvSpPr>
      </xdr:nvSpPr>
      <xdr:spPr bwMode="auto">
        <a:xfrm>
          <a:off x="666750" y="12306300"/>
          <a:ext cx="10639425" cy="0"/>
        </a:xfrm>
        <a:prstGeom prst="rect">
          <a:avLst/>
        </a:prstGeom>
        <a:solidFill>
          <a:srgbClr val="FFFFCC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299" name="Rectangle 32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FFFFCC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00" name="Rectangle 33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FFFFCC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11</xdr:col>
      <xdr:colOff>28575</xdr:colOff>
      <xdr:row>76</xdr:row>
      <xdr:rowOff>0</xdr:rowOff>
    </xdr:from>
    <xdr:ext cx="65" cy="632966"/>
    <xdr:sp macro="" textlink="">
      <xdr:nvSpPr>
        <xdr:cNvPr id="35" name="Rectangle 34"/>
        <xdr:cNvSpPr>
          <a:spLocks noChangeArrowheads="1"/>
        </xdr:cNvSpPr>
      </xdr:nvSpPr>
      <xdr:spPr bwMode="auto">
        <a:xfrm>
          <a:off x="9124950" y="12630150"/>
          <a:ext cx="65" cy="6329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one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02" name="Line 35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03" name="Rectangle 36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04" name="Line 37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05" name="Rectangle 38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06" name="Line 39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07" name="Rectangle 40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08" name="Line 41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09" name="Rectangle 42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10" name="Line 43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11" name="Rectangle 44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12" name="Rectangle 45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13" name="Line 46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14" name="Rectangle 47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15" name="Line 48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16" name="Rectangle 49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17" name="Line 50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18" name="Rectangle 51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19" name="Line 52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20" name="Rectangle 53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21" name="Line 54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22" name="Rectangle 55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23" name="Line 56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24" name="Rectangle 57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25" name="Line 58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26" name="Rectangle 59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27" name="Line 60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28" name="Rectangle 61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29" name="Line 62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30" name="Rectangle 63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31" name="Line 64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32" name="Rectangle 65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33" name="Line 66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34" name="Rectangle 67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35" name="Line 68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36" name="Rectangle 69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37" name="Line 70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38" name="Rectangle 71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39" name="Line 72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40" name="Rectangle 73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41" name="Line 74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42" name="Rectangle 75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43" name="Line 76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44" name="Rectangle 77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45" name="Line 78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46" name="Rectangle 79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47" name="Line 80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48" name="Rectangle 81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49" name="Line 82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50" name="Rectangle 83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51" name="Line 84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52" name="Rectangle 85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53" name="Line 86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54" name="Rectangle 87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55" name="Line 88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56" name="Rectangle 89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57" name="Line 90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58" name="Rectangle 91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59" name="Line 92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60" name="Rectangle 93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61" name="Line 94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62" name="Rectangle 95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63" name="Line 96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64" name="Rectangle 97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65" name="Line 98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66" name="Rectangle 99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67" name="Line 100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68" name="Rectangle 101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69" name="Line 102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70" name="Rectangle 103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1" name="Line 104"/>
        <xdr:cNvSpPr>
          <a:spLocks noChangeShapeType="1"/>
        </xdr:cNvSpPr>
      </xdr:nvSpPr>
      <xdr:spPr bwMode="auto">
        <a:xfrm>
          <a:off x="676275" y="12306300"/>
          <a:ext cx="106299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2" name="Rectangle 105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3" name="Line 106"/>
        <xdr:cNvSpPr>
          <a:spLocks noChangeShapeType="1"/>
        </xdr:cNvSpPr>
      </xdr:nvSpPr>
      <xdr:spPr bwMode="auto">
        <a:xfrm>
          <a:off x="676275" y="12306300"/>
          <a:ext cx="106299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4" name="Rectangle 107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 fLocksText="0">
      <xdr:nvSpPr>
        <xdr:cNvPr id="892375" name="Line 108"/>
        <xdr:cNvSpPr>
          <a:spLocks noChangeShapeType="1"/>
        </xdr:cNvSpPr>
      </xdr:nvSpPr>
      <xdr:spPr bwMode="auto">
        <a:xfrm>
          <a:off x="676275" y="12306300"/>
          <a:ext cx="10629900" cy="0"/>
        </a:xfrm>
        <a:prstGeom prst="line">
          <a:avLst/>
        </a:prstGeom>
        <a:noFill/>
        <a:ln w="0">
          <a:noFill/>
          <a:round/>
          <a:headEnd/>
          <a:tailEnd/>
        </a:ln>
      </xdr:spPr>
    </xdr:sp>
    <xdr:clientData fLocksWithSheet="0"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6" name="Rectangle 109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7" name="Line 110"/>
        <xdr:cNvSpPr>
          <a:spLocks noChangeShapeType="1"/>
        </xdr:cNvSpPr>
      </xdr:nvSpPr>
      <xdr:spPr bwMode="auto">
        <a:xfrm>
          <a:off x="676275" y="12306300"/>
          <a:ext cx="10629900" cy="0"/>
        </a:xfrm>
        <a:prstGeom prst="line">
          <a:avLst/>
        </a:prstGeom>
        <a:noFill/>
        <a:ln w="0">
          <a:noFill/>
          <a:round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8" name="Rectangle 111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79" name="Rectangle 112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80" name="Rectangle 113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81" name="Rectangle 114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82" name="Rectangle 115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83" name="Rectangle 116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84" name="Rectangle 117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85" name="Rectangle 118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386" name="Rectangle 119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15</xdr:col>
      <xdr:colOff>457200</xdr:colOff>
      <xdr:row>76</xdr:row>
      <xdr:rowOff>0</xdr:rowOff>
    </xdr:from>
    <xdr:ext cx="65" cy="632966"/>
    <xdr:sp macro="" textlink="">
      <xdr:nvSpPr>
        <xdr:cNvPr id="121" name="Rectangle 120"/>
        <xdr:cNvSpPr>
          <a:spLocks noChangeArrowheads="1"/>
        </xdr:cNvSpPr>
      </xdr:nvSpPr>
      <xdr:spPr bwMode="auto">
        <a:xfrm>
          <a:off x="11991975" y="12630150"/>
          <a:ext cx="65" cy="6329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oneCellAnchor>
  <xdr:oneCellAnchor>
    <xdr:from>
      <xdr:col>11</xdr:col>
      <xdr:colOff>28575</xdr:colOff>
      <xdr:row>76</xdr:row>
      <xdr:rowOff>0</xdr:rowOff>
    </xdr:from>
    <xdr:ext cx="65" cy="632966"/>
    <xdr:sp macro="" textlink="">
      <xdr:nvSpPr>
        <xdr:cNvPr id="122" name="Rectangle 121"/>
        <xdr:cNvSpPr>
          <a:spLocks noChangeArrowheads="1"/>
        </xdr:cNvSpPr>
      </xdr:nvSpPr>
      <xdr:spPr bwMode="auto">
        <a:xfrm>
          <a:off x="9124950" y="12630150"/>
          <a:ext cx="65" cy="6329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one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89" name="Line 122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390" name="Rectangle 123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391" name="Line 124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392" name="Rectangle 125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393" name="Line 126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394" name="Rectangle 127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395" name="Line 128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396" name="Rectangle 129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397" name="Line 130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398" name="Rectangle 131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399" name="Line 132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400" name="Rectangle 133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401" name="Line 134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402" name="Rectangle 135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403" name="Line 136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404" name="Rectangle 137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405" name="Line 138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406" name="Rectangle 139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314325</xdr:colOff>
      <xdr:row>76</xdr:row>
      <xdr:rowOff>0</xdr:rowOff>
    </xdr:from>
    <xdr:to>
      <xdr:col>7</xdr:col>
      <xdr:colOff>323850</xdr:colOff>
      <xdr:row>76</xdr:row>
      <xdr:rowOff>0</xdr:rowOff>
    </xdr:to>
    <xdr:sp macro="" textlink="">
      <xdr:nvSpPr>
        <xdr:cNvPr id="892407" name="Line 140"/>
        <xdr:cNvSpPr>
          <a:spLocks noChangeShapeType="1"/>
        </xdr:cNvSpPr>
      </xdr:nvSpPr>
      <xdr:spPr bwMode="auto">
        <a:xfrm>
          <a:off x="613410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76</xdr:row>
      <xdr:rowOff>0</xdr:rowOff>
    </xdr:from>
    <xdr:to>
      <xdr:col>7</xdr:col>
      <xdr:colOff>333375</xdr:colOff>
      <xdr:row>76</xdr:row>
      <xdr:rowOff>0</xdr:rowOff>
    </xdr:to>
    <xdr:sp macro="" textlink="">
      <xdr:nvSpPr>
        <xdr:cNvPr id="892408" name="Rectangle 141"/>
        <xdr:cNvSpPr>
          <a:spLocks noChangeArrowheads="1"/>
        </xdr:cNvSpPr>
      </xdr:nvSpPr>
      <xdr:spPr bwMode="auto">
        <a:xfrm>
          <a:off x="613410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409" name="Line 142"/>
        <xdr:cNvSpPr>
          <a:spLocks noChangeShapeType="1"/>
        </xdr:cNvSpPr>
      </xdr:nvSpPr>
      <xdr:spPr bwMode="auto">
        <a:xfrm>
          <a:off x="6791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361950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410" name="Rectangle 143"/>
        <xdr:cNvSpPr>
          <a:spLocks noChangeArrowheads="1"/>
        </xdr:cNvSpPr>
      </xdr:nvSpPr>
      <xdr:spPr bwMode="auto">
        <a:xfrm>
          <a:off x="67913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411" name="Line 144"/>
        <xdr:cNvSpPr>
          <a:spLocks noChangeShapeType="1"/>
        </xdr:cNvSpPr>
      </xdr:nvSpPr>
      <xdr:spPr bwMode="auto">
        <a:xfrm>
          <a:off x="7924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276225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412" name="Rectangle 145"/>
        <xdr:cNvSpPr>
          <a:spLocks noChangeArrowheads="1"/>
        </xdr:cNvSpPr>
      </xdr:nvSpPr>
      <xdr:spPr bwMode="auto">
        <a:xfrm>
          <a:off x="7924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413" name="Line 146"/>
        <xdr:cNvSpPr>
          <a:spLocks noChangeShapeType="1"/>
        </xdr:cNvSpPr>
      </xdr:nvSpPr>
      <xdr:spPr bwMode="auto">
        <a:xfrm>
          <a:off x="9048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76</xdr:row>
      <xdr:rowOff>0</xdr:rowOff>
    </xdr:from>
    <xdr:to>
      <xdr:col>12</xdr:col>
      <xdr:colOff>200025</xdr:colOff>
      <xdr:row>76</xdr:row>
      <xdr:rowOff>0</xdr:rowOff>
    </xdr:to>
    <xdr:sp macro="" textlink="">
      <xdr:nvSpPr>
        <xdr:cNvPr id="892414" name="Rectangle 147"/>
        <xdr:cNvSpPr>
          <a:spLocks noChangeArrowheads="1"/>
        </xdr:cNvSpPr>
      </xdr:nvSpPr>
      <xdr:spPr bwMode="auto">
        <a:xfrm>
          <a:off x="9048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415" name="Line 148"/>
        <xdr:cNvSpPr>
          <a:spLocks noChangeShapeType="1"/>
        </xdr:cNvSpPr>
      </xdr:nvSpPr>
      <xdr:spPr bwMode="auto">
        <a:xfrm>
          <a:off x="104489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416" name="Rectangle 149"/>
        <xdr:cNvSpPr>
          <a:spLocks noChangeArrowheads="1"/>
        </xdr:cNvSpPr>
      </xdr:nvSpPr>
      <xdr:spPr bwMode="auto">
        <a:xfrm>
          <a:off x="104489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323850</xdr:colOff>
      <xdr:row>76</xdr:row>
      <xdr:rowOff>0</xdr:rowOff>
    </xdr:from>
    <xdr:to>
      <xdr:col>7</xdr:col>
      <xdr:colOff>323850</xdr:colOff>
      <xdr:row>76</xdr:row>
      <xdr:rowOff>0</xdr:rowOff>
    </xdr:to>
    <xdr:sp macro="" textlink="">
      <xdr:nvSpPr>
        <xdr:cNvPr id="892417" name="Line 150"/>
        <xdr:cNvSpPr>
          <a:spLocks noChangeShapeType="1"/>
        </xdr:cNvSpPr>
      </xdr:nvSpPr>
      <xdr:spPr bwMode="auto">
        <a:xfrm>
          <a:off x="61436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76</xdr:row>
      <xdr:rowOff>0</xdr:rowOff>
    </xdr:from>
    <xdr:to>
      <xdr:col>7</xdr:col>
      <xdr:colOff>342900</xdr:colOff>
      <xdr:row>76</xdr:row>
      <xdr:rowOff>0</xdr:rowOff>
    </xdr:to>
    <xdr:sp macro="" textlink="">
      <xdr:nvSpPr>
        <xdr:cNvPr id="892418" name="Rectangle 151"/>
        <xdr:cNvSpPr>
          <a:spLocks noChangeArrowheads="1"/>
        </xdr:cNvSpPr>
      </xdr:nvSpPr>
      <xdr:spPr bwMode="auto">
        <a:xfrm>
          <a:off x="61436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371475</xdr:colOff>
      <xdr:row>76</xdr:row>
      <xdr:rowOff>0</xdr:rowOff>
    </xdr:from>
    <xdr:to>
      <xdr:col>8</xdr:col>
      <xdr:colOff>371475</xdr:colOff>
      <xdr:row>76</xdr:row>
      <xdr:rowOff>0</xdr:rowOff>
    </xdr:to>
    <xdr:sp macro="" textlink="">
      <xdr:nvSpPr>
        <xdr:cNvPr id="892419" name="Line 152"/>
        <xdr:cNvSpPr>
          <a:spLocks noChangeShapeType="1"/>
        </xdr:cNvSpPr>
      </xdr:nvSpPr>
      <xdr:spPr bwMode="auto">
        <a:xfrm>
          <a:off x="680085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371475</xdr:colOff>
      <xdr:row>76</xdr:row>
      <xdr:rowOff>0</xdr:rowOff>
    </xdr:from>
    <xdr:to>
      <xdr:col>8</xdr:col>
      <xdr:colOff>381000</xdr:colOff>
      <xdr:row>76</xdr:row>
      <xdr:rowOff>0</xdr:rowOff>
    </xdr:to>
    <xdr:sp macro="" textlink="">
      <xdr:nvSpPr>
        <xdr:cNvPr id="892420" name="Rectangle 153"/>
        <xdr:cNvSpPr>
          <a:spLocks noChangeArrowheads="1"/>
        </xdr:cNvSpPr>
      </xdr:nvSpPr>
      <xdr:spPr bwMode="auto">
        <a:xfrm>
          <a:off x="680085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285750</xdr:colOff>
      <xdr:row>76</xdr:row>
      <xdr:rowOff>0</xdr:rowOff>
    </xdr:from>
    <xdr:to>
      <xdr:col>10</xdr:col>
      <xdr:colOff>285750</xdr:colOff>
      <xdr:row>76</xdr:row>
      <xdr:rowOff>0</xdr:rowOff>
    </xdr:to>
    <xdr:sp macro="" textlink="">
      <xdr:nvSpPr>
        <xdr:cNvPr id="892421" name="Line 154"/>
        <xdr:cNvSpPr>
          <a:spLocks noChangeShapeType="1"/>
        </xdr:cNvSpPr>
      </xdr:nvSpPr>
      <xdr:spPr bwMode="auto">
        <a:xfrm>
          <a:off x="79343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285750</xdr:colOff>
      <xdr:row>76</xdr:row>
      <xdr:rowOff>0</xdr:rowOff>
    </xdr:from>
    <xdr:to>
      <xdr:col>10</xdr:col>
      <xdr:colOff>295275</xdr:colOff>
      <xdr:row>76</xdr:row>
      <xdr:rowOff>0</xdr:rowOff>
    </xdr:to>
    <xdr:sp macro="" textlink="">
      <xdr:nvSpPr>
        <xdr:cNvPr id="892422" name="Rectangle 155"/>
        <xdr:cNvSpPr>
          <a:spLocks noChangeArrowheads="1"/>
        </xdr:cNvSpPr>
      </xdr:nvSpPr>
      <xdr:spPr bwMode="auto">
        <a:xfrm>
          <a:off x="79343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190500</xdr:colOff>
      <xdr:row>76</xdr:row>
      <xdr:rowOff>0</xdr:rowOff>
    </xdr:from>
    <xdr:to>
      <xdr:col>12</xdr:col>
      <xdr:colOff>190500</xdr:colOff>
      <xdr:row>76</xdr:row>
      <xdr:rowOff>0</xdr:rowOff>
    </xdr:to>
    <xdr:sp macro="" textlink="">
      <xdr:nvSpPr>
        <xdr:cNvPr id="892423" name="Line 156"/>
        <xdr:cNvSpPr>
          <a:spLocks noChangeShapeType="1"/>
        </xdr:cNvSpPr>
      </xdr:nvSpPr>
      <xdr:spPr bwMode="auto">
        <a:xfrm>
          <a:off x="90582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190500</xdr:colOff>
      <xdr:row>76</xdr:row>
      <xdr:rowOff>0</xdr:rowOff>
    </xdr:from>
    <xdr:to>
      <xdr:col>12</xdr:col>
      <xdr:colOff>209550</xdr:colOff>
      <xdr:row>76</xdr:row>
      <xdr:rowOff>0</xdr:rowOff>
    </xdr:to>
    <xdr:sp macro="" textlink="">
      <xdr:nvSpPr>
        <xdr:cNvPr id="892424" name="Rectangle 157"/>
        <xdr:cNvSpPr>
          <a:spLocks noChangeArrowheads="1"/>
        </xdr:cNvSpPr>
      </xdr:nvSpPr>
      <xdr:spPr bwMode="auto">
        <a:xfrm>
          <a:off x="905827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371475</xdr:colOff>
      <xdr:row>76</xdr:row>
      <xdr:rowOff>0</xdr:rowOff>
    </xdr:to>
    <xdr:sp macro="" textlink="">
      <xdr:nvSpPr>
        <xdr:cNvPr id="892425" name="Line 158"/>
        <xdr:cNvSpPr>
          <a:spLocks noChangeShapeType="1"/>
        </xdr:cNvSpPr>
      </xdr:nvSpPr>
      <xdr:spPr bwMode="auto">
        <a:xfrm>
          <a:off x="10448925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76</xdr:row>
      <xdr:rowOff>0</xdr:rowOff>
    </xdr:from>
    <xdr:to>
      <xdr:col>14</xdr:col>
      <xdr:colOff>381000</xdr:colOff>
      <xdr:row>76</xdr:row>
      <xdr:rowOff>0</xdr:rowOff>
    </xdr:to>
    <xdr:sp macro="" textlink="">
      <xdr:nvSpPr>
        <xdr:cNvPr id="892426" name="Rectangle 159"/>
        <xdr:cNvSpPr>
          <a:spLocks noChangeArrowheads="1"/>
        </xdr:cNvSpPr>
      </xdr:nvSpPr>
      <xdr:spPr bwMode="auto">
        <a:xfrm>
          <a:off x="10448925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427" name="Rectangle 160"/>
        <xdr:cNvSpPr>
          <a:spLocks noChangeArrowheads="1"/>
        </xdr:cNvSpPr>
      </xdr:nvSpPr>
      <xdr:spPr bwMode="auto">
        <a:xfrm>
          <a:off x="676275" y="12306300"/>
          <a:ext cx="10629900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162" name="Rectangle 161"/>
        <xdr:cNvSpPr>
          <a:spLocks noChangeArrowheads="1"/>
        </xdr:cNvSpPr>
      </xdr:nvSpPr>
      <xdr:spPr bwMode="auto">
        <a:xfrm>
          <a:off x="676275" y="12630150"/>
          <a:ext cx="12077700" cy="0"/>
        </a:xfrm>
        <a:prstGeom prst="rect">
          <a:avLst/>
        </a:prstGeom>
        <a:solidFill>
          <a:srgbClr val="FFFFCC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429" name="Rectangle 162"/>
        <xdr:cNvSpPr>
          <a:spLocks noChangeArrowheads="1"/>
        </xdr:cNvSpPr>
      </xdr:nvSpPr>
      <xdr:spPr bwMode="auto">
        <a:xfrm>
          <a:off x="666750" y="12306300"/>
          <a:ext cx="10639425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304800</xdr:colOff>
      <xdr:row>76</xdr:row>
      <xdr:rowOff>0</xdr:rowOff>
    </xdr:to>
    <xdr:sp macro="" textlink="">
      <xdr:nvSpPr>
        <xdr:cNvPr id="892430" name="Line 163"/>
        <xdr:cNvSpPr>
          <a:spLocks noChangeShapeType="1"/>
        </xdr:cNvSpPr>
      </xdr:nvSpPr>
      <xdr:spPr bwMode="auto">
        <a:xfrm>
          <a:off x="612457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76</xdr:row>
      <xdr:rowOff>0</xdr:rowOff>
    </xdr:from>
    <xdr:to>
      <xdr:col>7</xdr:col>
      <xdr:colOff>314325</xdr:colOff>
      <xdr:row>76</xdr:row>
      <xdr:rowOff>0</xdr:rowOff>
    </xdr:to>
    <xdr:sp macro="" textlink="">
      <xdr:nvSpPr>
        <xdr:cNvPr id="892431" name="Rectangle 164"/>
        <xdr:cNvSpPr>
          <a:spLocks noChangeArrowheads="1"/>
        </xdr:cNvSpPr>
      </xdr:nvSpPr>
      <xdr:spPr bwMode="auto">
        <a:xfrm>
          <a:off x="612457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352425</xdr:colOff>
      <xdr:row>76</xdr:row>
      <xdr:rowOff>0</xdr:rowOff>
    </xdr:from>
    <xdr:to>
      <xdr:col>8</xdr:col>
      <xdr:colOff>352425</xdr:colOff>
      <xdr:row>76</xdr:row>
      <xdr:rowOff>0</xdr:rowOff>
    </xdr:to>
    <xdr:sp macro="" textlink="">
      <xdr:nvSpPr>
        <xdr:cNvPr id="892432" name="Line 165"/>
        <xdr:cNvSpPr>
          <a:spLocks noChangeShapeType="1"/>
        </xdr:cNvSpPr>
      </xdr:nvSpPr>
      <xdr:spPr bwMode="auto">
        <a:xfrm>
          <a:off x="67818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8</xdr:col>
      <xdr:colOff>352425</xdr:colOff>
      <xdr:row>76</xdr:row>
      <xdr:rowOff>0</xdr:rowOff>
    </xdr:from>
    <xdr:to>
      <xdr:col>8</xdr:col>
      <xdr:colOff>361950</xdr:colOff>
      <xdr:row>76</xdr:row>
      <xdr:rowOff>0</xdr:rowOff>
    </xdr:to>
    <xdr:sp macro="" textlink="">
      <xdr:nvSpPr>
        <xdr:cNvPr id="892433" name="Rectangle 166"/>
        <xdr:cNvSpPr>
          <a:spLocks noChangeArrowheads="1"/>
        </xdr:cNvSpPr>
      </xdr:nvSpPr>
      <xdr:spPr bwMode="auto">
        <a:xfrm>
          <a:off x="67818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257175</xdr:colOff>
      <xdr:row>76</xdr:row>
      <xdr:rowOff>0</xdr:rowOff>
    </xdr:from>
    <xdr:to>
      <xdr:col>10</xdr:col>
      <xdr:colOff>266700</xdr:colOff>
      <xdr:row>76</xdr:row>
      <xdr:rowOff>0</xdr:rowOff>
    </xdr:to>
    <xdr:sp macro="" textlink="">
      <xdr:nvSpPr>
        <xdr:cNvPr id="892434" name="Line 167"/>
        <xdr:cNvSpPr>
          <a:spLocks noChangeShapeType="1"/>
        </xdr:cNvSpPr>
      </xdr:nvSpPr>
      <xdr:spPr bwMode="auto">
        <a:xfrm>
          <a:off x="7905750" y="12306300"/>
          <a:ext cx="9525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10</xdr:col>
      <xdr:colOff>257175</xdr:colOff>
      <xdr:row>76</xdr:row>
      <xdr:rowOff>0</xdr:rowOff>
    </xdr:from>
    <xdr:to>
      <xdr:col>10</xdr:col>
      <xdr:colOff>276225</xdr:colOff>
      <xdr:row>76</xdr:row>
      <xdr:rowOff>0</xdr:rowOff>
    </xdr:to>
    <xdr:sp macro="" textlink="">
      <xdr:nvSpPr>
        <xdr:cNvPr id="892435" name="Rectangle 168"/>
        <xdr:cNvSpPr>
          <a:spLocks noChangeArrowheads="1"/>
        </xdr:cNvSpPr>
      </xdr:nvSpPr>
      <xdr:spPr bwMode="auto">
        <a:xfrm>
          <a:off x="7905750" y="12306300"/>
          <a:ext cx="19050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171450</xdr:colOff>
      <xdr:row>76</xdr:row>
      <xdr:rowOff>0</xdr:rowOff>
    </xdr:from>
    <xdr:to>
      <xdr:col>12</xdr:col>
      <xdr:colOff>171450</xdr:colOff>
      <xdr:row>76</xdr:row>
      <xdr:rowOff>0</xdr:rowOff>
    </xdr:to>
    <xdr:sp macro="" textlink="">
      <xdr:nvSpPr>
        <xdr:cNvPr id="892436" name="Line 169"/>
        <xdr:cNvSpPr>
          <a:spLocks noChangeShapeType="1"/>
        </xdr:cNvSpPr>
      </xdr:nvSpPr>
      <xdr:spPr bwMode="auto">
        <a:xfrm>
          <a:off x="9039225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12</xdr:col>
      <xdr:colOff>171450</xdr:colOff>
      <xdr:row>76</xdr:row>
      <xdr:rowOff>0</xdr:rowOff>
    </xdr:from>
    <xdr:to>
      <xdr:col>12</xdr:col>
      <xdr:colOff>180975</xdr:colOff>
      <xdr:row>76</xdr:row>
      <xdr:rowOff>0</xdr:rowOff>
    </xdr:to>
    <xdr:sp macro="" textlink="">
      <xdr:nvSpPr>
        <xdr:cNvPr id="892437" name="Rectangle 170"/>
        <xdr:cNvSpPr>
          <a:spLocks noChangeArrowheads="1"/>
        </xdr:cNvSpPr>
      </xdr:nvSpPr>
      <xdr:spPr bwMode="auto">
        <a:xfrm>
          <a:off x="9039225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352425</xdr:colOff>
      <xdr:row>76</xdr:row>
      <xdr:rowOff>0</xdr:rowOff>
    </xdr:from>
    <xdr:to>
      <xdr:col>14</xdr:col>
      <xdr:colOff>352425</xdr:colOff>
      <xdr:row>76</xdr:row>
      <xdr:rowOff>0</xdr:rowOff>
    </xdr:to>
    <xdr:sp macro="" textlink="">
      <xdr:nvSpPr>
        <xdr:cNvPr id="892438" name="Line 171"/>
        <xdr:cNvSpPr>
          <a:spLocks noChangeShapeType="1"/>
        </xdr:cNvSpPr>
      </xdr:nvSpPr>
      <xdr:spPr bwMode="auto">
        <a:xfrm>
          <a:off x="10439400" y="12306300"/>
          <a:ext cx="0" cy="0"/>
        </a:xfrm>
        <a:prstGeom prst="line">
          <a:avLst/>
        </a:prstGeom>
        <a:noFill/>
        <a:ln w="0">
          <a:solidFill>
            <a:srgbClr val="C0C0C0"/>
          </a:solidFill>
          <a:round/>
          <a:headEnd/>
          <a:tailEnd/>
        </a:ln>
      </xdr:spPr>
    </xdr:sp>
    <xdr:clientData/>
  </xdr:twoCellAnchor>
  <xdr:twoCellAnchor>
    <xdr:from>
      <xdr:col>14</xdr:col>
      <xdr:colOff>352425</xdr:colOff>
      <xdr:row>76</xdr:row>
      <xdr:rowOff>0</xdr:rowOff>
    </xdr:from>
    <xdr:to>
      <xdr:col>14</xdr:col>
      <xdr:colOff>361950</xdr:colOff>
      <xdr:row>76</xdr:row>
      <xdr:rowOff>0</xdr:rowOff>
    </xdr:to>
    <xdr:sp macro="" textlink="">
      <xdr:nvSpPr>
        <xdr:cNvPr id="892439" name="Rectangle 172"/>
        <xdr:cNvSpPr>
          <a:spLocks noChangeArrowheads="1"/>
        </xdr:cNvSpPr>
      </xdr:nvSpPr>
      <xdr:spPr bwMode="auto">
        <a:xfrm>
          <a:off x="10439400" y="12306300"/>
          <a:ext cx="9525" cy="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76</xdr:row>
      <xdr:rowOff>0</xdr:rowOff>
    </xdr:from>
    <xdr:to>
      <xdr:col>16</xdr:col>
      <xdr:colOff>0</xdr:colOff>
      <xdr:row>76</xdr:row>
      <xdr:rowOff>0</xdr:rowOff>
    </xdr:to>
    <xdr:sp macro="" textlink="">
      <xdr:nvSpPr>
        <xdr:cNvPr id="892440" name="Rectangle 173"/>
        <xdr:cNvSpPr>
          <a:spLocks noChangeArrowheads="1"/>
        </xdr:cNvSpPr>
      </xdr:nvSpPr>
      <xdr:spPr bwMode="auto">
        <a:xfrm>
          <a:off x="666750" y="12306300"/>
          <a:ext cx="10639425" cy="0"/>
        </a:xfrm>
        <a:prstGeom prst="rect">
          <a:avLst/>
        </a:prstGeom>
        <a:solidFill>
          <a:srgbClr val="000000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15</xdr:col>
      <xdr:colOff>381000</xdr:colOff>
      <xdr:row>76</xdr:row>
      <xdr:rowOff>0</xdr:rowOff>
    </xdr:from>
    <xdr:ext cx="65" cy="632966"/>
    <xdr:sp macro="" textlink="">
      <xdr:nvSpPr>
        <xdr:cNvPr id="175" name="Rectangle 174"/>
        <xdr:cNvSpPr>
          <a:spLocks noChangeArrowheads="1"/>
        </xdr:cNvSpPr>
      </xdr:nvSpPr>
      <xdr:spPr bwMode="auto">
        <a:xfrm>
          <a:off x="11915775" y="12630150"/>
          <a:ext cx="65" cy="6329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pt-BR" sz="20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oneCellAnchor>
  <xdr:twoCellAnchor>
    <xdr:from>
      <xdr:col>1</xdr:col>
      <xdr:colOff>419100</xdr:colOff>
      <xdr:row>16</xdr:row>
      <xdr:rowOff>28575</xdr:rowOff>
    </xdr:from>
    <xdr:to>
      <xdr:col>12</xdr:col>
      <xdr:colOff>476250</xdr:colOff>
      <xdr:row>46</xdr:row>
      <xdr:rowOff>38100</xdr:rowOff>
    </xdr:to>
    <xdr:graphicFrame macro="">
      <xdr:nvGraphicFramePr>
        <xdr:cNvPr id="892442" name="Chart 1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1162050</xdr:colOff>
          <xdr:row>0</xdr:row>
          <xdr:rowOff>66675</xdr:rowOff>
        </xdr:from>
        <xdr:to>
          <xdr:col>3</xdr:col>
          <xdr:colOff>447675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993300"/>
                  </a:solidFill>
                  <a:latin typeface="Verdana"/>
                  <a:ea typeface="Verdana"/>
                  <a:cs typeface="Verdana"/>
                </a:rPr>
                <a:t>Esconder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285750</xdr:rowOff>
        </xdr:from>
        <xdr:to>
          <xdr:col>3</xdr:col>
          <xdr:colOff>419100</xdr:colOff>
          <xdr:row>1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993300"/>
                  </a:solidFill>
                  <a:latin typeface="Verdana"/>
                  <a:ea typeface="Verdana"/>
                  <a:cs typeface="Verdana"/>
                </a:rPr>
                <a:t>Mostrar linhas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bcsparq\desuparq$\Corec\Planilhas\20110831\20110824_BVA_add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bcsparq\desuparq$\CrisH\@@@%20Nova%20vers&#227;o%20da%20apresenta&#231;&#227;o\Planilha_Auxiliar_INFOR_CONCLU_escopo_reduzid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bcsparq\desuparq$\Users\desup.crish\AppData\Local\Microsoft\Windows\Temporary%20Internet%20Files\Content.Outlook\L32WS86O\Planilha_Auxiliar_INFOR_CONCLU_escopo_reduzid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gitar aqui Notas e Pesos"/>
      <sheetName val="Apres_residual"/>
      <sheetName val="Add_On"/>
      <sheetName val="Participação-apenas fórmulas"/>
      <sheetName val="Matriz de Pesos e Notas"/>
      <sheetName val="Sintese_Quali"/>
      <sheetName val="Notas_PTsARCs"/>
      <sheetName val="INFOR_residual"/>
      <sheetName val="Apres_Ativ_Neg"/>
      <sheetName val="Apres_Ativ_Corp"/>
      <sheetName val="Quanti_Apres"/>
      <sheetName val="Quanti_INFOR"/>
      <sheetName val="SRC_AtualXAnterior"/>
      <sheetName val="Graf_Quanti"/>
      <sheetName val="Graf_Quali"/>
      <sheetName val="Desdobramentos"/>
      <sheetName val="Dias_úteisXHomens"/>
      <sheetName val="INFOR_E_Apres"/>
      <sheetName val="Informaçõ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gitar aqui Notas e Pesos"/>
      <sheetName val="Participação-apenas fórmulas"/>
      <sheetName val="Matriz de Pesos e Notas"/>
      <sheetName val="Quanti_Apres"/>
      <sheetName val="Quanti_INFOR"/>
      <sheetName val="Graf_Quanti"/>
      <sheetName val="SRC_AtualXAnterior"/>
      <sheetName val="Notas_PTsARCs"/>
      <sheetName val="Graf_Quali"/>
      <sheetName val="Desdobramentos"/>
      <sheetName val="Dias_úteisXHomens"/>
      <sheetName val="Balancete"/>
      <sheetName val="Balancete_Ajustes"/>
      <sheetName val="Informaçõ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gitar aqui Notas e Pesos"/>
      <sheetName val="Participação-apenas fórmulas"/>
      <sheetName val="Matriz de Pesos e Notas"/>
      <sheetName val="Quanti_Apres"/>
      <sheetName val="Quanti_INFOR"/>
      <sheetName val="Graf_Quanti"/>
      <sheetName val="SRC_AnteriorxAtual"/>
      <sheetName val="Notas_PTsARCs"/>
      <sheetName val="Notas_PTsARCs_INFOR"/>
      <sheetName val="Graf_Quali"/>
      <sheetName val="Desdobramentos"/>
      <sheetName val="Dias_úteisXHomens"/>
      <sheetName val="Balancete"/>
      <sheetName val="Balancete_Ajustes"/>
      <sheetName val="Informaçõ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AC139"/>
  <sheetViews>
    <sheetView showGridLines="0" zoomScale="75" zoomScaleNormal="100" workbookViewId="0">
      <pane xSplit="3" ySplit="4" topLeftCell="D23" activePane="bottomRight" state="frozen"/>
      <selection pane="topRight" activeCell="D1" sqref="D1"/>
      <selection pane="bottomLeft" activeCell="A5" sqref="A5"/>
      <selection pane="bottomRight" activeCell="B1" sqref="B1"/>
    </sheetView>
  </sheetViews>
  <sheetFormatPr defaultRowHeight="15" x14ac:dyDescent="0.2"/>
  <cols>
    <col min="1" max="1" width="5.28515625" style="29" customWidth="1"/>
    <col min="2" max="2" width="31.7109375" style="29" customWidth="1"/>
    <col min="3" max="3" width="10.28515625" style="64" customWidth="1"/>
    <col min="4" max="5" width="7.85546875" style="29" customWidth="1"/>
    <col min="6" max="6" width="13.42578125" style="253" hidden="1" customWidth="1"/>
    <col min="7" max="8" width="7.85546875" style="29" customWidth="1"/>
    <col min="9" max="9" width="1.7109375" style="253" customWidth="1"/>
    <col min="10" max="11" width="7.85546875" style="29" customWidth="1"/>
    <col min="12" max="12" width="1.7109375" style="253" customWidth="1"/>
    <col min="13" max="14" width="7.85546875" style="29" customWidth="1"/>
    <col min="15" max="15" width="1.7109375" style="253" customWidth="1"/>
    <col min="16" max="17" width="7.85546875" style="29" customWidth="1"/>
    <col min="18" max="18" width="1.7109375" style="253" customWidth="1"/>
    <col min="19" max="20" width="7.85546875" style="29" customWidth="1"/>
    <col min="21" max="21" width="1.7109375" style="253" customWidth="1"/>
    <col min="22" max="23" width="7.85546875" style="29" customWidth="1"/>
    <col min="24" max="24" width="1.7109375" style="253" customWidth="1"/>
    <col min="25" max="26" width="7.85546875" style="29" customWidth="1"/>
    <col min="27" max="27" width="1.7109375" style="253" customWidth="1"/>
    <col min="28" max="29" width="7.85546875" style="29" customWidth="1"/>
    <col min="30" max="16384" width="9.140625" style="29"/>
  </cols>
  <sheetData>
    <row r="1" spans="1:29" ht="23.25" thickTop="1" x14ac:dyDescent="0.2">
      <c r="A1" s="22"/>
      <c r="B1" s="23" t="s">
        <v>179</v>
      </c>
      <c r="C1" s="260"/>
      <c r="D1" s="265" t="s">
        <v>167</v>
      </c>
      <c r="E1" s="245"/>
      <c r="F1" s="249"/>
      <c r="G1" s="245"/>
      <c r="H1" s="245"/>
      <c r="I1" s="249"/>
      <c r="J1" s="245"/>
      <c r="K1" s="245"/>
      <c r="L1" s="249"/>
      <c r="M1" s="245"/>
      <c r="N1" s="245"/>
      <c r="O1" s="249"/>
      <c r="P1" s="245"/>
      <c r="Q1" s="245"/>
      <c r="R1" s="249"/>
      <c r="S1" s="245"/>
      <c r="T1" s="245"/>
      <c r="U1" s="249"/>
      <c r="V1" s="245"/>
      <c r="W1" s="245"/>
      <c r="X1" s="249"/>
      <c r="Y1" s="245"/>
      <c r="Z1" s="245"/>
      <c r="AA1" s="249"/>
      <c r="AB1" s="246"/>
      <c r="AC1" s="247"/>
    </row>
    <row r="2" spans="1:29" ht="20.25" thickBot="1" x14ac:dyDescent="0.25">
      <c r="A2" s="30"/>
      <c r="B2" s="406"/>
      <c r="C2" s="31"/>
      <c r="D2" s="266" t="s">
        <v>17</v>
      </c>
      <c r="E2" s="244"/>
      <c r="F2" s="250"/>
      <c r="G2" s="244"/>
      <c r="H2" s="244"/>
      <c r="I2" s="250"/>
      <c r="J2" s="244"/>
      <c r="K2" s="244"/>
      <c r="L2" s="250"/>
      <c r="M2" s="244"/>
      <c r="N2" s="244"/>
      <c r="O2" s="250"/>
      <c r="P2" s="244"/>
      <c r="Q2" s="244"/>
      <c r="R2" s="250"/>
      <c r="S2" s="244"/>
      <c r="T2" s="244"/>
      <c r="U2" s="250"/>
      <c r="V2" s="244"/>
      <c r="W2" s="244"/>
      <c r="X2" s="250"/>
      <c r="Y2" s="244"/>
      <c r="Z2" s="244"/>
      <c r="AA2" s="250"/>
      <c r="AB2" s="244"/>
      <c r="AC2" s="244"/>
    </row>
    <row r="3" spans="1:29" ht="16.5" customHeight="1" thickTop="1" x14ac:dyDescent="0.2">
      <c r="A3" s="35"/>
      <c r="B3" s="36" t="s">
        <v>36</v>
      </c>
      <c r="C3" s="261"/>
      <c r="D3" s="503" t="s">
        <v>12</v>
      </c>
      <c r="E3" s="502"/>
      <c r="F3" s="485" t="s">
        <v>214</v>
      </c>
      <c r="G3" s="502" t="s">
        <v>2</v>
      </c>
      <c r="H3" s="502"/>
      <c r="I3" s="251"/>
      <c r="J3" s="502" t="s">
        <v>3</v>
      </c>
      <c r="K3" s="502"/>
      <c r="L3" s="251"/>
      <c r="M3" s="502" t="s">
        <v>11</v>
      </c>
      <c r="N3" s="502"/>
      <c r="O3" s="251"/>
      <c r="P3" s="502" t="s">
        <v>202</v>
      </c>
      <c r="Q3" s="502"/>
      <c r="R3" s="251"/>
      <c r="S3" s="502" t="s">
        <v>0</v>
      </c>
      <c r="T3" s="502"/>
      <c r="U3" s="251"/>
      <c r="V3" s="502" t="s">
        <v>1</v>
      </c>
      <c r="W3" s="502"/>
      <c r="X3" s="251"/>
      <c r="Y3" s="502" t="s">
        <v>7</v>
      </c>
      <c r="Z3" s="502"/>
      <c r="AA3" s="251"/>
      <c r="AB3" s="502" t="s">
        <v>8</v>
      </c>
      <c r="AC3" s="502"/>
    </row>
    <row r="4" spans="1:29" s="40" customFormat="1" ht="32.25" thickBot="1" x14ac:dyDescent="0.25">
      <c r="A4" s="184" t="s">
        <v>34</v>
      </c>
      <c r="B4" s="185" t="s">
        <v>59</v>
      </c>
      <c r="C4" s="262" t="s">
        <v>86</v>
      </c>
      <c r="D4" s="248" t="s">
        <v>31</v>
      </c>
      <c r="E4" s="188" t="s">
        <v>32</v>
      </c>
      <c r="F4" s="485" t="s">
        <v>215</v>
      </c>
      <c r="G4" s="248" t="s">
        <v>31</v>
      </c>
      <c r="H4" s="188" t="s">
        <v>32</v>
      </c>
      <c r="I4" s="252"/>
      <c r="J4" s="248" t="s">
        <v>31</v>
      </c>
      <c r="K4" s="188" t="s">
        <v>32</v>
      </c>
      <c r="L4" s="252"/>
      <c r="M4" s="248" t="s">
        <v>31</v>
      </c>
      <c r="N4" s="188" t="s">
        <v>32</v>
      </c>
      <c r="O4" s="252"/>
      <c r="P4" s="248" t="s">
        <v>31</v>
      </c>
      <c r="Q4" s="188" t="s">
        <v>32</v>
      </c>
      <c r="R4" s="252"/>
      <c r="S4" s="248" t="s">
        <v>31</v>
      </c>
      <c r="T4" s="188" t="s">
        <v>32</v>
      </c>
      <c r="U4" s="252"/>
      <c r="V4" s="248" t="s">
        <v>31</v>
      </c>
      <c r="W4" s="188" t="s">
        <v>32</v>
      </c>
      <c r="X4" s="252"/>
      <c r="Y4" s="248" t="s">
        <v>31</v>
      </c>
      <c r="Z4" s="188" t="s">
        <v>32</v>
      </c>
      <c r="AA4" s="252"/>
      <c r="AB4" s="248" t="s">
        <v>31</v>
      </c>
      <c r="AC4" s="188" t="s">
        <v>32</v>
      </c>
    </row>
    <row r="5" spans="1:29" x14ac:dyDescent="0.2">
      <c r="A5" s="191" t="s">
        <v>232</v>
      </c>
      <c r="B5" s="192"/>
      <c r="C5" s="383">
        <v>8</v>
      </c>
      <c r="D5" s="384"/>
      <c r="E5" s="384"/>
      <c r="F5" s="486"/>
      <c r="G5" s="384"/>
      <c r="H5" s="384"/>
      <c r="I5" s="385"/>
      <c r="J5" s="384"/>
      <c r="K5" s="384"/>
      <c r="L5" s="385"/>
      <c r="M5" s="384"/>
      <c r="N5" s="384"/>
      <c r="O5" s="385"/>
      <c r="P5" s="384"/>
      <c r="Q5" s="384"/>
      <c r="R5" s="385"/>
      <c r="S5" s="384"/>
      <c r="T5" s="384"/>
      <c r="U5" s="385"/>
      <c r="V5" s="384"/>
      <c r="W5" s="384"/>
      <c r="X5" s="385"/>
      <c r="Y5" s="384"/>
      <c r="Z5" s="384"/>
      <c r="AA5" s="385"/>
      <c r="AB5" s="384"/>
      <c r="AC5" s="384"/>
    </row>
    <row r="6" spans="1:29" x14ac:dyDescent="0.2">
      <c r="A6" s="242"/>
      <c r="B6" s="243"/>
      <c r="C6" s="386"/>
      <c r="D6" s="387"/>
      <c r="E6" s="387"/>
      <c r="F6" s="486"/>
      <c r="G6" s="387"/>
      <c r="H6" s="387"/>
      <c r="I6" s="385"/>
      <c r="J6" s="387"/>
      <c r="K6" s="387"/>
      <c r="L6" s="385"/>
      <c r="M6" s="387"/>
      <c r="N6" s="387"/>
      <c r="O6" s="385"/>
      <c r="P6" s="387"/>
      <c r="Q6" s="387"/>
      <c r="R6" s="385"/>
      <c r="S6" s="387"/>
      <c r="T6" s="387"/>
      <c r="U6" s="385"/>
      <c r="V6" s="387"/>
      <c r="W6" s="387"/>
      <c r="X6" s="385"/>
      <c r="Y6" s="387"/>
      <c r="Z6" s="387"/>
      <c r="AA6" s="385"/>
      <c r="AB6" s="387"/>
      <c r="AC6" s="387"/>
    </row>
    <row r="7" spans="1:29" x14ac:dyDescent="0.2">
      <c r="A7" s="239" t="str">
        <f>A5</f>
        <v>Varejo e Prime</v>
      </c>
      <c r="B7" s="240"/>
      <c r="C7" s="388">
        <v>8</v>
      </c>
      <c r="D7" s="389">
        <v>2</v>
      </c>
      <c r="E7" s="389">
        <v>2</v>
      </c>
      <c r="F7" s="486">
        <v>1</v>
      </c>
      <c r="G7" s="389"/>
      <c r="H7" s="389"/>
      <c r="I7" s="385"/>
      <c r="J7" s="389"/>
      <c r="K7" s="389"/>
      <c r="L7" s="385"/>
      <c r="M7" s="389"/>
      <c r="N7" s="389"/>
      <c r="O7" s="385"/>
      <c r="P7" s="389"/>
      <c r="Q7" s="389"/>
      <c r="R7" s="385"/>
      <c r="S7" s="389"/>
      <c r="T7" s="389"/>
      <c r="U7" s="385"/>
      <c r="V7" s="389"/>
      <c r="W7" s="389"/>
      <c r="X7" s="385"/>
      <c r="Y7" s="389"/>
      <c r="Z7" s="389"/>
      <c r="AA7" s="385"/>
      <c r="AB7" s="389"/>
      <c r="AC7" s="389"/>
    </row>
    <row r="8" spans="1:29" x14ac:dyDescent="0.2">
      <c r="A8" s="241"/>
      <c r="B8" s="235"/>
      <c r="C8" s="390"/>
      <c r="D8" s="391">
        <v>8</v>
      </c>
      <c r="E8" s="391">
        <v>8</v>
      </c>
      <c r="F8" s="486"/>
      <c r="G8" s="391"/>
      <c r="H8" s="391"/>
      <c r="I8" s="385"/>
      <c r="J8" s="391"/>
      <c r="K8" s="391"/>
      <c r="L8" s="385"/>
      <c r="M8" s="391"/>
      <c r="N8" s="391"/>
      <c r="O8" s="385"/>
      <c r="P8" s="391"/>
      <c r="Q8" s="391"/>
      <c r="R8" s="385"/>
      <c r="S8" s="391"/>
      <c r="T8" s="391"/>
      <c r="U8" s="385"/>
      <c r="V8" s="391"/>
      <c r="W8" s="391"/>
      <c r="X8" s="385"/>
      <c r="Y8" s="391"/>
      <c r="Z8" s="391"/>
      <c r="AA8" s="385"/>
      <c r="AB8" s="391"/>
      <c r="AC8" s="391"/>
    </row>
    <row r="9" spans="1:29" x14ac:dyDescent="0.2">
      <c r="A9" s="239" t="s">
        <v>218</v>
      </c>
      <c r="B9" s="240"/>
      <c r="C9" s="388"/>
      <c r="D9" s="497"/>
      <c r="E9" s="497"/>
      <c r="F9" s="486"/>
      <c r="G9" s="389"/>
      <c r="H9" s="389"/>
      <c r="I9" s="385"/>
      <c r="J9" s="389"/>
      <c r="K9" s="389"/>
      <c r="L9" s="385"/>
      <c r="M9" s="389"/>
      <c r="N9" s="389"/>
      <c r="O9" s="385"/>
      <c r="P9" s="389"/>
      <c r="Q9" s="389"/>
      <c r="R9" s="385"/>
      <c r="S9" s="389"/>
      <c r="T9" s="389"/>
      <c r="U9" s="385"/>
      <c r="V9" s="389"/>
      <c r="W9" s="389"/>
      <c r="X9" s="385"/>
      <c r="Y9" s="389"/>
      <c r="Z9" s="389"/>
      <c r="AA9" s="385"/>
      <c r="AB9" s="389"/>
      <c r="AC9" s="389"/>
    </row>
    <row r="10" spans="1:29" s="28" customFormat="1" ht="11.25" customHeight="1" x14ac:dyDescent="0.2">
      <c r="A10" s="241"/>
      <c r="B10" s="235"/>
      <c r="C10" s="390"/>
      <c r="D10" s="391"/>
      <c r="E10" s="391"/>
      <c r="F10" s="486"/>
      <c r="G10" s="391"/>
      <c r="H10" s="391"/>
      <c r="I10" s="385"/>
      <c r="J10" s="391"/>
      <c r="K10" s="391"/>
      <c r="L10" s="385"/>
      <c r="M10" s="391"/>
      <c r="N10" s="391"/>
      <c r="O10" s="385"/>
      <c r="P10" s="391"/>
      <c r="Q10" s="391"/>
      <c r="R10" s="385"/>
      <c r="S10" s="391"/>
      <c r="T10" s="391"/>
      <c r="U10" s="385"/>
      <c r="V10" s="391"/>
      <c r="W10" s="391"/>
      <c r="X10" s="385"/>
      <c r="Y10" s="391"/>
      <c r="Z10" s="391"/>
      <c r="AA10" s="385"/>
      <c r="AB10" s="391"/>
      <c r="AC10" s="391"/>
    </row>
    <row r="11" spans="1:29" x14ac:dyDescent="0.2">
      <c r="A11" s="239" t="s">
        <v>182</v>
      </c>
      <c r="B11" s="240"/>
      <c r="C11" s="388"/>
      <c r="D11" s="389"/>
      <c r="E11" s="389"/>
      <c r="F11" s="486"/>
      <c r="G11" s="389"/>
      <c r="H11" s="389"/>
      <c r="I11" s="385"/>
      <c r="J11" s="389"/>
      <c r="K11" s="389"/>
      <c r="L11" s="385"/>
      <c r="M11" s="389"/>
      <c r="N11" s="389"/>
      <c r="O11" s="385"/>
      <c r="P11" s="389"/>
      <c r="Q11" s="389"/>
      <c r="R11" s="385"/>
      <c r="S11" s="389"/>
      <c r="T11" s="389"/>
      <c r="U11" s="385"/>
      <c r="V11" s="389"/>
      <c r="W11" s="389"/>
      <c r="X11" s="385"/>
      <c r="Y11" s="389"/>
      <c r="Z11" s="389"/>
      <c r="AA11" s="385"/>
      <c r="AB11" s="389"/>
      <c r="AC11" s="389"/>
    </row>
    <row r="12" spans="1:29" s="28" customFormat="1" ht="11.25" customHeight="1" x14ac:dyDescent="0.2">
      <c r="A12" s="241"/>
      <c r="B12" s="235"/>
      <c r="C12" s="390"/>
      <c r="D12" s="391"/>
      <c r="E12" s="391"/>
      <c r="F12" s="486"/>
      <c r="G12" s="391"/>
      <c r="H12" s="391"/>
      <c r="I12" s="385"/>
      <c r="J12" s="391"/>
      <c r="K12" s="391"/>
      <c r="L12" s="385"/>
      <c r="M12" s="391"/>
      <c r="N12" s="391"/>
      <c r="O12" s="385"/>
      <c r="P12" s="391"/>
      <c r="Q12" s="391"/>
      <c r="R12" s="385"/>
      <c r="S12" s="391"/>
      <c r="T12" s="391"/>
      <c r="U12" s="385"/>
      <c r="V12" s="391"/>
      <c r="W12" s="391"/>
      <c r="X12" s="385"/>
      <c r="Y12" s="391"/>
      <c r="Z12" s="391"/>
      <c r="AA12" s="385"/>
      <c r="AB12" s="391"/>
      <c r="AC12" s="391"/>
    </row>
    <row r="13" spans="1:29" x14ac:dyDescent="0.2">
      <c r="A13" s="239" t="s">
        <v>60</v>
      </c>
      <c r="B13" s="240"/>
      <c r="C13" s="388"/>
      <c r="D13" s="389"/>
      <c r="E13" s="389"/>
      <c r="F13" s="486"/>
      <c r="G13" s="389"/>
      <c r="H13" s="389"/>
      <c r="I13" s="385"/>
      <c r="J13" s="389"/>
      <c r="K13" s="389"/>
      <c r="L13" s="385"/>
      <c r="M13" s="389"/>
      <c r="N13" s="389"/>
      <c r="O13" s="385"/>
      <c r="P13" s="389"/>
      <c r="Q13" s="389"/>
      <c r="R13" s="385"/>
      <c r="S13" s="389"/>
      <c r="T13" s="389"/>
      <c r="U13" s="385"/>
      <c r="V13" s="389"/>
      <c r="W13" s="389"/>
      <c r="X13" s="385"/>
      <c r="Y13" s="389"/>
      <c r="Z13" s="389"/>
      <c r="AA13" s="385"/>
      <c r="AB13" s="389"/>
      <c r="AC13" s="389"/>
    </row>
    <row r="14" spans="1:29" s="28" customFormat="1" ht="11.25" customHeight="1" x14ac:dyDescent="0.2">
      <c r="A14" s="241"/>
      <c r="B14" s="235"/>
      <c r="C14" s="390"/>
      <c r="D14" s="391"/>
      <c r="E14" s="391"/>
      <c r="F14" s="486"/>
      <c r="G14" s="391"/>
      <c r="H14" s="391"/>
      <c r="I14" s="385"/>
      <c r="J14" s="391"/>
      <c r="K14" s="391"/>
      <c r="L14" s="385"/>
      <c r="M14" s="391"/>
      <c r="N14" s="391"/>
      <c r="O14" s="385"/>
      <c r="P14" s="391"/>
      <c r="Q14" s="391"/>
      <c r="R14" s="385"/>
      <c r="S14" s="391"/>
      <c r="T14" s="391"/>
      <c r="U14" s="385"/>
      <c r="V14" s="391"/>
      <c r="W14" s="391"/>
      <c r="X14" s="385"/>
      <c r="Y14" s="391"/>
      <c r="Z14" s="391"/>
      <c r="AA14" s="385"/>
      <c r="AB14" s="391"/>
      <c r="AC14" s="391"/>
    </row>
    <row r="15" spans="1:29" x14ac:dyDescent="0.2">
      <c r="A15" s="239" t="s">
        <v>61</v>
      </c>
      <c r="B15" s="240"/>
      <c r="C15" s="388"/>
      <c r="D15" s="389"/>
      <c r="E15" s="389"/>
      <c r="F15" s="486"/>
      <c r="G15" s="389"/>
      <c r="H15" s="389"/>
      <c r="I15" s="385"/>
      <c r="J15" s="389"/>
      <c r="K15" s="389"/>
      <c r="L15" s="385"/>
      <c r="M15" s="389"/>
      <c r="N15" s="389"/>
      <c r="O15" s="385"/>
      <c r="P15" s="389"/>
      <c r="Q15" s="389"/>
      <c r="R15" s="385"/>
      <c r="S15" s="389"/>
      <c r="T15" s="389"/>
      <c r="U15" s="385"/>
      <c r="V15" s="389"/>
      <c r="W15" s="389"/>
      <c r="X15" s="385"/>
      <c r="Y15" s="389"/>
      <c r="Z15" s="389"/>
      <c r="AA15" s="385"/>
      <c r="AB15" s="389"/>
      <c r="AC15" s="389"/>
    </row>
    <row r="16" spans="1:29" s="28" customFormat="1" ht="11.25" customHeight="1" x14ac:dyDescent="0.2">
      <c r="A16" s="241"/>
      <c r="B16" s="235"/>
      <c r="C16" s="390"/>
      <c r="D16" s="391"/>
      <c r="E16" s="391"/>
      <c r="F16" s="486"/>
      <c r="G16" s="391"/>
      <c r="H16" s="391"/>
      <c r="I16" s="385"/>
      <c r="J16" s="391"/>
      <c r="K16" s="391"/>
      <c r="L16" s="385"/>
      <c r="M16" s="391"/>
      <c r="N16" s="391"/>
      <c r="O16" s="385"/>
      <c r="P16" s="391"/>
      <c r="Q16" s="391"/>
      <c r="R16" s="385"/>
      <c r="S16" s="391"/>
      <c r="T16" s="391"/>
      <c r="U16" s="385"/>
      <c r="V16" s="391"/>
      <c r="W16" s="391"/>
      <c r="X16" s="385"/>
      <c r="Y16" s="391"/>
      <c r="Z16" s="391"/>
      <c r="AA16" s="385"/>
      <c r="AB16" s="391"/>
      <c r="AC16" s="391"/>
    </row>
    <row r="17" spans="1:29" x14ac:dyDescent="0.2">
      <c r="A17" s="239" t="s">
        <v>62</v>
      </c>
      <c r="B17" s="240"/>
      <c r="C17" s="388"/>
      <c r="D17" s="389"/>
      <c r="E17" s="389"/>
      <c r="F17" s="486"/>
      <c r="G17" s="389"/>
      <c r="H17" s="389"/>
      <c r="I17" s="385"/>
      <c r="J17" s="389"/>
      <c r="K17" s="389"/>
      <c r="L17" s="385"/>
      <c r="M17" s="389"/>
      <c r="N17" s="389"/>
      <c r="O17" s="385"/>
      <c r="P17" s="389"/>
      <c r="Q17" s="389"/>
      <c r="R17" s="385"/>
      <c r="S17" s="389"/>
      <c r="T17" s="389"/>
      <c r="U17" s="385"/>
      <c r="V17" s="389"/>
      <c r="W17" s="389"/>
      <c r="X17" s="385"/>
      <c r="Y17" s="389"/>
      <c r="Z17" s="389"/>
      <c r="AA17" s="385"/>
      <c r="AB17" s="389"/>
      <c r="AC17" s="389"/>
    </row>
    <row r="18" spans="1:29" s="28" customFormat="1" ht="11.25" customHeight="1" x14ac:dyDescent="0.2">
      <c r="A18" s="241"/>
      <c r="B18" s="235"/>
      <c r="C18" s="390"/>
      <c r="D18" s="391"/>
      <c r="E18" s="391"/>
      <c r="F18" s="486"/>
      <c r="G18" s="391"/>
      <c r="H18" s="391"/>
      <c r="I18" s="385"/>
      <c r="J18" s="391"/>
      <c r="K18" s="391"/>
      <c r="L18" s="385"/>
      <c r="M18" s="391"/>
      <c r="N18" s="391"/>
      <c r="O18" s="385"/>
      <c r="P18" s="391"/>
      <c r="Q18" s="391"/>
      <c r="R18" s="385"/>
      <c r="S18" s="391"/>
      <c r="T18" s="391"/>
      <c r="U18" s="385"/>
      <c r="V18" s="391"/>
      <c r="W18" s="391"/>
      <c r="X18" s="385"/>
      <c r="Y18" s="391"/>
      <c r="Z18" s="391"/>
      <c r="AA18" s="385"/>
      <c r="AB18" s="391"/>
      <c r="AC18" s="391"/>
    </row>
    <row r="19" spans="1:29" x14ac:dyDescent="0.2">
      <c r="A19" s="239" t="s">
        <v>63</v>
      </c>
      <c r="B19" s="240"/>
      <c r="C19" s="388"/>
      <c r="D19" s="389"/>
      <c r="E19" s="389"/>
      <c r="F19" s="486"/>
      <c r="G19" s="389"/>
      <c r="H19" s="389"/>
      <c r="I19" s="385"/>
      <c r="J19" s="389"/>
      <c r="K19" s="389"/>
      <c r="L19" s="385"/>
      <c r="M19" s="389"/>
      <c r="N19" s="389"/>
      <c r="O19" s="385"/>
      <c r="P19" s="389"/>
      <c r="Q19" s="389"/>
      <c r="R19" s="385"/>
      <c r="S19" s="389"/>
      <c r="T19" s="389"/>
      <c r="U19" s="385"/>
      <c r="V19" s="389"/>
      <c r="W19" s="389"/>
      <c r="X19" s="385"/>
      <c r="Y19" s="389"/>
      <c r="Z19" s="389"/>
      <c r="AA19" s="385"/>
      <c r="AB19" s="389"/>
      <c r="AC19" s="389"/>
    </row>
    <row r="20" spans="1:29" s="28" customFormat="1" ht="12" customHeight="1" thickBot="1" x14ac:dyDescent="0.25">
      <c r="A20" s="241"/>
      <c r="B20" s="235"/>
      <c r="C20" s="462"/>
      <c r="D20" s="463"/>
      <c r="E20" s="463"/>
      <c r="F20" s="486"/>
      <c r="G20" s="463"/>
      <c r="H20" s="463"/>
      <c r="I20" s="385"/>
      <c r="J20" s="463"/>
      <c r="K20" s="463"/>
      <c r="L20" s="385"/>
      <c r="M20" s="463"/>
      <c r="N20" s="463"/>
      <c r="O20" s="385"/>
      <c r="P20" s="463"/>
      <c r="Q20" s="463"/>
      <c r="R20" s="385"/>
      <c r="S20" s="463"/>
      <c r="T20" s="463"/>
      <c r="U20" s="385"/>
      <c r="V20" s="463"/>
      <c r="W20" s="463"/>
      <c r="X20" s="385"/>
      <c r="Y20" s="463"/>
      <c r="Z20" s="463"/>
      <c r="AA20" s="385"/>
      <c r="AB20" s="463"/>
      <c r="AC20" s="463"/>
    </row>
    <row r="21" spans="1:29" x14ac:dyDescent="0.2">
      <c r="A21" s="191" t="s">
        <v>230</v>
      </c>
      <c r="B21" s="192"/>
      <c r="C21" s="383">
        <v>4</v>
      </c>
      <c r="D21" s="384"/>
      <c r="E21" s="384"/>
      <c r="F21" s="486"/>
      <c r="G21" s="384"/>
      <c r="H21" s="384"/>
      <c r="I21" s="385"/>
      <c r="J21" s="384"/>
      <c r="K21" s="384"/>
      <c r="L21" s="385"/>
      <c r="M21" s="384"/>
      <c r="N21" s="384"/>
      <c r="O21" s="385"/>
      <c r="P21" s="384"/>
      <c r="Q21" s="384"/>
      <c r="R21" s="385"/>
      <c r="S21" s="384"/>
      <c r="T21" s="384"/>
      <c r="U21" s="385"/>
      <c r="V21" s="384"/>
      <c r="W21" s="384"/>
      <c r="X21" s="385"/>
      <c r="Y21" s="384"/>
      <c r="Z21" s="384"/>
      <c r="AA21" s="385"/>
      <c r="AB21" s="384"/>
      <c r="AC21" s="384"/>
    </row>
    <row r="22" spans="1:29" x14ac:dyDescent="0.2">
      <c r="A22" s="242"/>
      <c r="B22" s="243"/>
      <c r="C22" s="386"/>
      <c r="D22" s="387"/>
      <c r="E22" s="387"/>
      <c r="F22" s="486"/>
      <c r="G22" s="387"/>
      <c r="H22" s="387"/>
      <c r="I22" s="385"/>
      <c r="J22" s="387"/>
      <c r="K22" s="387"/>
      <c r="L22" s="385"/>
      <c r="M22" s="387"/>
      <c r="N22" s="387"/>
      <c r="O22" s="385"/>
      <c r="P22" s="387"/>
      <c r="Q22" s="387"/>
      <c r="R22" s="385"/>
      <c r="S22" s="387"/>
      <c r="T22" s="387"/>
      <c r="U22" s="385"/>
      <c r="V22" s="387"/>
      <c r="W22" s="387"/>
      <c r="X22" s="385"/>
      <c r="Y22" s="387"/>
      <c r="Z22" s="387"/>
      <c r="AA22" s="385"/>
      <c r="AB22" s="387"/>
      <c r="AC22" s="387"/>
    </row>
    <row r="23" spans="1:29" x14ac:dyDescent="0.2">
      <c r="A23" s="239" t="str">
        <f>A21</f>
        <v>Corporate e Empresas</v>
      </c>
      <c r="B23" s="240"/>
      <c r="C23" s="388">
        <v>8</v>
      </c>
      <c r="D23" s="389">
        <v>2</v>
      </c>
      <c r="E23" s="389">
        <v>3</v>
      </c>
      <c r="F23" s="486">
        <v>1</v>
      </c>
      <c r="G23" s="389"/>
      <c r="H23" s="389"/>
      <c r="I23" s="385"/>
      <c r="J23" s="389"/>
      <c r="K23" s="389"/>
      <c r="L23" s="385"/>
      <c r="M23" s="389"/>
      <c r="N23" s="389"/>
      <c r="O23" s="385"/>
      <c r="P23" s="389"/>
      <c r="Q23" s="389"/>
      <c r="R23" s="385"/>
      <c r="S23" s="389"/>
      <c r="T23" s="389"/>
      <c r="U23" s="385"/>
      <c r="V23" s="389"/>
      <c r="W23" s="389"/>
      <c r="X23" s="385"/>
      <c r="Y23" s="389"/>
      <c r="Z23" s="389"/>
      <c r="AA23" s="385"/>
      <c r="AB23" s="389"/>
      <c r="AC23" s="389"/>
    </row>
    <row r="24" spans="1:29" x14ac:dyDescent="0.2">
      <c r="A24" s="241"/>
      <c r="B24" s="235"/>
      <c r="C24" s="390"/>
      <c r="D24" s="391">
        <v>8</v>
      </c>
      <c r="E24" s="391">
        <v>8</v>
      </c>
      <c r="F24" s="486"/>
      <c r="G24" s="391"/>
      <c r="H24" s="391"/>
      <c r="I24" s="385"/>
      <c r="J24" s="391"/>
      <c r="K24" s="391"/>
      <c r="L24" s="385"/>
      <c r="M24" s="391"/>
      <c r="N24" s="391"/>
      <c r="O24" s="385"/>
      <c r="P24" s="391"/>
      <c r="Q24" s="391"/>
      <c r="R24" s="385"/>
      <c r="S24" s="391"/>
      <c r="T24" s="391"/>
      <c r="U24" s="385"/>
      <c r="V24" s="391"/>
      <c r="W24" s="391"/>
      <c r="X24" s="385"/>
      <c r="Y24" s="391"/>
      <c r="Z24" s="391"/>
      <c r="AA24" s="385"/>
      <c r="AB24" s="391"/>
      <c r="AC24" s="391"/>
    </row>
    <row r="25" spans="1:29" x14ac:dyDescent="0.2">
      <c r="A25" s="239" t="s">
        <v>218</v>
      </c>
      <c r="B25" s="240"/>
      <c r="C25" s="388"/>
      <c r="D25" s="497"/>
      <c r="E25" s="497"/>
      <c r="F25" s="486"/>
      <c r="G25" s="389"/>
      <c r="H25" s="389"/>
      <c r="I25" s="385"/>
      <c r="J25" s="389"/>
      <c r="K25" s="389"/>
      <c r="L25" s="385"/>
      <c r="M25" s="389"/>
      <c r="N25" s="389"/>
      <c r="O25" s="385"/>
      <c r="P25" s="389"/>
      <c r="Q25" s="389"/>
      <c r="R25" s="385"/>
      <c r="S25" s="389"/>
      <c r="T25" s="389"/>
      <c r="U25" s="385"/>
      <c r="V25" s="389"/>
      <c r="W25" s="389"/>
      <c r="X25" s="385"/>
      <c r="Y25" s="389"/>
      <c r="Z25" s="389"/>
      <c r="AA25" s="385"/>
      <c r="AB25" s="389"/>
      <c r="AC25" s="389"/>
    </row>
    <row r="26" spans="1:29" s="28" customFormat="1" ht="11.25" customHeight="1" x14ac:dyDescent="0.2">
      <c r="A26" s="241"/>
      <c r="B26" s="235"/>
      <c r="C26" s="390"/>
      <c r="D26" s="391"/>
      <c r="E26" s="391"/>
      <c r="F26" s="486"/>
      <c r="G26" s="391"/>
      <c r="H26" s="391"/>
      <c r="I26" s="385"/>
      <c r="J26" s="391"/>
      <c r="K26" s="391"/>
      <c r="L26" s="385"/>
      <c r="M26" s="391"/>
      <c r="N26" s="391"/>
      <c r="O26" s="385"/>
      <c r="P26" s="391"/>
      <c r="Q26" s="391"/>
      <c r="R26" s="385"/>
      <c r="S26" s="391"/>
      <c r="T26" s="391"/>
      <c r="U26" s="385"/>
      <c r="V26" s="391"/>
      <c r="W26" s="391"/>
      <c r="X26" s="385"/>
      <c r="Y26" s="391"/>
      <c r="Z26" s="391"/>
      <c r="AA26" s="385"/>
      <c r="AB26" s="391"/>
      <c r="AC26" s="391"/>
    </row>
    <row r="27" spans="1:29" x14ac:dyDescent="0.2">
      <c r="A27" s="239" t="s">
        <v>182</v>
      </c>
      <c r="B27" s="240"/>
      <c r="C27" s="388"/>
      <c r="D27" s="389"/>
      <c r="E27" s="389"/>
      <c r="F27" s="486"/>
      <c r="G27" s="389"/>
      <c r="H27" s="389"/>
      <c r="I27" s="385"/>
      <c r="J27" s="389"/>
      <c r="K27" s="389"/>
      <c r="L27" s="385"/>
      <c r="M27" s="389"/>
      <c r="N27" s="389"/>
      <c r="O27" s="385"/>
      <c r="P27" s="389"/>
      <c r="Q27" s="389"/>
      <c r="R27" s="385"/>
      <c r="S27" s="389"/>
      <c r="T27" s="389"/>
      <c r="U27" s="385"/>
      <c r="V27" s="389"/>
      <c r="W27" s="389"/>
      <c r="X27" s="385"/>
      <c r="Y27" s="389"/>
      <c r="Z27" s="389"/>
      <c r="AA27" s="385"/>
      <c r="AB27" s="389"/>
      <c r="AC27" s="389"/>
    </row>
    <row r="28" spans="1:29" s="28" customFormat="1" ht="11.25" customHeight="1" x14ac:dyDescent="0.2">
      <c r="A28" s="241"/>
      <c r="B28" s="235"/>
      <c r="C28" s="390"/>
      <c r="D28" s="391"/>
      <c r="E28" s="391"/>
      <c r="F28" s="486"/>
      <c r="G28" s="391"/>
      <c r="H28" s="391"/>
      <c r="I28" s="385"/>
      <c r="J28" s="391"/>
      <c r="K28" s="391"/>
      <c r="L28" s="385"/>
      <c r="M28" s="391"/>
      <c r="N28" s="391"/>
      <c r="O28" s="385"/>
      <c r="P28" s="391"/>
      <c r="Q28" s="391"/>
      <c r="R28" s="385"/>
      <c r="S28" s="391"/>
      <c r="T28" s="391"/>
      <c r="U28" s="385"/>
      <c r="V28" s="391"/>
      <c r="W28" s="391"/>
      <c r="X28" s="385"/>
      <c r="Y28" s="391"/>
      <c r="Z28" s="391"/>
      <c r="AA28" s="385"/>
      <c r="AB28" s="391"/>
      <c r="AC28" s="391"/>
    </row>
    <row r="29" spans="1:29" x14ac:dyDescent="0.2">
      <c r="A29" s="239" t="s">
        <v>60</v>
      </c>
      <c r="B29" s="240"/>
      <c r="C29" s="388"/>
      <c r="D29" s="389"/>
      <c r="E29" s="389"/>
      <c r="F29" s="486"/>
      <c r="G29" s="389"/>
      <c r="H29" s="389"/>
      <c r="I29" s="385"/>
      <c r="J29" s="389"/>
      <c r="K29" s="389"/>
      <c r="L29" s="385"/>
      <c r="M29" s="389"/>
      <c r="N29" s="389"/>
      <c r="O29" s="385"/>
      <c r="P29" s="389"/>
      <c r="Q29" s="389"/>
      <c r="R29" s="385"/>
      <c r="S29" s="389"/>
      <c r="T29" s="389"/>
      <c r="U29" s="385"/>
      <c r="V29" s="389"/>
      <c r="W29" s="389"/>
      <c r="X29" s="385"/>
      <c r="Y29" s="389"/>
      <c r="Z29" s="389"/>
      <c r="AA29" s="385"/>
      <c r="AB29" s="389"/>
      <c r="AC29" s="389"/>
    </row>
    <row r="30" spans="1:29" s="28" customFormat="1" ht="11.25" customHeight="1" x14ac:dyDescent="0.2">
      <c r="A30" s="241"/>
      <c r="B30" s="235"/>
      <c r="C30" s="390"/>
      <c r="D30" s="391"/>
      <c r="E30" s="391"/>
      <c r="F30" s="486"/>
      <c r="G30" s="391"/>
      <c r="H30" s="391"/>
      <c r="I30" s="385"/>
      <c r="J30" s="391"/>
      <c r="K30" s="391"/>
      <c r="L30" s="385"/>
      <c r="M30" s="391"/>
      <c r="N30" s="391"/>
      <c r="O30" s="385"/>
      <c r="P30" s="391"/>
      <c r="Q30" s="391"/>
      <c r="R30" s="385"/>
      <c r="S30" s="391"/>
      <c r="T30" s="391"/>
      <c r="U30" s="385"/>
      <c r="V30" s="391"/>
      <c r="W30" s="391"/>
      <c r="X30" s="385"/>
      <c r="Y30" s="391"/>
      <c r="Z30" s="391"/>
      <c r="AA30" s="385"/>
      <c r="AB30" s="391"/>
      <c r="AC30" s="391"/>
    </row>
    <row r="31" spans="1:29" x14ac:dyDescent="0.2">
      <c r="A31" s="239" t="s">
        <v>61</v>
      </c>
      <c r="B31" s="240"/>
      <c r="C31" s="388"/>
      <c r="D31" s="389"/>
      <c r="E31" s="389"/>
      <c r="F31" s="486"/>
      <c r="G31" s="389"/>
      <c r="H31" s="389"/>
      <c r="I31" s="385"/>
      <c r="J31" s="389"/>
      <c r="K31" s="389"/>
      <c r="L31" s="385"/>
      <c r="M31" s="389"/>
      <c r="N31" s="389"/>
      <c r="O31" s="385"/>
      <c r="P31" s="389"/>
      <c r="Q31" s="389"/>
      <c r="R31" s="385"/>
      <c r="S31" s="389"/>
      <c r="T31" s="389"/>
      <c r="U31" s="385"/>
      <c r="V31" s="389"/>
      <c r="W31" s="389"/>
      <c r="X31" s="385"/>
      <c r="Y31" s="389"/>
      <c r="Z31" s="389"/>
      <c r="AA31" s="385"/>
      <c r="AB31" s="389"/>
      <c r="AC31" s="389"/>
    </row>
    <row r="32" spans="1:29" s="28" customFormat="1" ht="11.25" customHeight="1" x14ac:dyDescent="0.2">
      <c r="A32" s="241"/>
      <c r="B32" s="235"/>
      <c r="C32" s="390"/>
      <c r="D32" s="391"/>
      <c r="E32" s="391"/>
      <c r="F32" s="486"/>
      <c r="G32" s="391"/>
      <c r="H32" s="391"/>
      <c r="I32" s="385"/>
      <c r="J32" s="391"/>
      <c r="K32" s="391"/>
      <c r="L32" s="385"/>
      <c r="M32" s="391"/>
      <c r="N32" s="391"/>
      <c r="O32" s="385"/>
      <c r="P32" s="391"/>
      <c r="Q32" s="391"/>
      <c r="R32" s="385"/>
      <c r="S32" s="391"/>
      <c r="T32" s="391"/>
      <c r="U32" s="385"/>
      <c r="V32" s="391"/>
      <c r="W32" s="391"/>
      <c r="X32" s="385"/>
      <c r="Y32" s="391"/>
      <c r="Z32" s="391"/>
      <c r="AA32" s="385"/>
      <c r="AB32" s="391"/>
      <c r="AC32" s="391"/>
    </row>
    <row r="33" spans="1:29" x14ac:dyDescent="0.2">
      <c r="A33" s="239" t="s">
        <v>62</v>
      </c>
      <c r="B33" s="240"/>
      <c r="C33" s="388"/>
      <c r="D33" s="389"/>
      <c r="E33" s="389"/>
      <c r="F33" s="486"/>
      <c r="G33" s="389"/>
      <c r="H33" s="389"/>
      <c r="I33" s="385"/>
      <c r="J33" s="389"/>
      <c r="K33" s="389"/>
      <c r="L33" s="385"/>
      <c r="M33" s="389"/>
      <c r="N33" s="389"/>
      <c r="O33" s="385"/>
      <c r="P33" s="389"/>
      <c r="Q33" s="389"/>
      <c r="R33" s="385"/>
      <c r="S33" s="389"/>
      <c r="T33" s="389"/>
      <c r="U33" s="385"/>
      <c r="V33" s="389"/>
      <c r="W33" s="389"/>
      <c r="X33" s="385"/>
      <c r="Y33" s="389"/>
      <c r="Z33" s="389"/>
      <c r="AA33" s="385"/>
      <c r="AB33" s="389"/>
      <c r="AC33" s="389"/>
    </row>
    <row r="34" spans="1:29" s="28" customFormat="1" ht="11.25" customHeight="1" x14ac:dyDescent="0.2">
      <c r="A34" s="241"/>
      <c r="B34" s="235"/>
      <c r="C34" s="390"/>
      <c r="D34" s="391"/>
      <c r="E34" s="391"/>
      <c r="F34" s="486"/>
      <c r="G34" s="391"/>
      <c r="H34" s="391"/>
      <c r="I34" s="385"/>
      <c r="J34" s="391"/>
      <c r="K34" s="391"/>
      <c r="L34" s="385"/>
      <c r="M34" s="391"/>
      <c r="N34" s="391"/>
      <c r="O34" s="385"/>
      <c r="P34" s="391"/>
      <c r="Q34" s="391"/>
      <c r="R34" s="385"/>
      <c r="S34" s="391"/>
      <c r="T34" s="391"/>
      <c r="U34" s="385"/>
      <c r="V34" s="391"/>
      <c r="W34" s="391"/>
      <c r="X34" s="385"/>
      <c r="Y34" s="391"/>
      <c r="Z34" s="391"/>
      <c r="AA34" s="385"/>
      <c r="AB34" s="391"/>
      <c r="AC34" s="391"/>
    </row>
    <row r="35" spans="1:29" x14ac:dyDescent="0.2">
      <c r="A35" s="239" t="s">
        <v>63</v>
      </c>
      <c r="B35" s="240"/>
      <c r="C35" s="388"/>
      <c r="D35" s="389"/>
      <c r="E35" s="389"/>
      <c r="F35" s="486"/>
      <c r="G35" s="389"/>
      <c r="H35" s="389"/>
      <c r="I35" s="385"/>
      <c r="J35" s="389"/>
      <c r="K35" s="389"/>
      <c r="L35" s="385"/>
      <c r="M35" s="389"/>
      <c r="N35" s="389"/>
      <c r="O35" s="385"/>
      <c r="P35" s="389"/>
      <c r="Q35" s="389"/>
      <c r="R35" s="385"/>
      <c r="S35" s="389"/>
      <c r="T35" s="389"/>
      <c r="U35" s="385"/>
      <c r="V35" s="389"/>
      <c r="W35" s="389"/>
      <c r="X35" s="385"/>
      <c r="Y35" s="389"/>
      <c r="Z35" s="389"/>
      <c r="AA35" s="385"/>
      <c r="AB35" s="389"/>
      <c r="AC35" s="389"/>
    </row>
    <row r="36" spans="1:29" s="28" customFormat="1" ht="12" customHeight="1" thickBot="1" x14ac:dyDescent="0.25">
      <c r="A36" s="241"/>
      <c r="B36" s="235"/>
      <c r="C36" s="462"/>
      <c r="D36" s="463"/>
      <c r="E36" s="463"/>
      <c r="F36" s="486"/>
      <c r="G36" s="463"/>
      <c r="H36" s="463"/>
      <c r="I36" s="385"/>
      <c r="J36" s="463"/>
      <c r="K36" s="463"/>
      <c r="L36" s="385"/>
      <c r="M36" s="463"/>
      <c r="N36" s="463"/>
      <c r="O36" s="385"/>
      <c r="P36" s="463"/>
      <c r="Q36" s="463"/>
      <c r="R36" s="385"/>
      <c r="S36" s="463"/>
      <c r="T36" s="463"/>
      <c r="U36" s="385"/>
      <c r="V36" s="463"/>
      <c r="W36" s="463"/>
      <c r="X36" s="385"/>
      <c r="Y36" s="463"/>
      <c r="Z36" s="463"/>
      <c r="AA36" s="385"/>
      <c r="AB36" s="463"/>
      <c r="AC36" s="463"/>
    </row>
    <row r="37" spans="1:29" x14ac:dyDescent="0.2">
      <c r="A37" s="191" t="s">
        <v>229</v>
      </c>
      <c r="B37" s="192"/>
      <c r="C37" s="383">
        <v>4</v>
      </c>
      <c r="D37" s="384"/>
      <c r="E37" s="384"/>
      <c r="F37" s="486"/>
      <c r="G37" s="384"/>
      <c r="H37" s="384"/>
      <c r="I37" s="385"/>
      <c r="J37" s="384"/>
      <c r="K37" s="384"/>
      <c r="L37" s="385"/>
      <c r="M37" s="384"/>
      <c r="N37" s="384"/>
      <c r="O37" s="385"/>
      <c r="P37" s="384"/>
      <c r="Q37" s="384"/>
      <c r="R37" s="385"/>
      <c r="S37" s="384"/>
      <c r="T37" s="384"/>
      <c r="U37" s="385"/>
      <c r="V37" s="384"/>
      <c r="W37" s="384"/>
      <c r="X37" s="385"/>
      <c r="Y37" s="384"/>
      <c r="Z37" s="384"/>
      <c r="AA37" s="385"/>
      <c r="AB37" s="384"/>
      <c r="AC37" s="384"/>
    </row>
    <row r="38" spans="1:29" x14ac:dyDescent="0.2">
      <c r="A38" s="242"/>
      <c r="B38" s="243"/>
      <c r="C38" s="386"/>
      <c r="D38" s="387"/>
      <c r="E38" s="387"/>
      <c r="F38" s="486"/>
      <c r="G38" s="387"/>
      <c r="H38" s="387"/>
      <c r="I38" s="385"/>
      <c r="J38" s="387"/>
      <c r="K38" s="387"/>
      <c r="L38" s="385"/>
      <c r="M38" s="387"/>
      <c r="N38" s="387"/>
      <c r="O38" s="385"/>
      <c r="P38" s="387"/>
      <c r="Q38" s="387"/>
      <c r="R38" s="385"/>
      <c r="S38" s="387"/>
      <c r="T38" s="387"/>
      <c r="U38" s="385"/>
      <c r="V38" s="387"/>
      <c r="W38" s="387"/>
      <c r="X38" s="385"/>
      <c r="Y38" s="387"/>
      <c r="Z38" s="387"/>
      <c r="AA38" s="385"/>
      <c r="AB38" s="387"/>
      <c r="AC38" s="387"/>
    </row>
    <row r="39" spans="1:29" x14ac:dyDescent="0.2">
      <c r="A39" s="239" t="str">
        <f>A37</f>
        <v>Cartões</v>
      </c>
      <c r="B39" s="240"/>
      <c r="C39" s="388">
        <v>8</v>
      </c>
      <c r="D39" s="389">
        <v>2</v>
      </c>
      <c r="E39" s="389">
        <v>2</v>
      </c>
      <c r="F39" s="486">
        <v>1</v>
      </c>
      <c r="G39" s="389"/>
      <c r="H39" s="389"/>
      <c r="I39" s="385"/>
      <c r="J39" s="389"/>
      <c r="K39" s="389"/>
      <c r="L39" s="385"/>
      <c r="M39" s="389"/>
      <c r="N39" s="389"/>
      <c r="O39" s="385"/>
      <c r="P39" s="389"/>
      <c r="Q39" s="389"/>
      <c r="R39" s="385"/>
      <c r="S39" s="389"/>
      <c r="T39" s="389"/>
      <c r="U39" s="385"/>
      <c r="V39" s="389"/>
      <c r="W39" s="389"/>
      <c r="X39" s="385"/>
      <c r="Y39" s="389"/>
      <c r="Z39" s="389"/>
      <c r="AA39" s="385"/>
      <c r="AB39" s="389"/>
      <c r="AC39" s="389"/>
    </row>
    <row r="40" spans="1:29" x14ac:dyDescent="0.2">
      <c r="A40" s="241"/>
      <c r="B40" s="235"/>
      <c r="C40" s="390"/>
      <c r="D40" s="391">
        <v>8</v>
      </c>
      <c r="E40" s="391">
        <v>8</v>
      </c>
      <c r="F40" s="486"/>
      <c r="G40" s="391"/>
      <c r="H40" s="391"/>
      <c r="I40" s="385"/>
      <c r="J40" s="391"/>
      <c r="K40" s="391"/>
      <c r="L40" s="385"/>
      <c r="M40" s="391"/>
      <c r="N40" s="391"/>
      <c r="O40" s="385"/>
      <c r="P40" s="391"/>
      <c r="Q40" s="391"/>
      <c r="R40" s="385"/>
      <c r="S40" s="391"/>
      <c r="T40" s="391"/>
      <c r="U40" s="385"/>
      <c r="V40" s="391"/>
      <c r="W40" s="391"/>
      <c r="X40" s="385"/>
      <c r="Y40" s="391"/>
      <c r="Z40" s="391"/>
      <c r="AA40" s="385"/>
      <c r="AB40" s="391"/>
      <c r="AC40" s="391"/>
    </row>
    <row r="41" spans="1:29" x14ac:dyDescent="0.2">
      <c r="A41" s="239" t="s">
        <v>182</v>
      </c>
      <c r="B41" s="240"/>
      <c r="C41" s="388"/>
      <c r="D41" s="389"/>
      <c r="E41" s="389"/>
      <c r="F41" s="486"/>
      <c r="G41" s="389"/>
      <c r="H41" s="389"/>
      <c r="I41" s="385"/>
      <c r="J41" s="389"/>
      <c r="K41" s="389"/>
      <c r="L41" s="385"/>
      <c r="M41" s="389"/>
      <c r="N41" s="389"/>
      <c r="O41" s="385"/>
      <c r="P41" s="389"/>
      <c r="Q41" s="389"/>
      <c r="R41" s="385"/>
      <c r="S41" s="389"/>
      <c r="T41" s="389"/>
      <c r="U41" s="385"/>
      <c r="V41" s="389"/>
      <c r="W41" s="389"/>
      <c r="X41" s="385"/>
      <c r="Y41" s="389"/>
      <c r="Z41" s="389"/>
      <c r="AA41" s="385"/>
      <c r="AB41" s="389"/>
      <c r="AC41" s="389"/>
    </row>
    <row r="42" spans="1:29" x14ac:dyDescent="0.2">
      <c r="A42" s="241"/>
      <c r="B42" s="235"/>
      <c r="C42" s="390"/>
      <c r="D42" s="391"/>
      <c r="E42" s="391"/>
      <c r="F42" s="486"/>
      <c r="G42" s="391"/>
      <c r="H42" s="391"/>
      <c r="I42" s="385"/>
      <c r="J42" s="391"/>
      <c r="K42" s="391"/>
      <c r="L42" s="385"/>
      <c r="M42" s="391"/>
      <c r="N42" s="391"/>
      <c r="O42" s="385"/>
      <c r="P42" s="391"/>
      <c r="Q42" s="391"/>
      <c r="R42" s="385"/>
      <c r="S42" s="391"/>
      <c r="T42" s="391"/>
      <c r="U42" s="385"/>
      <c r="V42" s="391"/>
      <c r="W42" s="391"/>
      <c r="X42" s="385"/>
      <c r="Y42" s="391"/>
      <c r="Z42" s="391"/>
      <c r="AA42" s="385"/>
      <c r="AB42" s="391"/>
      <c r="AC42" s="391"/>
    </row>
    <row r="43" spans="1:29" x14ac:dyDescent="0.2">
      <c r="A43" s="239" t="s">
        <v>182</v>
      </c>
      <c r="B43" s="240"/>
      <c r="C43" s="388"/>
      <c r="D43" s="389"/>
      <c r="E43" s="389"/>
      <c r="F43" s="486"/>
      <c r="G43" s="389"/>
      <c r="H43" s="389"/>
      <c r="I43" s="385"/>
      <c r="J43" s="389"/>
      <c r="K43" s="389"/>
      <c r="L43" s="385"/>
      <c r="M43" s="389"/>
      <c r="N43" s="389"/>
      <c r="O43" s="385"/>
      <c r="P43" s="389"/>
      <c r="Q43" s="389"/>
      <c r="R43" s="385"/>
      <c r="S43" s="389"/>
      <c r="T43" s="389"/>
      <c r="U43" s="385"/>
      <c r="V43" s="389"/>
      <c r="W43" s="389"/>
      <c r="X43" s="385"/>
      <c r="Y43" s="389"/>
      <c r="Z43" s="389"/>
      <c r="AA43" s="385"/>
      <c r="AB43" s="389"/>
      <c r="AC43" s="389"/>
    </row>
    <row r="44" spans="1:29" x14ac:dyDescent="0.2">
      <c r="A44" s="241"/>
      <c r="B44" s="235"/>
      <c r="C44" s="390"/>
      <c r="D44" s="391"/>
      <c r="E44" s="391"/>
      <c r="F44" s="486"/>
      <c r="G44" s="391"/>
      <c r="H44" s="391"/>
      <c r="I44" s="385"/>
      <c r="J44" s="391"/>
      <c r="K44" s="391"/>
      <c r="L44" s="385"/>
      <c r="M44" s="391"/>
      <c r="N44" s="391"/>
      <c r="O44" s="385"/>
      <c r="P44" s="391"/>
      <c r="Q44" s="391"/>
      <c r="R44" s="385"/>
      <c r="S44" s="391"/>
      <c r="T44" s="391"/>
      <c r="U44" s="385"/>
      <c r="V44" s="391"/>
      <c r="W44" s="391"/>
      <c r="X44" s="385"/>
      <c r="Y44" s="391"/>
      <c r="Z44" s="391"/>
      <c r="AA44" s="385"/>
      <c r="AB44" s="391"/>
      <c r="AC44" s="391"/>
    </row>
    <row r="45" spans="1:29" x14ac:dyDescent="0.2">
      <c r="A45" s="239" t="s">
        <v>60</v>
      </c>
      <c r="B45" s="240"/>
      <c r="C45" s="388"/>
      <c r="D45" s="389"/>
      <c r="E45" s="389"/>
      <c r="F45" s="486"/>
      <c r="G45" s="389"/>
      <c r="H45" s="389"/>
      <c r="I45" s="385"/>
      <c r="J45" s="389"/>
      <c r="K45" s="389"/>
      <c r="L45" s="385"/>
      <c r="M45" s="389"/>
      <c r="N45" s="389"/>
      <c r="O45" s="385"/>
      <c r="P45" s="389"/>
      <c r="Q45" s="389"/>
      <c r="R45" s="385"/>
      <c r="S45" s="389"/>
      <c r="T45" s="389"/>
      <c r="U45" s="385"/>
      <c r="V45" s="389"/>
      <c r="W45" s="389"/>
      <c r="X45" s="385"/>
      <c r="Y45" s="389"/>
      <c r="Z45" s="389"/>
      <c r="AA45" s="385"/>
      <c r="AB45" s="389"/>
      <c r="AC45" s="389"/>
    </row>
    <row r="46" spans="1:29" x14ac:dyDescent="0.2">
      <c r="A46" s="241"/>
      <c r="B46" s="235"/>
      <c r="C46" s="390"/>
      <c r="D46" s="391"/>
      <c r="E46" s="391"/>
      <c r="F46" s="486"/>
      <c r="G46" s="391"/>
      <c r="H46" s="391"/>
      <c r="I46" s="385"/>
      <c r="J46" s="391"/>
      <c r="K46" s="391"/>
      <c r="L46" s="385"/>
      <c r="M46" s="391"/>
      <c r="N46" s="391"/>
      <c r="O46" s="385"/>
      <c r="P46" s="391"/>
      <c r="Q46" s="391"/>
      <c r="R46" s="385"/>
      <c r="S46" s="391"/>
      <c r="T46" s="391"/>
      <c r="U46" s="385"/>
      <c r="V46" s="391"/>
      <c r="W46" s="391"/>
      <c r="X46" s="385"/>
      <c r="Y46" s="391"/>
      <c r="Z46" s="391"/>
      <c r="AA46" s="385"/>
      <c r="AB46" s="391"/>
      <c r="AC46" s="391"/>
    </row>
    <row r="47" spans="1:29" x14ac:dyDescent="0.2">
      <c r="A47" s="239" t="s">
        <v>61</v>
      </c>
      <c r="B47" s="240"/>
      <c r="C47" s="388"/>
      <c r="D47" s="389"/>
      <c r="E47" s="389"/>
      <c r="F47" s="486"/>
      <c r="G47" s="389"/>
      <c r="H47" s="389"/>
      <c r="I47" s="385"/>
      <c r="J47" s="389"/>
      <c r="K47" s="389"/>
      <c r="L47" s="385"/>
      <c r="M47" s="389"/>
      <c r="N47" s="389"/>
      <c r="O47" s="385"/>
      <c r="P47" s="389"/>
      <c r="Q47" s="389"/>
      <c r="R47" s="385"/>
      <c r="S47" s="389"/>
      <c r="T47" s="389"/>
      <c r="U47" s="385"/>
      <c r="V47" s="389"/>
      <c r="W47" s="389"/>
      <c r="X47" s="385"/>
      <c r="Y47" s="389"/>
      <c r="Z47" s="389"/>
      <c r="AA47" s="385"/>
      <c r="AB47" s="389"/>
      <c r="AC47" s="389"/>
    </row>
    <row r="48" spans="1:29" x14ac:dyDescent="0.2">
      <c r="A48" s="241"/>
      <c r="B48" s="235"/>
      <c r="C48" s="390"/>
      <c r="D48" s="391"/>
      <c r="E48" s="391"/>
      <c r="F48" s="486"/>
      <c r="G48" s="391"/>
      <c r="H48" s="391"/>
      <c r="I48" s="385"/>
      <c r="J48" s="391"/>
      <c r="K48" s="391"/>
      <c r="L48" s="385"/>
      <c r="M48" s="391"/>
      <c r="N48" s="391"/>
      <c r="O48" s="385"/>
      <c r="P48" s="391"/>
      <c r="Q48" s="391"/>
      <c r="R48" s="385"/>
      <c r="S48" s="391"/>
      <c r="T48" s="391"/>
      <c r="U48" s="385"/>
      <c r="V48" s="391"/>
      <c r="W48" s="391"/>
      <c r="X48" s="385"/>
      <c r="Y48" s="391"/>
      <c r="Z48" s="391"/>
      <c r="AA48" s="385"/>
      <c r="AB48" s="391"/>
      <c r="AC48" s="391"/>
    </row>
    <row r="49" spans="1:29" x14ac:dyDescent="0.2">
      <c r="A49" s="239" t="s">
        <v>62</v>
      </c>
      <c r="B49" s="240"/>
      <c r="C49" s="388"/>
      <c r="D49" s="389"/>
      <c r="E49" s="389"/>
      <c r="F49" s="486"/>
      <c r="G49" s="389"/>
      <c r="H49" s="389"/>
      <c r="I49" s="385"/>
      <c r="J49" s="389"/>
      <c r="K49" s="389"/>
      <c r="L49" s="385"/>
      <c r="M49" s="389"/>
      <c r="N49" s="389"/>
      <c r="O49" s="385"/>
      <c r="P49" s="389"/>
      <c r="Q49" s="389"/>
      <c r="R49" s="385"/>
      <c r="S49" s="389"/>
      <c r="T49" s="389"/>
      <c r="U49" s="385"/>
      <c r="V49" s="389"/>
      <c r="W49" s="389"/>
      <c r="X49" s="385"/>
      <c r="Y49" s="389"/>
      <c r="Z49" s="389"/>
      <c r="AA49" s="385"/>
      <c r="AB49" s="389"/>
      <c r="AC49" s="389"/>
    </row>
    <row r="50" spans="1:29" x14ac:dyDescent="0.2">
      <c r="A50" s="241"/>
      <c r="B50" s="235"/>
      <c r="C50" s="390"/>
      <c r="D50" s="391"/>
      <c r="E50" s="391"/>
      <c r="F50" s="486"/>
      <c r="G50" s="391"/>
      <c r="H50" s="391"/>
      <c r="I50" s="385"/>
      <c r="J50" s="391"/>
      <c r="K50" s="391"/>
      <c r="L50" s="385"/>
      <c r="M50" s="391"/>
      <c r="N50" s="391"/>
      <c r="O50" s="385"/>
      <c r="P50" s="391"/>
      <c r="Q50" s="391"/>
      <c r="R50" s="385"/>
      <c r="S50" s="391"/>
      <c r="T50" s="391"/>
      <c r="U50" s="385"/>
      <c r="V50" s="391"/>
      <c r="W50" s="391"/>
      <c r="X50" s="385"/>
      <c r="Y50" s="391"/>
      <c r="Z50" s="391"/>
      <c r="AA50" s="385"/>
      <c r="AB50" s="391"/>
      <c r="AC50" s="391"/>
    </row>
    <row r="51" spans="1:29" x14ac:dyDescent="0.2">
      <c r="A51" s="239" t="s">
        <v>63</v>
      </c>
      <c r="B51" s="240"/>
      <c r="C51" s="388"/>
      <c r="D51" s="389"/>
      <c r="E51" s="389"/>
      <c r="F51" s="486"/>
      <c r="G51" s="389"/>
      <c r="H51" s="389"/>
      <c r="I51" s="385"/>
      <c r="J51" s="389"/>
      <c r="K51" s="389"/>
      <c r="L51" s="385"/>
      <c r="M51" s="389"/>
      <c r="N51" s="389"/>
      <c r="O51" s="385"/>
      <c r="P51" s="389"/>
      <c r="Q51" s="389"/>
      <c r="R51" s="385"/>
      <c r="S51" s="389"/>
      <c r="T51" s="389"/>
      <c r="U51" s="385"/>
      <c r="V51" s="389"/>
      <c r="W51" s="389"/>
      <c r="X51" s="385"/>
      <c r="Y51" s="389"/>
      <c r="Z51" s="389"/>
      <c r="AA51" s="385"/>
      <c r="AB51" s="389"/>
      <c r="AC51" s="389"/>
    </row>
    <row r="52" spans="1:29" ht="15.75" thickBot="1" x14ac:dyDescent="0.25">
      <c r="A52" s="241"/>
      <c r="B52" s="235"/>
      <c r="C52" s="462"/>
      <c r="D52" s="463"/>
      <c r="E52" s="463"/>
      <c r="F52" s="486"/>
      <c r="G52" s="463"/>
      <c r="H52" s="463"/>
      <c r="I52" s="385"/>
      <c r="J52" s="463"/>
      <c r="K52" s="463"/>
      <c r="L52" s="385"/>
      <c r="M52" s="463"/>
      <c r="N52" s="463"/>
      <c r="O52" s="385"/>
      <c r="P52" s="463"/>
      <c r="Q52" s="463"/>
      <c r="R52" s="385"/>
      <c r="S52" s="463"/>
      <c r="T52" s="463"/>
      <c r="U52" s="385"/>
      <c r="V52" s="463"/>
      <c r="W52" s="463"/>
      <c r="X52" s="385"/>
      <c r="Y52" s="463"/>
      <c r="Z52" s="463"/>
      <c r="AA52" s="385"/>
      <c r="AB52" s="463"/>
      <c r="AC52" s="463"/>
    </row>
    <row r="53" spans="1:29" x14ac:dyDescent="0.2">
      <c r="A53" s="191" t="s">
        <v>228</v>
      </c>
      <c r="B53" s="192"/>
      <c r="C53" s="383">
        <v>2</v>
      </c>
      <c r="D53" s="384"/>
      <c r="E53" s="384"/>
      <c r="F53" s="486"/>
      <c r="G53" s="384"/>
      <c r="H53" s="384"/>
      <c r="I53" s="385"/>
      <c r="J53" s="384"/>
      <c r="K53" s="384"/>
      <c r="L53" s="385"/>
      <c r="M53" s="384"/>
      <c r="N53" s="384"/>
      <c r="O53" s="385"/>
      <c r="P53" s="384"/>
      <c r="Q53" s="384"/>
      <c r="R53" s="385"/>
      <c r="S53" s="384"/>
      <c r="T53" s="384"/>
      <c r="U53" s="385"/>
      <c r="V53" s="384"/>
      <c r="W53" s="384"/>
      <c r="X53" s="385"/>
      <c r="Y53" s="384"/>
      <c r="Z53" s="384"/>
      <c r="AA53" s="385"/>
      <c r="AB53" s="384"/>
      <c r="AC53" s="384"/>
    </row>
    <row r="54" spans="1:29" x14ac:dyDescent="0.2">
      <c r="A54" s="242"/>
      <c r="B54" s="243"/>
      <c r="C54" s="386"/>
      <c r="D54" s="387"/>
      <c r="E54" s="387"/>
      <c r="F54" s="486"/>
      <c r="G54" s="387"/>
      <c r="H54" s="387"/>
      <c r="I54" s="385"/>
      <c r="J54" s="387"/>
      <c r="K54" s="387"/>
      <c r="L54" s="385"/>
      <c r="M54" s="387"/>
      <c r="N54" s="387"/>
      <c r="O54" s="385"/>
      <c r="P54" s="387"/>
      <c r="Q54" s="387"/>
      <c r="R54" s="385"/>
      <c r="S54" s="387"/>
      <c r="T54" s="387"/>
      <c r="U54" s="385"/>
      <c r="V54" s="387"/>
      <c r="W54" s="387"/>
      <c r="X54" s="385"/>
      <c r="Y54" s="387"/>
      <c r="Z54" s="387"/>
      <c r="AA54" s="385"/>
      <c r="AB54" s="387"/>
      <c r="AC54" s="387"/>
    </row>
    <row r="55" spans="1:29" x14ac:dyDescent="0.2">
      <c r="A55" s="239" t="str">
        <f>A53</f>
        <v>Bradesco Financiamentos</v>
      </c>
      <c r="B55" s="239"/>
      <c r="C55" s="388">
        <v>8</v>
      </c>
      <c r="D55" s="497">
        <v>2</v>
      </c>
      <c r="E55" s="497">
        <v>2</v>
      </c>
      <c r="F55" s="486">
        <v>1</v>
      </c>
      <c r="G55" s="389"/>
      <c r="H55" s="389"/>
      <c r="I55" s="385"/>
      <c r="J55" s="389"/>
      <c r="K55" s="389"/>
      <c r="L55" s="385"/>
      <c r="M55" s="389"/>
      <c r="N55" s="389"/>
      <c r="O55" s="385"/>
      <c r="P55" s="389"/>
      <c r="Q55" s="389"/>
      <c r="R55" s="385"/>
      <c r="S55" s="389"/>
      <c r="T55" s="389"/>
      <c r="U55" s="385"/>
      <c r="V55" s="389"/>
      <c r="W55" s="389"/>
      <c r="X55" s="385"/>
      <c r="Y55" s="389"/>
      <c r="Z55" s="389"/>
      <c r="AA55" s="385"/>
      <c r="AB55" s="389"/>
      <c r="AC55" s="389"/>
    </row>
    <row r="56" spans="1:29" x14ac:dyDescent="0.2">
      <c r="A56" s="241"/>
      <c r="B56" s="235"/>
      <c r="C56" s="390"/>
      <c r="D56" s="391">
        <v>8</v>
      </c>
      <c r="E56" s="391">
        <v>8</v>
      </c>
      <c r="F56" s="486"/>
      <c r="G56" s="391"/>
      <c r="H56" s="391"/>
      <c r="I56" s="385"/>
      <c r="J56" s="391"/>
      <c r="K56" s="391"/>
      <c r="L56" s="385"/>
      <c r="M56" s="391"/>
      <c r="N56" s="391"/>
      <c r="O56" s="385"/>
      <c r="P56" s="391"/>
      <c r="Q56" s="391"/>
      <c r="R56" s="385"/>
      <c r="S56" s="391"/>
      <c r="T56" s="391"/>
      <c r="U56" s="385"/>
      <c r="V56" s="391"/>
      <c r="W56" s="391"/>
      <c r="X56" s="385"/>
      <c r="Y56" s="391"/>
      <c r="Z56" s="391"/>
      <c r="AA56" s="385"/>
      <c r="AB56" s="391"/>
      <c r="AC56" s="391"/>
    </row>
    <row r="57" spans="1:29" x14ac:dyDescent="0.2">
      <c r="A57" s="239" t="s">
        <v>219</v>
      </c>
      <c r="B57" s="240"/>
      <c r="C57" s="388"/>
      <c r="D57" s="389"/>
      <c r="E57" s="389"/>
      <c r="F57" s="486"/>
      <c r="G57" s="389"/>
      <c r="H57" s="389"/>
      <c r="I57" s="385"/>
      <c r="J57" s="389"/>
      <c r="K57" s="389"/>
      <c r="L57" s="385"/>
      <c r="M57" s="389"/>
      <c r="N57" s="389"/>
      <c r="O57" s="385"/>
      <c r="P57" s="389"/>
      <c r="Q57" s="389"/>
      <c r="R57" s="385"/>
      <c r="S57" s="389"/>
      <c r="T57" s="389"/>
      <c r="U57" s="385"/>
      <c r="V57" s="389"/>
      <c r="W57" s="389"/>
      <c r="X57" s="385"/>
      <c r="Y57" s="389"/>
      <c r="Z57" s="389"/>
      <c r="AA57" s="385"/>
      <c r="AB57" s="389"/>
      <c r="AC57" s="389"/>
    </row>
    <row r="58" spans="1:29" x14ac:dyDescent="0.2">
      <c r="A58" s="241"/>
      <c r="B58" s="235"/>
      <c r="C58" s="390"/>
      <c r="D58" s="391"/>
      <c r="E58" s="391"/>
      <c r="F58" s="486"/>
      <c r="G58" s="391"/>
      <c r="H58" s="391"/>
      <c r="I58" s="385"/>
      <c r="J58" s="391"/>
      <c r="K58" s="391"/>
      <c r="L58" s="385"/>
      <c r="M58" s="391"/>
      <c r="N58" s="391"/>
      <c r="O58" s="385"/>
      <c r="P58" s="391"/>
      <c r="Q58" s="391"/>
      <c r="R58" s="385"/>
      <c r="S58" s="391"/>
      <c r="T58" s="391"/>
      <c r="U58" s="385"/>
      <c r="V58" s="391"/>
      <c r="W58" s="391"/>
      <c r="X58" s="385"/>
      <c r="Y58" s="391"/>
      <c r="Z58" s="391"/>
      <c r="AA58" s="385"/>
      <c r="AB58" s="391"/>
      <c r="AC58" s="391"/>
    </row>
    <row r="59" spans="1:29" x14ac:dyDescent="0.2">
      <c r="A59" s="239" t="s">
        <v>219</v>
      </c>
      <c r="B59" s="240"/>
      <c r="C59" s="388"/>
      <c r="D59" s="389"/>
      <c r="E59" s="389"/>
      <c r="F59" s="486"/>
      <c r="G59" s="389"/>
      <c r="H59" s="389"/>
      <c r="I59" s="385"/>
      <c r="J59" s="389"/>
      <c r="K59" s="389"/>
      <c r="L59" s="385"/>
      <c r="M59" s="389"/>
      <c r="N59" s="389"/>
      <c r="O59" s="385"/>
      <c r="P59" s="389"/>
      <c r="Q59" s="389"/>
      <c r="R59" s="385"/>
      <c r="S59" s="389"/>
      <c r="T59" s="389"/>
      <c r="U59" s="385"/>
      <c r="V59" s="389"/>
      <c r="W59" s="389"/>
      <c r="X59" s="385"/>
      <c r="Y59" s="389"/>
      <c r="Z59" s="389"/>
      <c r="AA59" s="385"/>
      <c r="AB59" s="389"/>
      <c r="AC59" s="389"/>
    </row>
    <row r="60" spans="1:29" x14ac:dyDescent="0.2">
      <c r="A60" s="241"/>
      <c r="B60" s="235"/>
      <c r="C60" s="390"/>
      <c r="D60" s="391"/>
      <c r="E60" s="391"/>
      <c r="F60" s="486"/>
      <c r="G60" s="391"/>
      <c r="H60" s="391"/>
      <c r="I60" s="385"/>
      <c r="J60" s="391"/>
      <c r="K60" s="391"/>
      <c r="L60" s="385"/>
      <c r="M60" s="391"/>
      <c r="N60" s="391"/>
      <c r="O60" s="385"/>
      <c r="P60" s="391"/>
      <c r="Q60" s="391"/>
      <c r="R60" s="385"/>
      <c r="S60" s="391"/>
      <c r="T60" s="391"/>
      <c r="U60" s="385"/>
      <c r="V60" s="391"/>
      <c r="W60" s="391"/>
      <c r="X60" s="385"/>
      <c r="Y60" s="391"/>
      <c r="Z60" s="391"/>
      <c r="AA60" s="385"/>
      <c r="AB60" s="391"/>
      <c r="AC60" s="391"/>
    </row>
    <row r="61" spans="1:29" x14ac:dyDescent="0.2">
      <c r="A61" s="239" t="s">
        <v>220</v>
      </c>
      <c r="B61" s="240"/>
      <c r="C61" s="388"/>
      <c r="D61" s="389"/>
      <c r="E61" s="389"/>
      <c r="F61" s="486"/>
      <c r="G61" s="389"/>
      <c r="H61" s="389"/>
      <c r="I61" s="385"/>
      <c r="J61" s="389"/>
      <c r="K61" s="389"/>
      <c r="L61" s="385"/>
      <c r="M61" s="389"/>
      <c r="N61" s="389"/>
      <c r="O61" s="385"/>
      <c r="P61" s="389"/>
      <c r="Q61" s="389"/>
      <c r="R61" s="385"/>
      <c r="S61" s="389"/>
      <c r="T61" s="389"/>
      <c r="U61" s="385"/>
      <c r="V61" s="389"/>
      <c r="W61" s="389"/>
      <c r="X61" s="385"/>
      <c r="Y61" s="389"/>
      <c r="Z61" s="389"/>
      <c r="AA61" s="385"/>
      <c r="AB61" s="389"/>
      <c r="AC61" s="389"/>
    </row>
    <row r="62" spans="1:29" x14ac:dyDescent="0.2">
      <c r="A62" s="241"/>
      <c r="B62" s="235"/>
      <c r="C62" s="390"/>
      <c r="D62" s="391"/>
      <c r="E62" s="391"/>
      <c r="F62" s="486"/>
      <c r="G62" s="391"/>
      <c r="H62" s="391"/>
      <c r="I62" s="385"/>
      <c r="J62" s="391"/>
      <c r="K62" s="391"/>
      <c r="L62" s="385"/>
      <c r="M62" s="391"/>
      <c r="N62" s="391"/>
      <c r="O62" s="385"/>
      <c r="P62" s="391"/>
      <c r="Q62" s="391"/>
      <c r="R62" s="385"/>
      <c r="S62" s="391"/>
      <c r="T62" s="391"/>
      <c r="U62" s="385"/>
      <c r="V62" s="391"/>
      <c r="W62" s="391"/>
      <c r="X62" s="385"/>
      <c r="Y62" s="391"/>
      <c r="Z62" s="391"/>
      <c r="AA62" s="385"/>
      <c r="AB62" s="391"/>
      <c r="AC62" s="391"/>
    </row>
    <row r="63" spans="1:29" x14ac:dyDescent="0.2">
      <c r="A63" s="239" t="s">
        <v>221</v>
      </c>
      <c r="B63" s="240"/>
      <c r="C63" s="388"/>
      <c r="D63" s="389"/>
      <c r="E63" s="389"/>
      <c r="F63" s="486"/>
      <c r="G63" s="389"/>
      <c r="H63" s="389"/>
      <c r="I63" s="385"/>
      <c r="J63" s="389"/>
      <c r="K63" s="389"/>
      <c r="L63" s="385"/>
      <c r="M63" s="389"/>
      <c r="N63" s="389"/>
      <c r="O63" s="385"/>
      <c r="P63" s="389"/>
      <c r="Q63" s="389"/>
      <c r="R63" s="385"/>
      <c r="S63" s="389"/>
      <c r="T63" s="389"/>
      <c r="U63" s="385"/>
      <c r="V63" s="389"/>
      <c r="W63" s="389"/>
      <c r="X63" s="385"/>
      <c r="Y63" s="389"/>
      <c r="Z63" s="389"/>
      <c r="AA63" s="385"/>
      <c r="AB63" s="389"/>
      <c r="AC63" s="389"/>
    </row>
    <row r="64" spans="1:29" x14ac:dyDescent="0.2">
      <c r="A64" s="241"/>
      <c r="B64" s="235"/>
      <c r="C64" s="390"/>
      <c r="D64" s="391"/>
      <c r="E64" s="391"/>
      <c r="F64" s="486"/>
      <c r="G64" s="391"/>
      <c r="H64" s="391"/>
      <c r="I64" s="385"/>
      <c r="J64" s="391"/>
      <c r="K64" s="391"/>
      <c r="L64" s="385"/>
      <c r="M64" s="391"/>
      <c r="N64" s="391"/>
      <c r="O64" s="385"/>
      <c r="P64" s="391"/>
      <c r="Q64" s="391"/>
      <c r="R64" s="385"/>
      <c r="S64" s="391"/>
      <c r="T64" s="391"/>
      <c r="U64" s="385"/>
      <c r="V64" s="391"/>
      <c r="W64" s="391"/>
      <c r="X64" s="385"/>
      <c r="Y64" s="391"/>
      <c r="Z64" s="391"/>
      <c r="AA64" s="385"/>
      <c r="AB64" s="391"/>
      <c r="AC64" s="391"/>
    </row>
    <row r="65" spans="1:29" x14ac:dyDescent="0.2">
      <c r="A65" s="239" t="s">
        <v>222</v>
      </c>
      <c r="B65" s="240"/>
      <c r="C65" s="388"/>
      <c r="D65" s="389"/>
      <c r="E65" s="389"/>
      <c r="F65" s="486"/>
      <c r="G65" s="389"/>
      <c r="H65" s="389"/>
      <c r="I65" s="385"/>
      <c r="J65" s="389"/>
      <c r="K65" s="389"/>
      <c r="L65" s="385"/>
      <c r="M65" s="389"/>
      <c r="N65" s="389"/>
      <c r="O65" s="385"/>
      <c r="P65" s="389"/>
      <c r="Q65" s="389"/>
      <c r="R65" s="385"/>
      <c r="S65" s="389"/>
      <c r="T65" s="389"/>
      <c r="U65" s="385"/>
      <c r="V65" s="389"/>
      <c r="W65" s="389"/>
      <c r="X65" s="385"/>
      <c r="Y65" s="389"/>
      <c r="Z65" s="389"/>
      <c r="AA65" s="385"/>
      <c r="AB65" s="389"/>
      <c r="AC65" s="389"/>
    </row>
    <row r="66" spans="1:29" x14ac:dyDescent="0.2">
      <c r="A66" s="241"/>
      <c r="B66" s="235"/>
      <c r="C66" s="390"/>
      <c r="D66" s="391"/>
      <c r="E66" s="391"/>
      <c r="F66" s="486"/>
      <c r="G66" s="391"/>
      <c r="H66" s="391"/>
      <c r="I66" s="385"/>
      <c r="J66" s="391"/>
      <c r="K66" s="391"/>
      <c r="L66" s="385"/>
      <c r="M66" s="391"/>
      <c r="N66" s="391"/>
      <c r="O66" s="385"/>
      <c r="P66" s="391"/>
      <c r="Q66" s="391"/>
      <c r="R66" s="385"/>
      <c r="S66" s="391"/>
      <c r="T66" s="391"/>
      <c r="U66" s="385"/>
      <c r="V66" s="391"/>
      <c r="W66" s="391"/>
      <c r="X66" s="385"/>
      <c r="Y66" s="391"/>
      <c r="Z66" s="391"/>
      <c r="AA66" s="385"/>
      <c r="AB66" s="391"/>
      <c r="AC66" s="391"/>
    </row>
    <row r="67" spans="1:29" x14ac:dyDescent="0.2">
      <c r="A67" s="239" t="s">
        <v>223</v>
      </c>
      <c r="B67" s="240"/>
      <c r="C67" s="388"/>
      <c r="D67" s="389"/>
      <c r="E67" s="389"/>
      <c r="F67" s="486"/>
      <c r="G67" s="389"/>
      <c r="H67" s="389"/>
      <c r="I67" s="385"/>
      <c r="J67" s="389"/>
      <c r="K67" s="389"/>
      <c r="L67" s="385"/>
      <c r="M67" s="389"/>
      <c r="N67" s="389"/>
      <c r="O67" s="385"/>
      <c r="P67" s="389"/>
      <c r="Q67" s="389"/>
      <c r="R67" s="385"/>
      <c r="S67" s="389"/>
      <c r="T67" s="389"/>
      <c r="U67" s="385"/>
      <c r="V67" s="389"/>
      <c r="W67" s="389"/>
      <c r="X67" s="385"/>
      <c r="Y67" s="389"/>
      <c r="Z67" s="389"/>
      <c r="AA67" s="385"/>
      <c r="AB67" s="389"/>
      <c r="AC67" s="389"/>
    </row>
    <row r="68" spans="1:29" ht="15.75" thickBot="1" x14ac:dyDescent="0.25">
      <c r="A68" s="241"/>
      <c r="B68" s="235"/>
      <c r="C68" s="462"/>
      <c r="D68" s="463"/>
      <c r="E68" s="463"/>
      <c r="F68" s="486"/>
      <c r="G68" s="463"/>
      <c r="H68" s="463"/>
      <c r="I68" s="385"/>
      <c r="J68" s="463"/>
      <c r="K68" s="463"/>
      <c r="L68" s="385"/>
      <c r="M68" s="463"/>
      <c r="N68" s="463"/>
      <c r="O68" s="385"/>
      <c r="P68" s="463"/>
      <c r="Q68" s="463"/>
      <c r="R68" s="385"/>
      <c r="S68" s="463"/>
      <c r="T68" s="463"/>
      <c r="U68" s="385"/>
      <c r="V68" s="463"/>
      <c r="W68" s="463"/>
      <c r="X68" s="385"/>
      <c r="Y68" s="463"/>
      <c r="Z68" s="463"/>
      <c r="AA68" s="385"/>
      <c r="AB68" s="463"/>
      <c r="AC68" s="463"/>
    </row>
    <row r="69" spans="1:29" x14ac:dyDescent="0.2">
      <c r="A69" s="191" t="s">
        <v>87</v>
      </c>
      <c r="B69" s="192"/>
      <c r="C69" s="383">
        <v>8</v>
      </c>
      <c r="D69" s="384"/>
      <c r="E69" s="384"/>
      <c r="F69" s="486"/>
      <c r="G69" s="384"/>
      <c r="H69" s="384"/>
      <c r="I69" s="385"/>
      <c r="J69" s="384"/>
      <c r="K69" s="384"/>
      <c r="L69" s="385"/>
      <c r="M69" s="384"/>
      <c r="N69" s="384"/>
      <c r="O69" s="385"/>
      <c r="P69" s="384"/>
      <c r="Q69" s="384"/>
      <c r="R69" s="385"/>
      <c r="S69" s="384"/>
      <c r="T69" s="384"/>
      <c r="U69" s="385"/>
      <c r="V69" s="384"/>
      <c r="W69" s="384"/>
      <c r="X69" s="385"/>
      <c r="Y69" s="384"/>
      <c r="Z69" s="384"/>
      <c r="AA69" s="385"/>
      <c r="AB69" s="384"/>
      <c r="AC69" s="384"/>
    </row>
    <row r="70" spans="1:29" x14ac:dyDescent="0.2">
      <c r="A70" s="242"/>
      <c r="B70" s="243"/>
      <c r="C70" s="386"/>
      <c r="D70" s="387"/>
      <c r="E70" s="387"/>
      <c r="F70" s="486"/>
      <c r="G70" s="387"/>
      <c r="H70" s="387"/>
      <c r="I70" s="385"/>
      <c r="J70" s="387"/>
      <c r="K70" s="387"/>
      <c r="L70" s="385"/>
      <c r="M70" s="387"/>
      <c r="N70" s="387"/>
      <c r="O70" s="385"/>
      <c r="P70" s="387"/>
      <c r="Q70" s="387"/>
      <c r="R70" s="385"/>
      <c r="S70" s="387"/>
      <c r="T70" s="387"/>
      <c r="U70" s="385"/>
      <c r="V70" s="387"/>
      <c r="W70" s="387"/>
      <c r="X70" s="385"/>
      <c r="Y70" s="387"/>
      <c r="Z70" s="387"/>
      <c r="AA70" s="385"/>
      <c r="AB70" s="387"/>
      <c r="AC70" s="387"/>
    </row>
    <row r="71" spans="1:29" x14ac:dyDescent="0.2">
      <c r="A71" s="239" t="str">
        <f>A69</f>
        <v>Tesouraria</v>
      </c>
      <c r="B71" s="240"/>
      <c r="C71" s="388">
        <v>8</v>
      </c>
      <c r="D71" s="389"/>
      <c r="E71" s="389"/>
      <c r="F71" s="486"/>
      <c r="G71" s="389">
        <v>2</v>
      </c>
      <c r="H71" s="389">
        <v>2</v>
      </c>
      <c r="I71" s="385"/>
      <c r="J71" s="389">
        <v>1</v>
      </c>
      <c r="K71" s="389">
        <v>2</v>
      </c>
      <c r="L71" s="385"/>
      <c r="M71" s="389"/>
      <c r="N71" s="389"/>
      <c r="O71" s="385"/>
      <c r="P71" s="389"/>
      <c r="Q71" s="389"/>
      <c r="R71" s="385"/>
      <c r="S71" s="389"/>
      <c r="T71" s="389"/>
      <c r="U71" s="385"/>
      <c r="V71" s="389"/>
      <c r="W71" s="389"/>
      <c r="X71" s="385"/>
      <c r="Y71" s="389"/>
      <c r="Z71" s="389"/>
      <c r="AA71" s="385"/>
      <c r="AB71" s="389"/>
      <c r="AC71" s="389"/>
    </row>
    <row r="72" spans="1:29" x14ac:dyDescent="0.2">
      <c r="A72" s="241"/>
      <c r="B72" s="235"/>
      <c r="C72" s="390"/>
      <c r="D72" s="391"/>
      <c r="E72" s="391"/>
      <c r="F72" s="486"/>
      <c r="G72" s="391">
        <v>8</v>
      </c>
      <c r="H72" s="391">
        <v>8</v>
      </c>
      <c r="I72" s="385"/>
      <c r="J72" s="391">
        <v>8</v>
      </c>
      <c r="K72" s="391">
        <v>8</v>
      </c>
      <c r="L72" s="385"/>
      <c r="M72" s="391"/>
      <c r="N72" s="391"/>
      <c r="O72" s="385"/>
      <c r="P72" s="391"/>
      <c r="Q72" s="391"/>
      <c r="R72" s="385"/>
      <c r="S72" s="391"/>
      <c r="T72" s="391"/>
      <c r="U72" s="385"/>
      <c r="V72" s="391"/>
      <c r="W72" s="391"/>
      <c r="X72" s="385"/>
      <c r="Y72" s="391"/>
      <c r="Z72" s="391"/>
      <c r="AA72" s="385"/>
      <c r="AB72" s="391"/>
      <c r="AC72" s="391"/>
    </row>
    <row r="73" spans="1:29" x14ac:dyDescent="0.2">
      <c r="A73" s="239" t="s">
        <v>224</v>
      </c>
      <c r="B73" s="240"/>
      <c r="C73" s="388"/>
      <c r="D73" s="389"/>
      <c r="E73" s="389"/>
      <c r="F73" s="486"/>
      <c r="G73" s="389"/>
      <c r="H73" s="389"/>
      <c r="I73" s="385"/>
      <c r="J73" s="389"/>
      <c r="K73" s="389"/>
      <c r="L73" s="385"/>
      <c r="M73" s="389"/>
      <c r="N73" s="389"/>
      <c r="O73" s="385"/>
      <c r="P73" s="389"/>
      <c r="Q73" s="389"/>
      <c r="R73" s="385"/>
      <c r="S73" s="389"/>
      <c r="T73" s="389"/>
      <c r="U73" s="385"/>
      <c r="V73" s="389"/>
      <c r="W73" s="389"/>
      <c r="X73" s="385"/>
      <c r="Y73" s="389"/>
      <c r="Z73" s="389"/>
      <c r="AA73" s="385"/>
      <c r="AB73" s="389"/>
      <c r="AC73" s="389"/>
    </row>
    <row r="74" spans="1:29" x14ac:dyDescent="0.2">
      <c r="A74" s="241"/>
      <c r="B74" s="235"/>
      <c r="C74" s="390"/>
      <c r="D74" s="391"/>
      <c r="E74" s="391"/>
      <c r="F74" s="486"/>
      <c r="G74" s="391"/>
      <c r="H74" s="391"/>
      <c r="I74" s="385"/>
      <c r="J74" s="391"/>
      <c r="K74" s="391"/>
      <c r="L74" s="385"/>
      <c r="M74" s="391"/>
      <c r="N74" s="391"/>
      <c r="O74" s="385"/>
      <c r="P74" s="391"/>
      <c r="Q74" s="391"/>
      <c r="R74" s="385"/>
      <c r="S74" s="391"/>
      <c r="T74" s="391"/>
      <c r="U74" s="385"/>
      <c r="V74" s="391"/>
      <c r="W74" s="391"/>
      <c r="X74" s="385"/>
      <c r="Y74" s="391"/>
      <c r="Z74" s="391"/>
      <c r="AA74" s="385"/>
      <c r="AB74" s="391"/>
      <c r="AC74" s="391"/>
    </row>
    <row r="75" spans="1:29" x14ac:dyDescent="0.2">
      <c r="A75" s="239" t="s">
        <v>225</v>
      </c>
      <c r="B75" s="240"/>
      <c r="C75" s="388"/>
      <c r="D75" s="389"/>
      <c r="E75" s="389"/>
      <c r="F75" s="486"/>
      <c r="G75" s="389"/>
      <c r="H75" s="389"/>
      <c r="I75" s="385"/>
      <c r="J75" s="389"/>
      <c r="K75" s="389"/>
      <c r="L75" s="385"/>
      <c r="M75" s="389"/>
      <c r="N75" s="389"/>
      <c r="O75" s="385"/>
      <c r="P75" s="389"/>
      <c r="Q75" s="389"/>
      <c r="R75" s="385"/>
      <c r="S75" s="389"/>
      <c r="T75" s="389"/>
      <c r="U75" s="385"/>
      <c r="V75" s="389"/>
      <c r="W75" s="389"/>
      <c r="X75" s="385"/>
      <c r="Y75" s="389"/>
      <c r="Z75" s="389"/>
      <c r="AA75" s="385"/>
      <c r="AB75" s="389"/>
      <c r="AC75" s="389"/>
    </row>
    <row r="76" spans="1:29" x14ac:dyDescent="0.2">
      <c r="A76" s="241"/>
      <c r="B76" s="235"/>
      <c r="C76" s="390"/>
      <c r="D76" s="391"/>
      <c r="E76" s="391"/>
      <c r="F76" s="486"/>
      <c r="G76" s="391"/>
      <c r="H76" s="391"/>
      <c r="I76" s="385"/>
      <c r="J76" s="391"/>
      <c r="K76" s="391"/>
      <c r="L76" s="385"/>
      <c r="M76" s="391"/>
      <c r="N76" s="391"/>
      <c r="O76" s="385"/>
      <c r="P76" s="391"/>
      <c r="Q76" s="391"/>
      <c r="R76" s="385"/>
      <c r="S76" s="391"/>
      <c r="T76" s="391"/>
      <c r="U76" s="385"/>
      <c r="V76" s="391"/>
      <c r="W76" s="391"/>
      <c r="X76" s="385"/>
      <c r="Y76" s="391"/>
      <c r="Z76" s="391"/>
      <c r="AA76" s="385"/>
      <c r="AB76" s="391"/>
      <c r="AC76" s="391"/>
    </row>
    <row r="77" spans="1:29" x14ac:dyDescent="0.2">
      <c r="A77" s="239" t="s">
        <v>64</v>
      </c>
      <c r="B77" s="240"/>
      <c r="C77" s="388"/>
      <c r="D77" s="389"/>
      <c r="E77" s="389"/>
      <c r="F77" s="486"/>
      <c r="G77" s="389"/>
      <c r="H77" s="389"/>
      <c r="I77" s="385"/>
      <c r="J77" s="389"/>
      <c r="K77" s="389"/>
      <c r="L77" s="385"/>
      <c r="M77" s="389"/>
      <c r="N77" s="389"/>
      <c r="O77" s="385"/>
      <c r="P77" s="389"/>
      <c r="Q77" s="389"/>
      <c r="R77" s="385"/>
      <c r="S77" s="389"/>
      <c r="T77" s="389"/>
      <c r="U77" s="385"/>
      <c r="V77" s="389"/>
      <c r="W77" s="389"/>
      <c r="X77" s="385"/>
      <c r="Y77" s="389"/>
      <c r="Z77" s="389"/>
      <c r="AA77" s="385"/>
      <c r="AB77" s="389"/>
      <c r="AC77" s="389"/>
    </row>
    <row r="78" spans="1:29" x14ac:dyDescent="0.2">
      <c r="A78" s="241"/>
      <c r="B78" s="235"/>
      <c r="C78" s="390"/>
      <c r="D78" s="391"/>
      <c r="E78" s="391"/>
      <c r="F78" s="486"/>
      <c r="G78" s="391"/>
      <c r="H78" s="391"/>
      <c r="I78" s="385"/>
      <c r="J78" s="391"/>
      <c r="K78" s="391"/>
      <c r="L78" s="385"/>
      <c r="M78" s="391"/>
      <c r="N78" s="391"/>
      <c r="O78" s="385"/>
      <c r="P78" s="391"/>
      <c r="Q78" s="391"/>
      <c r="R78" s="385"/>
      <c r="S78" s="391"/>
      <c r="T78" s="391"/>
      <c r="U78" s="385"/>
      <c r="V78" s="391"/>
      <c r="W78" s="391"/>
      <c r="X78" s="385"/>
      <c r="Y78" s="391"/>
      <c r="Z78" s="391"/>
      <c r="AA78" s="385"/>
      <c r="AB78" s="391"/>
      <c r="AC78" s="391"/>
    </row>
    <row r="79" spans="1:29" x14ac:dyDescent="0.2">
      <c r="A79" s="239" t="s">
        <v>65</v>
      </c>
      <c r="B79" s="240"/>
      <c r="C79" s="388"/>
      <c r="D79" s="389"/>
      <c r="E79" s="389"/>
      <c r="F79" s="486"/>
      <c r="G79" s="389"/>
      <c r="H79" s="389"/>
      <c r="I79" s="385"/>
      <c r="J79" s="389"/>
      <c r="K79" s="389"/>
      <c r="L79" s="385"/>
      <c r="M79" s="389"/>
      <c r="N79" s="389"/>
      <c r="O79" s="385"/>
      <c r="P79" s="389"/>
      <c r="Q79" s="389"/>
      <c r="R79" s="385"/>
      <c r="S79" s="389"/>
      <c r="T79" s="389"/>
      <c r="U79" s="385"/>
      <c r="V79" s="389"/>
      <c r="W79" s="389"/>
      <c r="X79" s="385"/>
      <c r="Y79" s="389"/>
      <c r="Z79" s="389"/>
      <c r="AA79" s="385"/>
      <c r="AB79" s="389"/>
      <c r="AC79" s="389"/>
    </row>
    <row r="80" spans="1:29" x14ac:dyDescent="0.2">
      <c r="A80" s="241"/>
      <c r="B80" s="235"/>
      <c r="C80" s="390"/>
      <c r="D80" s="391"/>
      <c r="E80" s="391"/>
      <c r="F80" s="486"/>
      <c r="G80" s="391"/>
      <c r="H80" s="391"/>
      <c r="I80" s="385"/>
      <c r="J80" s="391"/>
      <c r="K80" s="391"/>
      <c r="L80" s="385"/>
      <c r="M80" s="391"/>
      <c r="N80" s="391"/>
      <c r="O80" s="385"/>
      <c r="P80" s="391"/>
      <c r="Q80" s="391"/>
      <c r="R80" s="385"/>
      <c r="S80" s="391"/>
      <c r="T80" s="391"/>
      <c r="U80" s="385"/>
      <c r="V80" s="391"/>
      <c r="W80" s="391"/>
      <c r="X80" s="385"/>
      <c r="Y80" s="391"/>
      <c r="Z80" s="391"/>
      <c r="AA80" s="385"/>
      <c r="AB80" s="391"/>
      <c r="AC80" s="391"/>
    </row>
    <row r="81" spans="1:29" x14ac:dyDescent="0.2">
      <c r="A81" s="239" t="s">
        <v>66</v>
      </c>
      <c r="B81" s="240"/>
      <c r="C81" s="388"/>
      <c r="D81" s="389"/>
      <c r="E81" s="389"/>
      <c r="F81" s="486"/>
      <c r="G81" s="389"/>
      <c r="H81" s="389"/>
      <c r="I81" s="385"/>
      <c r="J81" s="389"/>
      <c r="K81" s="389"/>
      <c r="L81" s="385"/>
      <c r="M81" s="389"/>
      <c r="N81" s="389"/>
      <c r="O81" s="385"/>
      <c r="P81" s="389"/>
      <c r="Q81" s="389"/>
      <c r="R81" s="385"/>
      <c r="S81" s="389"/>
      <c r="T81" s="389"/>
      <c r="U81" s="385"/>
      <c r="V81" s="389"/>
      <c r="W81" s="389"/>
      <c r="X81" s="385"/>
      <c r="Y81" s="389"/>
      <c r="Z81" s="389"/>
      <c r="AA81" s="385"/>
      <c r="AB81" s="389"/>
      <c r="AC81" s="389"/>
    </row>
    <row r="82" spans="1:29" x14ac:dyDescent="0.2">
      <c r="A82" s="241"/>
      <c r="B82" s="235"/>
      <c r="C82" s="390"/>
      <c r="D82" s="391"/>
      <c r="E82" s="391"/>
      <c r="F82" s="486"/>
      <c r="G82" s="391"/>
      <c r="H82" s="391"/>
      <c r="I82" s="385"/>
      <c r="J82" s="391"/>
      <c r="K82" s="391"/>
      <c r="L82" s="385"/>
      <c r="M82" s="391"/>
      <c r="N82" s="391"/>
      <c r="O82" s="385"/>
      <c r="P82" s="391"/>
      <c r="Q82" s="391"/>
      <c r="R82" s="385"/>
      <c r="S82" s="391"/>
      <c r="T82" s="391"/>
      <c r="U82" s="385"/>
      <c r="V82" s="391"/>
      <c r="W82" s="391"/>
      <c r="X82" s="385"/>
      <c r="Y82" s="391"/>
      <c r="Z82" s="391"/>
      <c r="AA82" s="385"/>
      <c r="AB82" s="391"/>
      <c r="AC82" s="391"/>
    </row>
    <row r="83" spans="1:29" x14ac:dyDescent="0.2">
      <c r="A83" s="239" t="s">
        <v>67</v>
      </c>
      <c r="B83" s="240"/>
      <c r="C83" s="388"/>
      <c r="D83" s="389"/>
      <c r="E83" s="389"/>
      <c r="F83" s="486"/>
      <c r="G83" s="389"/>
      <c r="H83" s="389"/>
      <c r="I83" s="385"/>
      <c r="J83" s="389"/>
      <c r="K83" s="389"/>
      <c r="L83" s="385"/>
      <c r="M83" s="389"/>
      <c r="N83" s="389"/>
      <c r="O83" s="385"/>
      <c r="P83" s="389"/>
      <c r="Q83" s="389"/>
      <c r="R83" s="385"/>
      <c r="S83" s="389"/>
      <c r="T83" s="389"/>
      <c r="U83" s="385"/>
      <c r="V83" s="389"/>
      <c r="W83" s="389"/>
      <c r="X83" s="385"/>
      <c r="Y83" s="389"/>
      <c r="Z83" s="389"/>
      <c r="AA83" s="385"/>
      <c r="AB83" s="389"/>
      <c r="AC83" s="389"/>
    </row>
    <row r="84" spans="1:29" ht="15.75" thickBot="1" x14ac:dyDescent="0.25">
      <c r="A84" s="241"/>
      <c r="B84" s="235"/>
      <c r="C84" s="462"/>
      <c r="D84" s="463"/>
      <c r="E84" s="463"/>
      <c r="F84" s="486"/>
      <c r="G84" s="463"/>
      <c r="H84" s="463"/>
      <c r="I84" s="385"/>
      <c r="J84" s="463"/>
      <c r="K84" s="463"/>
      <c r="L84" s="385"/>
      <c r="M84" s="463"/>
      <c r="N84" s="463"/>
      <c r="O84" s="385"/>
      <c r="P84" s="463"/>
      <c r="Q84" s="463"/>
      <c r="R84" s="385"/>
      <c r="S84" s="463"/>
      <c r="T84" s="463"/>
      <c r="U84" s="385"/>
      <c r="V84" s="463"/>
      <c r="W84" s="463"/>
      <c r="X84" s="385"/>
      <c r="Y84" s="463"/>
      <c r="Z84" s="463"/>
      <c r="AA84" s="385"/>
      <c r="AB84" s="463"/>
      <c r="AC84" s="463"/>
    </row>
    <row r="85" spans="1:29" x14ac:dyDescent="0.2">
      <c r="A85" s="191" t="s">
        <v>231</v>
      </c>
      <c r="B85" s="192"/>
      <c r="C85" s="383">
        <v>2</v>
      </c>
      <c r="D85" s="384"/>
      <c r="E85" s="384"/>
      <c r="F85" s="486"/>
      <c r="G85" s="384"/>
      <c r="H85" s="384"/>
      <c r="I85" s="385"/>
      <c r="J85" s="384"/>
      <c r="K85" s="384"/>
      <c r="L85" s="385"/>
      <c r="M85" s="384"/>
      <c r="N85" s="384"/>
      <c r="O85" s="385"/>
      <c r="P85" s="384"/>
      <c r="Q85" s="384"/>
      <c r="R85" s="385"/>
      <c r="S85" s="384"/>
      <c r="T85" s="384"/>
      <c r="U85" s="385"/>
      <c r="V85" s="384"/>
      <c r="W85" s="384"/>
      <c r="X85" s="385"/>
      <c r="Y85" s="384"/>
      <c r="Z85" s="384"/>
      <c r="AA85" s="385"/>
      <c r="AB85" s="384"/>
      <c r="AC85" s="384"/>
    </row>
    <row r="86" spans="1:29" x14ac:dyDescent="0.2">
      <c r="A86" s="242"/>
      <c r="B86" s="243"/>
      <c r="C86" s="386"/>
      <c r="D86" s="387"/>
      <c r="E86" s="387"/>
      <c r="F86" s="486"/>
      <c r="G86" s="387"/>
      <c r="H86" s="387"/>
      <c r="I86" s="385"/>
      <c r="J86" s="387"/>
      <c r="K86" s="387"/>
      <c r="L86" s="385"/>
      <c r="M86" s="387"/>
      <c r="N86" s="387"/>
      <c r="O86" s="385"/>
      <c r="P86" s="387"/>
      <c r="Q86" s="387"/>
      <c r="R86" s="385"/>
      <c r="S86" s="387"/>
      <c r="T86" s="387"/>
      <c r="U86" s="385"/>
      <c r="V86" s="387"/>
      <c r="W86" s="387"/>
      <c r="X86" s="385"/>
      <c r="Y86" s="387"/>
      <c r="Z86" s="387"/>
      <c r="AA86" s="385"/>
      <c r="AB86" s="387"/>
      <c r="AC86" s="387"/>
    </row>
    <row r="87" spans="1:29" x14ac:dyDescent="0.2">
      <c r="A87" s="239" t="str">
        <f>A85</f>
        <v>Seguros, Previdência e</v>
      </c>
      <c r="B87" s="240"/>
      <c r="C87" s="388">
        <v>8</v>
      </c>
      <c r="D87" s="389"/>
      <c r="E87" s="389"/>
      <c r="F87" s="486"/>
      <c r="G87" s="389"/>
      <c r="H87" s="389"/>
      <c r="I87" s="385"/>
      <c r="J87" s="389"/>
      <c r="K87" s="389"/>
      <c r="L87" s="385"/>
      <c r="M87" s="389">
        <v>2</v>
      </c>
      <c r="N87" s="389">
        <v>2</v>
      </c>
      <c r="O87" s="385"/>
      <c r="P87" s="389"/>
      <c r="Q87" s="389"/>
      <c r="R87" s="385"/>
      <c r="S87" s="389"/>
      <c r="T87" s="389"/>
      <c r="U87" s="385"/>
      <c r="V87" s="389"/>
      <c r="W87" s="389"/>
      <c r="X87" s="385"/>
      <c r="Y87" s="389"/>
      <c r="Z87" s="389"/>
      <c r="AA87" s="385"/>
      <c r="AB87" s="389"/>
      <c r="AC87" s="389"/>
    </row>
    <row r="88" spans="1:29" x14ac:dyDescent="0.2">
      <c r="A88" s="241"/>
      <c r="B88" s="235"/>
      <c r="C88" s="390"/>
      <c r="D88" s="391"/>
      <c r="E88" s="391"/>
      <c r="F88" s="486"/>
      <c r="G88" s="391"/>
      <c r="H88" s="391"/>
      <c r="I88" s="385"/>
      <c r="J88" s="391"/>
      <c r="K88" s="391"/>
      <c r="L88" s="385"/>
      <c r="M88" s="391">
        <v>8</v>
      </c>
      <c r="N88" s="391">
        <v>8</v>
      </c>
      <c r="O88" s="385"/>
      <c r="P88" s="391"/>
      <c r="Q88" s="391"/>
      <c r="R88" s="385"/>
      <c r="S88" s="391"/>
      <c r="T88" s="391"/>
      <c r="U88" s="385"/>
      <c r="V88" s="391"/>
      <c r="W88" s="391"/>
      <c r="X88" s="385"/>
      <c r="Y88" s="391"/>
      <c r="Z88" s="391"/>
      <c r="AA88" s="385"/>
      <c r="AB88" s="391"/>
      <c r="AC88" s="391"/>
    </row>
    <row r="89" spans="1:29" x14ac:dyDescent="0.2">
      <c r="A89" s="239" t="s">
        <v>226</v>
      </c>
      <c r="B89" s="240"/>
      <c r="C89" s="388"/>
      <c r="D89" s="389"/>
      <c r="E89" s="389"/>
      <c r="F89" s="486"/>
      <c r="G89" s="389"/>
      <c r="H89" s="389"/>
      <c r="I89" s="385"/>
      <c r="J89" s="389"/>
      <c r="K89" s="389"/>
      <c r="L89" s="385"/>
      <c r="M89" s="389"/>
      <c r="N89" s="389"/>
      <c r="O89" s="385"/>
      <c r="P89" s="389"/>
      <c r="Q89" s="389"/>
      <c r="R89" s="385"/>
      <c r="S89" s="389"/>
      <c r="T89" s="389"/>
      <c r="U89" s="385"/>
      <c r="V89" s="389"/>
      <c r="W89" s="389"/>
      <c r="X89" s="385"/>
      <c r="Y89" s="389"/>
      <c r="Z89" s="389"/>
      <c r="AA89" s="385"/>
      <c r="AB89" s="389"/>
      <c r="AC89" s="389"/>
    </row>
    <row r="90" spans="1:29" x14ac:dyDescent="0.2">
      <c r="A90" s="241"/>
      <c r="B90" s="235"/>
      <c r="C90" s="390"/>
      <c r="D90" s="391"/>
      <c r="E90" s="391"/>
      <c r="F90" s="486"/>
      <c r="G90" s="391"/>
      <c r="H90" s="391"/>
      <c r="I90" s="385"/>
      <c r="J90" s="391"/>
      <c r="K90" s="391"/>
      <c r="L90" s="385"/>
      <c r="M90" s="391"/>
      <c r="N90" s="391"/>
      <c r="O90" s="385"/>
      <c r="P90" s="391"/>
      <c r="Q90" s="391"/>
      <c r="R90" s="385"/>
      <c r="S90" s="391"/>
      <c r="T90" s="391"/>
      <c r="U90" s="385"/>
      <c r="V90" s="391"/>
      <c r="W90" s="391"/>
      <c r="X90" s="385"/>
      <c r="Y90" s="391"/>
      <c r="Z90" s="391"/>
      <c r="AA90" s="385"/>
      <c r="AB90" s="391"/>
      <c r="AC90" s="391"/>
    </row>
    <row r="91" spans="1:29" x14ac:dyDescent="0.2">
      <c r="A91" s="239" t="s">
        <v>227</v>
      </c>
      <c r="B91" s="240"/>
      <c r="C91" s="388"/>
      <c r="D91" s="389"/>
      <c r="E91" s="389"/>
      <c r="F91" s="486"/>
      <c r="G91" s="389"/>
      <c r="H91" s="389"/>
      <c r="I91" s="385"/>
      <c r="J91" s="389"/>
      <c r="K91" s="389"/>
      <c r="L91" s="385"/>
      <c r="M91" s="389"/>
      <c r="N91" s="389"/>
      <c r="O91" s="385"/>
      <c r="P91" s="389"/>
      <c r="Q91" s="389"/>
      <c r="R91" s="385"/>
      <c r="S91" s="389"/>
      <c r="T91" s="389"/>
      <c r="U91" s="385"/>
      <c r="V91" s="389"/>
      <c r="W91" s="389"/>
      <c r="X91" s="385"/>
      <c r="Y91" s="389"/>
      <c r="Z91" s="389"/>
      <c r="AA91" s="385"/>
      <c r="AB91" s="389"/>
      <c r="AC91" s="389"/>
    </row>
    <row r="92" spans="1:29" x14ac:dyDescent="0.2">
      <c r="A92" s="241"/>
      <c r="B92" s="235"/>
      <c r="C92" s="390"/>
      <c r="D92" s="391"/>
      <c r="E92" s="391"/>
      <c r="F92" s="486"/>
      <c r="G92" s="391"/>
      <c r="H92" s="391"/>
      <c r="I92" s="385"/>
      <c r="J92" s="391"/>
      <c r="K92" s="391"/>
      <c r="L92" s="385"/>
      <c r="M92" s="391"/>
      <c r="N92" s="391"/>
      <c r="O92" s="385"/>
      <c r="P92" s="391"/>
      <c r="Q92" s="391"/>
      <c r="R92" s="385"/>
      <c r="S92" s="391"/>
      <c r="T92" s="391"/>
      <c r="U92" s="385"/>
      <c r="V92" s="391"/>
      <c r="W92" s="391"/>
      <c r="X92" s="385"/>
      <c r="Y92" s="391"/>
      <c r="Z92" s="391"/>
      <c r="AA92" s="385"/>
      <c r="AB92" s="391"/>
      <c r="AC92" s="391"/>
    </row>
    <row r="93" spans="1:29" x14ac:dyDescent="0.2">
      <c r="A93" s="239" t="s">
        <v>68</v>
      </c>
      <c r="B93" s="240"/>
      <c r="C93" s="388"/>
      <c r="D93" s="389"/>
      <c r="E93" s="389"/>
      <c r="F93" s="486"/>
      <c r="G93" s="389"/>
      <c r="H93" s="389"/>
      <c r="I93" s="385"/>
      <c r="J93" s="389"/>
      <c r="K93" s="389"/>
      <c r="L93" s="385"/>
      <c r="M93" s="389"/>
      <c r="N93" s="389"/>
      <c r="O93" s="385"/>
      <c r="P93" s="389"/>
      <c r="Q93" s="389"/>
      <c r="R93" s="385"/>
      <c r="S93" s="389"/>
      <c r="T93" s="389"/>
      <c r="U93" s="385"/>
      <c r="V93" s="389"/>
      <c r="W93" s="389"/>
      <c r="X93" s="385"/>
      <c r="Y93" s="389"/>
      <c r="Z93" s="389"/>
      <c r="AA93" s="385"/>
      <c r="AB93" s="389"/>
      <c r="AC93" s="389"/>
    </row>
    <row r="94" spans="1:29" x14ac:dyDescent="0.2">
      <c r="A94" s="241"/>
      <c r="B94" s="235"/>
      <c r="C94" s="390"/>
      <c r="D94" s="391"/>
      <c r="E94" s="391"/>
      <c r="F94" s="486"/>
      <c r="G94" s="391"/>
      <c r="H94" s="391"/>
      <c r="I94" s="385"/>
      <c r="J94" s="391"/>
      <c r="K94" s="391"/>
      <c r="L94" s="385"/>
      <c r="M94" s="391"/>
      <c r="N94" s="391"/>
      <c r="O94" s="385"/>
      <c r="P94" s="391"/>
      <c r="Q94" s="391"/>
      <c r="R94" s="385"/>
      <c r="S94" s="391"/>
      <c r="T94" s="391"/>
      <c r="U94" s="385"/>
      <c r="V94" s="391"/>
      <c r="W94" s="391"/>
      <c r="X94" s="385"/>
      <c r="Y94" s="391"/>
      <c r="Z94" s="391"/>
      <c r="AA94" s="385"/>
      <c r="AB94" s="391"/>
      <c r="AC94" s="391"/>
    </row>
    <row r="95" spans="1:29" x14ac:dyDescent="0.2">
      <c r="A95" s="239" t="s">
        <v>69</v>
      </c>
      <c r="B95" s="240"/>
      <c r="C95" s="388"/>
      <c r="D95" s="389"/>
      <c r="E95" s="389"/>
      <c r="F95" s="486"/>
      <c r="G95" s="389"/>
      <c r="H95" s="389"/>
      <c r="I95" s="385"/>
      <c r="J95" s="389"/>
      <c r="K95" s="389"/>
      <c r="L95" s="385"/>
      <c r="M95" s="389"/>
      <c r="N95" s="389"/>
      <c r="O95" s="385"/>
      <c r="P95" s="389"/>
      <c r="Q95" s="389"/>
      <c r="R95" s="385"/>
      <c r="S95" s="389"/>
      <c r="T95" s="389"/>
      <c r="U95" s="385"/>
      <c r="V95" s="389"/>
      <c r="W95" s="389"/>
      <c r="X95" s="385"/>
      <c r="Y95" s="389"/>
      <c r="Z95" s="389"/>
      <c r="AA95" s="385"/>
      <c r="AB95" s="389"/>
      <c r="AC95" s="389"/>
    </row>
    <row r="96" spans="1:29" x14ac:dyDescent="0.2">
      <c r="A96" s="241"/>
      <c r="B96" s="235"/>
      <c r="C96" s="390"/>
      <c r="D96" s="391"/>
      <c r="E96" s="391"/>
      <c r="F96" s="486"/>
      <c r="G96" s="391"/>
      <c r="H96" s="391"/>
      <c r="I96" s="385"/>
      <c r="J96" s="391"/>
      <c r="K96" s="391"/>
      <c r="L96" s="385"/>
      <c r="M96" s="391"/>
      <c r="N96" s="391"/>
      <c r="O96" s="385"/>
      <c r="P96" s="391"/>
      <c r="Q96" s="391"/>
      <c r="R96" s="385"/>
      <c r="S96" s="391"/>
      <c r="T96" s="391"/>
      <c r="U96" s="385"/>
      <c r="V96" s="391"/>
      <c r="W96" s="391"/>
      <c r="X96" s="385"/>
      <c r="Y96" s="391"/>
      <c r="Z96" s="391"/>
      <c r="AA96" s="385"/>
      <c r="AB96" s="391"/>
      <c r="AC96" s="391"/>
    </row>
    <row r="97" spans="1:29" x14ac:dyDescent="0.2">
      <c r="A97" s="239" t="s">
        <v>70</v>
      </c>
      <c r="B97" s="240"/>
      <c r="C97" s="388"/>
      <c r="D97" s="389"/>
      <c r="E97" s="389"/>
      <c r="F97" s="486"/>
      <c r="G97" s="389"/>
      <c r="H97" s="389"/>
      <c r="I97" s="385"/>
      <c r="J97" s="389"/>
      <c r="K97" s="389"/>
      <c r="L97" s="385"/>
      <c r="M97" s="389"/>
      <c r="N97" s="389"/>
      <c r="O97" s="385"/>
      <c r="P97" s="389"/>
      <c r="Q97" s="389"/>
      <c r="R97" s="385"/>
      <c r="S97" s="389"/>
      <c r="T97" s="389"/>
      <c r="U97" s="385"/>
      <c r="V97" s="389"/>
      <c r="W97" s="389"/>
      <c r="X97" s="385"/>
      <c r="Y97" s="389"/>
      <c r="Z97" s="389"/>
      <c r="AA97" s="385"/>
      <c r="AB97" s="389"/>
      <c r="AC97" s="389"/>
    </row>
    <row r="98" spans="1:29" x14ac:dyDescent="0.2">
      <c r="A98" s="241"/>
      <c r="B98" s="235"/>
      <c r="C98" s="390"/>
      <c r="D98" s="391"/>
      <c r="E98" s="391"/>
      <c r="F98" s="486"/>
      <c r="G98" s="391"/>
      <c r="H98" s="391"/>
      <c r="I98" s="385"/>
      <c r="J98" s="391"/>
      <c r="K98" s="391"/>
      <c r="L98" s="385"/>
      <c r="M98" s="391"/>
      <c r="N98" s="391"/>
      <c r="O98" s="385"/>
      <c r="P98" s="391"/>
      <c r="Q98" s="391"/>
      <c r="R98" s="385"/>
      <c r="S98" s="391"/>
      <c r="T98" s="391"/>
      <c r="U98" s="385"/>
      <c r="V98" s="391"/>
      <c r="W98" s="391"/>
      <c r="X98" s="385"/>
      <c r="Y98" s="391"/>
      <c r="Z98" s="391"/>
      <c r="AA98" s="385"/>
      <c r="AB98" s="391"/>
      <c r="AC98" s="391"/>
    </row>
    <row r="99" spans="1:29" x14ac:dyDescent="0.2">
      <c r="A99" s="239" t="s">
        <v>71</v>
      </c>
      <c r="B99" s="240"/>
      <c r="C99" s="388"/>
      <c r="D99" s="389"/>
      <c r="E99" s="389"/>
      <c r="F99" s="486"/>
      <c r="G99" s="389"/>
      <c r="H99" s="389"/>
      <c r="I99" s="385"/>
      <c r="J99" s="389"/>
      <c r="K99" s="389"/>
      <c r="L99" s="385"/>
      <c r="M99" s="389"/>
      <c r="N99" s="389"/>
      <c r="O99" s="385"/>
      <c r="P99" s="389"/>
      <c r="Q99" s="389"/>
      <c r="R99" s="385"/>
      <c r="S99" s="389"/>
      <c r="T99" s="389"/>
      <c r="U99" s="385"/>
      <c r="V99" s="389"/>
      <c r="W99" s="389"/>
      <c r="X99" s="385"/>
      <c r="Y99" s="389"/>
      <c r="Z99" s="389"/>
      <c r="AA99" s="385"/>
      <c r="AB99" s="389"/>
      <c r="AC99" s="389"/>
    </row>
    <row r="100" spans="1:29" ht="15.75" thickBot="1" x14ac:dyDescent="0.25">
      <c r="A100" s="241"/>
      <c r="B100" s="235"/>
      <c r="C100" s="462"/>
      <c r="D100" s="463"/>
      <c r="E100" s="463"/>
      <c r="F100" s="486"/>
      <c r="G100" s="463"/>
      <c r="H100" s="463"/>
      <c r="I100" s="385"/>
      <c r="J100" s="463"/>
      <c r="K100" s="463"/>
      <c r="L100" s="385"/>
      <c r="M100" s="463"/>
      <c r="N100" s="463"/>
      <c r="O100" s="385"/>
      <c r="P100" s="463"/>
      <c r="Q100" s="463"/>
      <c r="R100" s="385"/>
      <c r="S100" s="463"/>
      <c r="T100" s="463"/>
      <c r="U100" s="385"/>
      <c r="V100" s="463"/>
      <c r="W100" s="463"/>
      <c r="X100" s="385"/>
      <c r="Y100" s="463"/>
      <c r="Z100" s="463"/>
      <c r="AA100" s="385"/>
      <c r="AB100" s="463"/>
      <c r="AC100" s="463"/>
    </row>
    <row r="101" spans="1:29" x14ac:dyDescent="0.2">
      <c r="A101" s="191" t="s">
        <v>178</v>
      </c>
      <c r="B101" s="192"/>
      <c r="C101" s="383">
        <v>1</v>
      </c>
      <c r="D101" s="384"/>
      <c r="E101" s="384"/>
      <c r="F101" s="486"/>
      <c r="G101" s="384"/>
      <c r="H101" s="384"/>
      <c r="I101" s="385"/>
      <c r="J101" s="384"/>
      <c r="K101" s="384"/>
      <c r="L101" s="385"/>
      <c r="M101" s="384"/>
      <c r="N101" s="384"/>
      <c r="O101" s="385"/>
      <c r="P101" s="384"/>
      <c r="Q101" s="384"/>
      <c r="R101" s="385"/>
      <c r="S101" s="384"/>
      <c r="T101" s="384"/>
      <c r="U101" s="385"/>
      <c r="V101" s="384"/>
      <c r="W101" s="384"/>
      <c r="X101" s="385"/>
      <c r="Y101" s="384"/>
      <c r="Z101" s="384"/>
      <c r="AA101" s="385"/>
      <c r="AB101" s="384"/>
      <c r="AC101" s="384"/>
    </row>
    <row r="102" spans="1:29" x14ac:dyDescent="0.2">
      <c r="A102" s="242"/>
      <c r="B102" s="243"/>
      <c r="C102" s="386"/>
      <c r="D102" s="387"/>
      <c r="E102" s="387"/>
      <c r="F102" s="486"/>
      <c r="G102" s="387"/>
      <c r="H102" s="387"/>
      <c r="I102" s="385"/>
      <c r="J102" s="387"/>
      <c r="K102" s="387"/>
      <c r="L102" s="385"/>
      <c r="M102" s="387"/>
      <c r="N102" s="387"/>
      <c r="O102" s="385"/>
      <c r="P102" s="387"/>
      <c r="Q102" s="387"/>
      <c r="R102" s="385"/>
      <c r="S102" s="387"/>
      <c r="T102" s="387"/>
      <c r="U102" s="385"/>
      <c r="V102" s="387"/>
      <c r="W102" s="387"/>
      <c r="X102" s="385"/>
      <c r="Y102" s="387"/>
      <c r="Z102" s="387"/>
      <c r="AA102" s="385"/>
      <c r="AB102" s="387"/>
      <c r="AC102" s="387"/>
    </row>
    <row r="103" spans="1:29" x14ac:dyDescent="0.2">
      <c r="A103" s="239" t="str">
        <f>A101</f>
        <v>Asset Management</v>
      </c>
      <c r="B103" s="240"/>
      <c r="C103" s="388">
        <v>8</v>
      </c>
      <c r="D103" s="389"/>
      <c r="E103" s="389"/>
      <c r="F103" s="486"/>
      <c r="G103" s="389"/>
      <c r="H103" s="389"/>
      <c r="I103" s="385"/>
      <c r="J103" s="389"/>
      <c r="K103" s="389"/>
      <c r="L103" s="385"/>
      <c r="M103" s="389">
        <v>2</v>
      </c>
      <c r="N103" s="389">
        <v>1</v>
      </c>
      <c r="O103" s="385"/>
      <c r="P103" s="389"/>
      <c r="Q103" s="389"/>
      <c r="R103" s="385"/>
      <c r="S103" s="389"/>
      <c r="T103" s="389"/>
      <c r="U103" s="385"/>
      <c r="V103" s="389"/>
      <c r="W103" s="389"/>
      <c r="X103" s="385"/>
      <c r="Y103" s="389"/>
      <c r="Z103" s="389"/>
      <c r="AA103" s="385"/>
      <c r="AB103" s="389"/>
      <c r="AC103" s="389"/>
    </row>
    <row r="104" spans="1:29" x14ac:dyDescent="0.2">
      <c r="A104" s="241"/>
      <c r="B104" s="235"/>
      <c r="C104" s="390"/>
      <c r="D104" s="391"/>
      <c r="E104" s="391"/>
      <c r="F104" s="486"/>
      <c r="G104" s="391"/>
      <c r="H104" s="391"/>
      <c r="I104" s="385"/>
      <c r="J104" s="391"/>
      <c r="K104" s="391"/>
      <c r="L104" s="385"/>
      <c r="M104" s="391">
        <v>8</v>
      </c>
      <c r="N104" s="391">
        <v>8</v>
      </c>
      <c r="O104" s="385"/>
      <c r="P104" s="391"/>
      <c r="Q104" s="391"/>
      <c r="R104" s="385"/>
      <c r="S104" s="391"/>
      <c r="T104" s="391"/>
      <c r="U104" s="385"/>
      <c r="V104" s="391"/>
      <c r="W104" s="391"/>
      <c r="X104" s="385"/>
      <c r="Y104" s="391"/>
      <c r="Z104" s="391"/>
      <c r="AA104" s="385"/>
      <c r="AB104" s="391"/>
      <c r="AC104" s="391"/>
    </row>
    <row r="105" spans="1:29" x14ac:dyDescent="0.2">
      <c r="A105" s="239" t="s">
        <v>72</v>
      </c>
      <c r="B105" s="240"/>
      <c r="C105" s="388"/>
      <c r="D105" s="389"/>
      <c r="E105" s="389"/>
      <c r="F105" s="486"/>
      <c r="G105" s="389"/>
      <c r="H105" s="389"/>
      <c r="I105" s="385"/>
      <c r="J105" s="389"/>
      <c r="K105" s="389"/>
      <c r="L105" s="385"/>
      <c r="M105" s="389"/>
      <c r="N105" s="389"/>
      <c r="O105" s="385"/>
      <c r="P105" s="389"/>
      <c r="Q105" s="389"/>
      <c r="R105" s="385"/>
      <c r="S105" s="389"/>
      <c r="T105" s="389"/>
      <c r="U105" s="385"/>
      <c r="V105" s="389"/>
      <c r="W105" s="389"/>
      <c r="X105" s="385"/>
      <c r="Y105" s="389"/>
      <c r="Z105" s="389"/>
      <c r="AA105" s="385"/>
      <c r="AB105" s="389"/>
      <c r="AC105" s="389"/>
    </row>
    <row r="106" spans="1:29" x14ac:dyDescent="0.2">
      <c r="A106" s="241"/>
      <c r="B106" s="235"/>
      <c r="C106" s="390"/>
      <c r="D106" s="391"/>
      <c r="E106" s="391"/>
      <c r="F106" s="486"/>
      <c r="G106" s="391"/>
      <c r="H106" s="391"/>
      <c r="I106" s="385"/>
      <c r="J106" s="391"/>
      <c r="K106" s="391"/>
      <c r="L106" s="385"/>
      <c r="M106" s="391"/>
      <c r="N106" s="391"/>
      <c r="O106" s="385"/>
      <c r="P106" s="391"/>
      <c r="Q106" s="391"/>
      <c r="R106" s="385"/>
      <c r="S106" s="391"/>
      <c r="T106" s="391"/>
      <c r="U106" s="385"/>
      <c r="V106" s="391"/>
      <c r="W106" s="391"/>
      <c r="X106" s="385"/>
      <c r="Y106" s="391"/>
      <c r="Z106" s="391"/>
      <c r="AA106" s="385"/>
      <c r="AB106" s="391"/>
      <c r="AC106" s="391"/>
    </row>
    <row r="107" spans="1:29" x14ac:dyDescent="0.2">
      <c r="A107" s="239" t="s">
        <v>73</v>
      </c>
      <c r="B107" s="240"/>
      <c r="C107" s="388"/>
      <c r="D107" s="389"/>
      <c r="E107" s="389"/>
      <c r="F107" s="486"/>
      <c r="G107" s="389"/>
      <c r="H107" s="389"/>
      <c r="I107" s="385"/>
      <c r="J107" s="389"/>
      <c r="K107" s="389"/>
      <c r="L107" s="385"/>
      <c r="M107" s="389"/>
      <c r="N107" s="389"/>
      <c r="O107" s="385"/>
      <c r="P107" s="389"/>
      <c r="Q107" s="389"/>
      <c r="R107" s="385"/>
      <c r="S107" s="389"/>
      <c r="T107" s="389"/>
      <c r="U107" s="385"/>
      <c r="V107" s="389"/>
      <c r="W107" s="389"/>
      <c r="X107" s="385"/>
      <c r="Y107" s="389"/>
      <c r="Z107" s="389"/>
      <c r="AA107" s="385"/>
      <c r="AB107" s="389"/>
      <c r="AC107" s="389"/>
    </row>
    <row r="108" spans="1:29" x14ac:dyDescent="0.2">
      <c r="A108" s="241"/>
      <c r="B108" s="235"/>
      <c r="C108" s="390"/>
      <c r="D108" s="391"/>
      <c r="E108" s="391"/>
      <c r="F108" s="486"/>
      <c r="G108" s="391"/>
      <c r="H108" s="391"/>
      <c r="I108" s="385"/>
      <c r="J108" s="391"/>
      <c r="K108" s="391"/>
      <c r="L108" s="385"/>
      <c r="M108" s="391"/>
      <c r="N108" s="391"/>
      <c r="O108" s="385"/>
      <c r="P108" s="391"/>
      <c r="Q108" s="391"/>
      <c r="R108" s="385"/>
      <c r="S108" s="391"/>
      <c r="T108" s="391"/>
      <c r="U108" s="385"/>
      <c r="V108" s="391"/>
      <c r="W108" s="391"/>
      <c r="X108" s="385"/>
      <c r="Y108" s="391"/>
      <c r="Z108" s="391"/>
      <c r="AA108" s="385"/>
      <c r="AB108" s="391"/>
      <c r="AC108" s="391"/>
    </row>
    <row r="109" spans="1:29" x14ac:dyDescent="0.2">
      <c r="A109" s="239" t="s">
        <v>74</v>
      </c>
      <c r="B109" s="240"/>
      <c r="C109" s="388"/>
      <c r="D109" s="389"/>
      <c r="E109" s="389"/>
      <c r="F109" s="486"/>
      <c r="G109" s="389"/>
      <c r="H109" s="389"/>
      <c r="I109" s="385"/>
      <c r="J109" s="389"/>
      <c r="K109" s="389"/>
      <c r="L109" s="385"/>
      <c r="M109" s="389"/>
      <c r="N109" s="389"/>
      <c r="O109" s="385"/>
      <c r="P109" s="389"/>
      <c r="Q109" s="389"/>
      <c r="R109" s="385"/>
      <c r="S109" s="389"/>
      <c r="T109" s="389"/>
      <c r="U109" s="385"/>
      <c r="V109" s="389"/>
      <c r="W109" s="389"/>
      <c r="X109" s="385"/>
      <c r="Y109" s="389"/>
      <c r="Z109" s="389"/>
      <c r="AA109" s="385"/>
      <c r="AB109" s="389"/>
      <c r="AC109" s="389"/>
    </row>
    <row r="110" spans="1:29" x14ac:dyDescent="0.2">
      <c r="A110" s="241"/>
      <c r="B110" s="235"/>
      <c r="C110" s="390"/>
      <c r="D110" s="391"/>
      <c r="E110" s="391"/>
      <c r="F110" s="486"/>
      <c r="G110" s="391"/>
      <c r="H110" s="391"/>
      <c r="I110" s="385"/>
      <c r="J110" s="391"/>
      <c r="K110" s="391"/>
      <c r="L110" s="385"/>
      <c r="M110" s="391"/>
      <c r="N110" s="391"/>
      <c r="O110" s="385"/>
      <c r="P110" s="391"/>
      <c r="Q110" s="391"/>
      <c r="R110" s="385"/>
      <c r="S110" s="391"/>
      <c r="T110" s="391"/>
      <c r="U110" s="385"/>
      <c r="V110" s="391"/>
      <c r="W110" s="391"/>
      <c r="X110" s="385"/>
      <c r="Y110" s="391"/>
      <c r="Z110" s="391"/>
      <c r="AA110" s="385"/>
      <c r="AB110" s="391"/>
      <c r="AC110" s="391"/>
    </row>
    <row r="111" spans="1:29" x14ac:dyDescent="0.2">
      <c r="A111" s="239" t="s">
        <v>75</v>
      </c>
      <c r="B111" s="240"/>
      <c r="C111" s="388"/>
      <c r="D111" s="389"/>
      <c r="E111" s="389"/>
      <c r="F111" s="486"/>
      <c r="G111" s="389"/>
      <c r="H111" s="389"/>
      <c r="I111" s="385"/>
      <c r="J111" s="389"/>
      <c r="K111" s="389"/>
      <c r="L111" s="385"/>
      <c r="M111" s="389"/>
      <c r="N111" s="389"/>
      <c r="O111" s="385"/>
      <c r="P111" s="389"/>
      <c r="Q111" s="389"/>
      <c r="R111" s="385"/>
      <c r="S111" s="389"/>
      <c r="T111" s="389"/>
      <c r="U111" s="385"/>
      <c r="V111" s="389"/>
      <c r="W111" s="389"/>
      <c r="X111" s="385"/>
      <c r="Y111" s="389"/>
      <c r="Z111" s="389"/>
      <c r="AA111" s="385"/>
      <c r="AB111" s="389"/>
      <c r="AC111" s="389"/>
    </row>
    <row r="112" spans="1:29" x14ac:dyDescent="0.2">
      <c r="A112" s="241"/>
      <c r="B112" s="235"/>
      <c r="C112" s="390"/>
      <c r="D112" s="391"/>
      <c r="E112" s="391"/>
      <c r="F112" s="486"/>
      <c r="G112" s="391"/>
      <c r="H112" s="391"/>
      <c r="I112" s="385"/>
      <c r="J112" s="391"/>
      <c r="K112" s="391"/>
      <c r="L112" s="385"/>
      <c r="M112" s="391"/>
      <c r="N112" s="391"/>
      <c r="O112" s="385"/>
      <c r="P112" s="391"/>
      <c r="Q112" s="391"/>
      <c r="R112" s="385"/>
      <c r="S112" s="391"/>
      <c r="T112" s="391"/>
      <c r="U112" s="385"/>
      <c r="V112" s="391"/>
      <c r="W112" s="391"/>
      <c r="X112" s="385"/>
      <c r="Y112" s="391"/>
      <c r="Z112" s="391"/>
      <c r="AA112" s="385"/>
      <c r="AB112" s="391"/>
      <c r="AC112" s="391"/>
    </row>
    <row r="113" spans="1:29" x14ac:dyDescent="0.2">
      <c r="A113" s="239" t="s">
        <v>76</v>
      </c>
      <c r="B113" s="240"/>
      <c r="C113" s="388"/>
      <c r="D113" s="389"/>
      <c r="E113" s="389"/>
      <c r="F113" s="486"/>
      <c r="G113" s="389"/>
      <c r="H113" s="389"/>
      <c r="I113" s="385"/>
      <c r="J113" s="389"/>
      <c r="K113" s="389"/>
      <c r="L113" s="385"/>
      <c r="M113" s="389"/>
      <c r="N113" s="389"/>
      <c r="O113" s="385"/>
      <c r="P113" s="389"/>
      <c r="Q113" s="389"/>
      <c r="R113" s="385"/>
      <c r="S113" s="389"/>
      <c r="T113" s="389"/>
      <c r="U113" s="385"/>
      <c r="V113" s="389"/>
      <c r="W113" s="389"/>
      <c r="X113" s="385"/>
      <c r="Y113" s="389"/>
      <c r="Z113" s="389"/>
      <c r="AA113" s="385"/>
      <c r="AB113" s="389"/>
      <c r="AC113" s="389"/>
    </row>
    <row r="114" spans="1:29" x14ac:dyDescent="0.2">
      <c r="A114" s="241"/>
      <c r="B114" s="235"/>
      <c r="C114" s="390"/>
      <c r="D114" s="391"/>
      <c r="E114" s="391"/>
      <c r="F114" s="486"/>
      <c r="G114" s="391"/>
      <c r="H114" s="391"/>
      <c r="I114" s="385"/>
      <c r="J114" s="391"/>
      <c r="K114" s="391"/>
      <c r="L114" s="385"/>
      <c r="M114" s="391"/>
      <c r="N114" s="391"/>
      <c r="O114" s="385"/>
      <c r="P114" s="391"/>
      <c r="Q114" s="391"/>
      <c r="R114" s="385"/>
      <c r="S114" s="391"/>
      <c r="T114" s="391"/>
      <c r="U114" s="385"/>
      <c r="V114" s="391"/>
      <c r="W114" s="391"/>
      <c r="X114" s="385"/>
      <c r="Y114" s="391"/>
      <c r="Z114" s="391"/>
      <c r="AA114" s="385"/>
      <c r="AB114" s="391"/>
      <c r="AC114" s="391"/>
    </row>
    <row r="115" spans="1:29" x14ac:dyDescent="0.2">
      <c r="A115" s="239" t="s">
        <v>77</v>
      </c>
      <c r="B115" s="240"/>
      <c r="C115" s="388"/>
      <c r="D115" s="389"/>
      <c r="E115" s="389"/>
      <c r="F115" s="486"/>
      <c r="G115" s="389"/>
      <c r="H115" s="389"/>
      <c r="I115" s="385"/>
      <c r="J115" s="389"/>
      <c r="K115" s="389"/>
      <c r="L115" s="385"/>
      <c r="M115" s="389"/>
      <c r="N115" s="389"/>
      <c r="O115" s="385"/>
      <c r="P115" s="389"/>
      <c r="Q115" s="389"/>
      <c r="R115" s="385"/>
      <c r="S115" s="389"/>
      <c r="T115" s="389"/>
      <c r="U115" s="385"/>
      <c r="V115" s="389"/>
      <c r="W115" s="389"/>
      <c r="X115" s="385"/>
      <c r="Y115" s="389"/>
      <c r="Z115" s="389"/>
      <c r="AA115" s="385"/>
      <c r="AB115" s="389"/>
      <c r="AC115" s="389"/>
    </row>
    <row r="116" spans="1:29" ht="15.75" thickBot="1" x14ac:dyDescent="0.25">
      <c r="A116" s="241"/>
      <c r="B116" s="235"/>
      <c r="C116" s="462"/>
      <c r="D116" s="463"/>
      <c r="E116" s="463"/>
      <c r="F116" s="486"/>
      <c r="G116" s="463"/>
      <c r="H116" s="463"/>
      <c r="I116" s="385"/>
      <c r="J116" s="463"/>
      <c r="K116" s="463"/>
      <c r="L116" s="385"/>
      <c r="M116" s="463"/>
      <c r="N116" s="463"/>
      <c r="O116" s="385"/>
      <c r="P116" s="463"/>
      <c r="Q116" s="463"/>
      <c r="R116" s="385"/>
      <c r="S116" s="463"/>
      <c r="T116" s="463"/>
      <c r="U116" s="385"/>
      <c r="V116" s="463"/>
      <c r="W116" s="463"/>
      <c r="X116" s="385"/>
      <c r="Y116" s="463"/>
      <c r="Z116" s="463"/>
      <c r="AA116" s="385"/>
      <c r="AB116" s="463"/>
      <c r="AC116" s="463"/>
    </row>
    <row r="117" spans="1:29" x14ac:dyDescent="0.2">
      <c r="A117" s="191" t="s">
        <v>84</v>
      </c>
      <c r="B117" s="192"/>
      <c r="C117" s="383"/>
      <c r="D117" s="384"/>
      <c r="E117" s="384"/>
      <c r="F117" s="486"/>
      <c r="G117" s="384"/>
      <c r="H117" s="384"/>
      <c r="I117" s="385"/>
      <c r="J117" s="384"/>
      <c r="K117" s="384"/>
      <c r="L117" s="385"/>
      <c r="M117" s="384"/>
      <c r="N117" s="384"/>
      <c r="O117" s="385"/>
      <c r="P117" s="384"/>
      <c r="Q117" s="384"/>
      <c r="R117" s="385"/>
      <c r="S117" s="384"/>
      <c r="T117" s="384"/>
      <c r="U117" s="385"/>
      <c r="V117" s="384"/>
      <c r="W117" s="384"/>
      <c r="X117" s="385"/>
      <c r="Y117" s="384"/>
      <c r="Z117" s="384"/>
      <c r="AA117" s="385"/>
      <c r="AB117" s="384"/>
      <c r="AC117" s="384"/>
    </row>
    <row r="118" spans="1:29" x14ac:dyDescent="0.2">
      <c r="A118" s="242"/>
      <c r="B118" s="243"/>
      <c r="C118" s="386"/>
      <c r="D118" s="387"/>
      <c r="E118" s="387"/>
      <c r="F118" s="486"/>
      <c r="G118" s="387"/>
      <c r="H118" s="387"/>
      <c r="I118" s="385"/>
      <c r="J118" s="387"/>
      <c r="K118" s="387"/>
      <c r="L118" s="385"/>
      <c r="M118" s="387"/>
      <c r="N118" s="387"/>
      <c r="O118" s="385"/>
      <c r="P118" s="387"/>
      <c r="Q118" s="387"/>
      <c r="R118" s="385"/>
      <c r="S118" s="387"/>
      <c r="T118" s="387"/>
      <c r="U118" s="385"/>
      <c r="V118" s="387"/>
      <c r="W118" s="387"/>
      <c r="X118" s="385"/>
      <c r="Y118" s="387"/>
      <c r="Z118" s="387"/>
      <c r="AA118" s="385"/>
      <c r="AB118" s="387"/>
      <c r="AC118" s="387"/>
    </row>
    <row r="119" spans="1:29" x14ac:dyDescent="0.2">
      <c r="A119" s="239" t="s">
        <v>85</v>
      </c>
      <c r="B119" s="240"/>
      <c r="C119" s="388"/>
      <c r="D119" s="389"/>
      <c r="E119" s="389"/>
      <c r="F119" s="486"/>
      <c r="G119" s="389"/>
      <c r="H119" s="389"/>
      <c r="I119" s="385"/>
      <c r="J119" s="389"/>
      <c r="K119" s="389"/>
      <c r="L119" s="385"/>
      <c r="M119" s="389"/>
      <c r="N119" s="389"/>
      <c r="O119" s="385"/>
      <c r="P119" s="389"/>
      <c r="Q119" s="389"/>
      <c r="R119" s="385"/>
      <c r="S119" s="389"/>
      <c r="T119" s="389"/>
      <c r="U119" s="385"/>
      <c r="V119" s="389"/>
      <c r="W119" s="389"/>
      <c r="X119" s="385"/>
      <c r="Y119" s="389"/>
      <c r="Z119" s="389"/>
      <c r="AA119" s="385"/>
      <c r="AB119" s="389"/>
      <c r="AC119" s="389"/>
    </row>
    <row r="120" spans="1:29" x14ac:dyDescent="0.2">
      <c r="A120" s="241"/>
      <c r="B120" s="235"/>
      <c r="C120" s="390"/>
      <c r="D120" s="391"/>
      <c r="E120" s="391"/>
      <c r="F120" s="486"/>
      <c r="G120" s="391"/>
      <c r="H120" s="391"/>
      <c r="I120" s="385"/>
      <c r="J120" s="391"/>
      <c r="K120" s="391"/>
      <c r="L120" s="385"/>
      <c r="M120" s="391"/>
      <c r="N120" s="391"/>
      <c r="O120" s="385"/>
      <c r="P120" s="391"/>
      <c r="Q120" s="391"/>
      <c r="R120" s="385"/>
      <c r="S120" s="391"/>
      <c r="T120" s="391"/>
      <c r="U120" s="385"/>
      <c r="V120" s="391"/>
      <c r="W120" s="391"/>
      <c r="X120" s="385"/>
      <c r="Y120" s="391"/>
      <c r="Z120" s="391"/>
      <c r="AA120" s="385"/>
      <c r="AB120" s="391"/>
      <c r="AC120" s="391"/>
    </row>
    <row r="121" spans="1:29" x14ac:dyDescent="0.2">
      <c r="A121" s="239" t="s">
        <v>78</v>
      </c>
      <c r="B121" s="240"/>
      <c r="C121" s="388"/>
      <c r="D121" s="389"/>
      <c r="E121" s="389"/>
      <c r="F121" s="486"/>
      <c r="G121" s="389"/>
      <c r="H121" s="389"/>
      <c r="I121" s="385"/>
      <c r="J121" s="389"/>
      <c r="K121" s="389"/>
      <c r="L121" s="385"/>
      <c r="M121" s="389"/>
      <c r="N121" s="389"/>
      <c r="O121" s="385"/>
      <c r="P121" s="389"/>
      <c r="Q121" s="389"/>
      <c r="R121" s="385"/>
      <c r="S121" s="389"/>
      <c r="T121" s="389"/>
      <c r="U121" s="385"/>
      <c r="V121" s="389"/>
      <c r="W121" s="389"/>
      <c r="X121" s="385"/>
      <c r="Y121" s="389"/>
      <c r="Z121" s="389"/>
      <c r="AA121" s="385"/>
      <c r="AB121" s="389"/>
      <c r="AC121" s="389"/>
    </row>
    <row r="122" spans="1:29" x14ac:dyDescent="0.2">
      <c r="A122" s="241"/>
      <c r="B122" s="235"/>
      <c r="C122" s="390"/>
      <c r="D122" s="391"/>
      <c r="E122" s="391"/>
      <c r="F122" s="486"/>
      <c r="G122" s="391"/>
      <c r="H122" s="391"/>
      <c r="I122" s="385"/>
      <c r="J122" s="391"/>
      <c r="K122" s="391"/>
      <c r="L122" s="385"/>
      <c r="M122" s="391"/>
      <c r="N122" s="391"/>
      <c r="O122" s="385"/>
      <c r="P122" s="391"/>
      <c r="Q122" s="391"/>
      <c r="R122" s="385"/>
      <c r="S122" s="391"/>
      <c r="T122" s="391"/>
      <c r="U122" s="385"/>
      <c r="V122" s="391"/>
      <c r="W122" s="391"/>
      <c r="X122" s="385"/>
      <c r="Y122" s="391"/>
      <c r="Z122" s="391"/>
      <c r="AA122" s="385"/>
      <c r="AB122" s="391"/>
      <c r="AC122" s="391"/>
    </row>
    <row r="123" spans="1:29" x14ac:dyDescent="0.2">
      <c r="A123" s="239" t="s">
        <v>79</v>
      </c>
      <c r="B123" s="240"/>
      <c r="C123" s="388"/>
      <c r="D123" s="389"/>
      <c r="E123" s="389"/>
      <c r="F123" s="486"/>
      <c r="G123" s="389"/>
      <c r="H123" s="389"/>
      <c r="I123" s="385"/>
      <c r="J123" s="389"/>
      <c r="K123" s="389"/>
      <c r="L123" s="385"/>
      <c r="M123" s="389"/>
      <c r="N123" s="389"/>
      <c r="O123" s="385"/>
      <c r="P123" s="389"/>
      <c r="Q123" s="389"/>
      <c r="R123" s="385"/>
      <c r="S123" s="389"/>
      <c r="T123" s="389"/>
      <c r="U123" s="385"/>
      <c r="V123" s="389"/>
      <c r="W123" s="389"/>
      <c r="X123" s="385"/>
      <c r="Y123" s="389"/>
      <c r="Z123" s="389"/>
      <c r="AA123" s="385"/>
      <c r="AB123" s="389"/>
      <c r="AC123" s="389"/>
    </row>
    <row r="124" spans="1:29" x14ac:dyDescent="0.2">
      <c r="A124" s="241"/>
      <c r="B124" s="235"/>
      <c r="C124" s="390"/>
      <c r="D124" s="391"/>
      <c r="E124" s="391"/>
      <c r="F124" s="486"/>
      <c r="G124" s="391"/>
      <c r="H124" s="391"/>
      <c r="I124" s="385"/>
      <c r="J124" s="391"/>
      <c r="K124" s="391"/>
      <c r="L124" s="385"/>
      <c r="M124" s="391"/>
      <c r="N124" s="391"/>
      <c r="O124" s="385"/>
      <c r="P124" s="391"/>
      <c r="Q124" s="391"/>
      <c r="R124" s="385"/>
      <c r="S124" s="391"/>
      <c r="T124" s="391"/>
      <c r="U124" s="385"/>
      <c r="V124" s="391"/>
      <c r="W124" s="391"/>
      <c r="X124" s="385"/>
      <c r="Y124" s="391"/>
      <c r="Z124" s="391"/>
      <c r="AA124" s="385"/>
      <c r="AB124" s="391"/>
      <c r="AC124" s="391"/>
    </row>
    <row r="125" spans="1:29" x14ac:dyDescent="0.2">
      <c r="A125" s="239" t="s">
        <v>80</v>
      </c>
      <c r="B125" s="240"/>
      <c r="C125" s="388"/>
      <c r="D125" s="389"/>
      <c r="E125" s="389"/>
      <c r="F125" s="486"/>
      <c r="G125" s="389"/>
      <c r="H125" s="389"/>
      <c r="I125" s="385"/>
      <c r="J125" s="389"/>
      <c r="K125" s="389"/>
      <c r="L125" s="385"/>
      <c r="M125" s="389"/>
      <c r="N125" s="389"/>
      <c r="O125" s="385"/>
      <c r="P125" s="389"/>
      <c r="Q125" s="389"/>
      <c r="R125" s="385"/>
      <c r="S125" s="389"/>
      <c r="T125" s="389"/>
      <c r="U125" s="385"/>
      <c r="V125" s="389"/>
      <c r="W125" s="389"/>
      <c r="X125" s="385"/>
      <c r="Y125" s="389"/>
      <c r="Z125" s="389"/>
      <c r="AA125" s="385"/>
      <c r="AB125" s="389"/>
      <c r="AC125" s="389"/>
    </row>
    <row r="126" spans="1:29" x14ac:dyDescent="0.2">
      <c r="A126" s="241"/>
      <c r="B126" s="235"/>
      <c r="C126" s="390"/>
      <c r="D126" s="391"/>
      <c r="E126" s="391"/>
      <c r="F126" s="486"/>
      <c r="G126" s="391"/>
      <c r="H126" s="391"/>
      <c r="I126" s="385"/>
      <c r="J126" s="391"/>
      <c r="K126" s="391"/>
      <c r="L126" s="385"/>
      <c r="M126" s="391"/>
      <c r="N126" s="391"/>
      <c r="O126" s="385"/>
      <c r="P126" s="391"/>
      <c r="Q126" s="391"/>
      <c r="R126" s="385"/>
      <c r="S126" s="391"/>
      <c r="T126" s="391"/>
      <c r="U126" s="385"/>
      <c r="V126" s="391"/>
      <c r="W126" s="391"/>
      <c r="X126" s="385"/>
      <c r="Y126" s="391"/>
      <c r="Z126" s="391"/>
      <c r="AA126" s="385"/>
      <c r="AB126" s="391"/>
      <c r="AC126" s="391"/>
    </row>
    <row r="127" spans="1:29" x14ac:dyDescent="0.2">
      <c r="A127" s="239" t="s">
        <v>81</v>
      </c>
      <c r="B127" s="240"/>
      <c r="C127" s="388"/>
      <c r="D127" s="389"/>
      <c r="E127" s="389"/>
      <c r="F127" s="486"/>
      <c r="G127" s="389"/>
      <c r="H127" s="389"/>
      <c r="I127" s="385"/>
      <c r="J127" s="389"/>
      <c r="K127" s="389"/>
      <c r="L127" s="385"/>
      <c r="M127" s="389"/>
      <c r="N127" s="389"/>
      <c r="O127" s="385"/>
      <c r="P127" s="389"/>
      <c r="Q127" s="389"/>
      <c r="R127" s="385"/>
      <c r="S127" s="389"/>
      <c r="T127" s="389"/>
      <c r="U127" s="385"/>
      <c r="V127" s="389"/>
      <c r="W127" s="389"/>
      <c r="X127" s="385"/>
      <c r="Y127" s="389"/>
      <c r="Z127" s="389"/>
      <c r="AA127" s="385"/>
      <c r="AB127" s="389"/>
      <c r="AC127" s="389"/>
    </row>
    <row r="128" spans="1:29" x14ac:dyDescent="0.2">
      <c r="A128" s="241"/>
      <c r="B128" s="235"/>
      <c r="C128" s="390"/>
      <c r="D128" s="391"/>
      <c r="E128" s="391"/>
      <c r="F128" s="486"/>
      <c r="G128" s="391"/>
      <c r="H128" s="391"/>
      <c r="I128" s="385"/>
      <c r="J128" s="391"/>
      <c r="K128" s="391"/>
      <c r="L128" s="385"/>
      <c r="M128" s="391"/>
      <c r="N128" s="391"/>
      <c r="O128" s="385"/>
      <c r="P128" s="391"/>
      <c r="Q128" s="391"/>
      <c r="R128" s="385"/>
      <c r="S128" s="391"/>
      <c r="T128" s="391"/>
      <c r="U128" s="385"/>
      <c r="V128" s="391"/>
      <c r="W128" s="391"/>
      <c r="X128" s="385"/>
      <c r="Y128" s="391"/>
      <c r="Z128" s="391"/>
      <c r="AA128" s="385"/>
      <c r="AB128" s="391"/>
      <c r="AC128" s="391"/>
    </row>
    <row r="129" spans="1:29" x14ac:dyDescent="0.2">
      <c r="A129" s="239" t="s">
        <v>82</v>
      </c>
      <c r="B129" s="240"/>
      <c r="C129" s="388"/>
      <c r="D129" s="389"/>
      <c r="E129" s="389"/>
      <c r="F129" s="486"/>
      <c r="G129" s="389"/>
      <c r="H129" s="389"/>
      <c r="I129" s="385"/>
      <c r="J129" s="389"/>
      <c r="K129" s="389"/>
      <c r="L129" s="385"/>
      <c r="M129" s="389"/>
      <c r="N129" s="389"/>
      <c r="O129" s="385"/>
      <c r="P129" s="389"/>
      <c r="Q129" s="389"/>
      <c r="R129" s="385"/>
      <c r="S129" s="389"/>
      <c r="T129" s="389"/>
      <c r="U129" s="385"/>
      <c r="V129" s="389"/>
      <c r="W129" s="389"/>
      <c r="X129" s="385"/>
      <c r="Y129" s="389"/>
      <c r="Z129" s="389"/>
      <c r="AA129" s="385"/>
      <c r="AB129" s="389"/>
      <c r="AC129" s="389"/>
    </row>
    <row r="130" spans="1:29" x14ac:dyDescent="0.2">
      <c r="A130" s="241"/>
      <c r="B130" s="235"/>
      <c r="C130" s="390"/>
      <c r="D130" s="391"/>
      <c r="E130" s="391"/>
      <c r="F130" s="486"/>
      <c r="G130" s="391"/>
      <c r="H130" s="391"/>
      <c r="I130" s="385"/>
      <c r="J130" s="391"/>
      <c r="K130" s="391"/>
      <c r="L130" s="385"/>
      <c r="M130" s="391"/>
      <c r="N130" s="391"/>
      <c r="O130" s="385"/>
      <c r="P130" s="391"/>
      <c r="Q130" s="391"/>
      <c r="R130" s="385"/>
      <c r="S130" s="391"/>
      <c r="T130" s="391"/>
      <c r="U130" s="385"/>
      <c r="V130" s="391"/>
      <c r="W130" s="391"/>
      <c r="X130" s="385"/>
      <c r="Y130" s="391"/>
      <c r="Z130" s="391"/>
      <c r="AA130" s="385"/>
      <c r="AB130" s="391"/>
      <c r="AC130" s="391"/>
    </row>
    <row r="131" spans="1:29" x14ac:dyDescent="0.2">
      <c r="A131" s="239" t="s">
        <v>83</v>
      </c>
      <c r="B131" s="240"/>
      <c r="C131" s="388"/>
      <c r="D131" s="389"/>
      <c r="E131" s="389"/>
      <c r="F131" s="486"/>
      <c r="G131" s="389"/>
      <c r="H131" s="389"/>
      <c r="I131" s="385"/>
      <c r="J131" s="389"/>
      <c r="K131" s="389"/>
      <c r="L131" s="385"/>
      <c r="M131" s="389"/>
      <c r="N131" s="389"/>
      <c r="O131" s="385"/>
      <c r="P131" s="389"/>
      <c r="Q131" s="389"/>
      <c r="R131" s="385"/>
      <c r="S131" s="389"/>
      <c r="T131" s="389"/>
      <c r="U131" s="385"/>
      <c r="V131" s="389"/>
      <c r="W131" s="389"/>
      <c r="X131" s="385"/>
      <c r="Y131" s="389"/>
      <c r="Z131" s="389"/>
      <c r="AA131" s="385"/>
      <c r="AB131" s="389"/>
      <c r="AC131" s="389"/>
    </row>
    <row r="132" spans="1:29" x14ac:dyDescent="0.2">
      <c r="A132" s="241"/>
      <c r="B132" s="235"/>
      <c r="C132" s="462"/>
      <c r="D132" s="463"/>
      <c r="E132" s="463"/>
      <c r="F132" s="486"/>
      <c r="G132" s="463"/>
      <c r="H132" s="463"/>
      <c r="I132" s="385"/>
      <c r="J132" s="463"/>
      <c r="K132" s="463"/>
      <c r="L132" s="385"/>
      <c r="M132" s="463"/>
      <c r="N132" s="463"/>
      <c r="O132" s="385"/>
      <c r="P132" s="463"/>
      <c r="Q132" s="463"/>
      <c r="R132" s="385"/>
      <c r="S132" s="463"/>
      <c r="T132" s="463"/>
      <c r="U132" s="385"/>
      <c r="V132" s="463"/>
      <c r="W132" s="463"/>
      <c r="X132" s="385"/>
      <c r="Y132" s="463"/>
      <c r="Z132" s="463"/>
      <c r="AA132" s="385"/>
      <c r="AB132" s="463"/>
      <c r="AC132" s="463"/>
    </row>
    <row r="133" spans="1:29" s="28" customFormat="1" ht="0.95" customHeight="1" x14ac:dyDescent="0.2">
      <c r="A133" s="257"/>
      <c r="B133" s="254"/>
      <c r="C133" s="392"/>
      <c r="D133" s="393"/>
      <c r="E133" s="393"/>
      <c r="F133" s="487"/>
      <c r="G133" s="393"/>
      <c r="H133" s="393"/>
      <c r="I133" s="394"/>
      <c r="J133" s="393"/>
      <c r="K133" s="393"/>
      <c r="L133" s="394"/>
      <c r="M133" s="393"/>
      <c r="N133" s="393"/>
      <c r="O133" s="394"/>
      <c r="P133" s="393"/>
      <c r="Q133" s="393"/>
      <c r="R133" s="394"/>
      <c r="S133" s="393"/>
      <c r="T133" s="393"/>
      <c r="U133" s="394"/>
      <c r="V133" s="393"/>
      <c r="W133" s="393"/>
      <c r="X133" s="394"/>
      <c r="Y133" s="393"/>
      <c r="Z133" s="393"/>
      <c r="AA133" s="394"/>
      <c r="AB133" s="393"/>
      <c r="AC133" s="393"/>
    </row>
    <row r="134" spans="1:29" ht="0.95" customHeight="1" x14ac:dyDescent="0.2">
      <c r="A134" s="62"/>
      <c r="B134" s="255"/>
      <c r="C134" s="395"/>
      <c r="D134" s="251"/>
      <c r="E134" s="251"/>
      <c r="F134" s="396"/>
      <c r="G134" s="251"/>
      <c r="H134" s="251"/>
      <c r="I134" s="251"/>
      <c r="J134" s="251"/>
      <c r="K134" s="251"/>
      <c r="L134" s="251"/>
      <c r="M134" s="251"/>
      <c r="N134" s="251"/>
      <c r="O134" s="251"/>
      <c r="P134" s="251"/>
      <c r="Q134" s="251"/>
      <c r="R134" s="251"/>
      <c r="S134" s="251"/>
      <c r="T134" s="251"/>
      <c r="U134" s="251"/>
      <c r="V134" s="251"/>
      <c r="W134" s="251"/>
      <c r="X134" s="251"/>
      <c r="Y134" s="251"/>
      <c r="Z134" s="251"/>
      <c r="AA134" s="251"/>
      <c r="AB134" s="251"/>
      <c r="AC134" s="251"/>
    </row>
    <row r="135" spans="1:29" ht="0.95" customHeight="1" thickBot="1" x14ac:dyDescent="0.25">
      <c r="A135" s="464"/>
      <c r="B135" s="397"/>
      <c r="C135" s="258"/>
      <c r="D135" s="398"/>
      <c r="E135" s="398"/>
      <c r="F135" s="488"/>
      <c r="G135" s="398"/>
      <c r="H135" s="398"/>
      <c r="I135" s="399"/>
      <c r="J135" s="398"/>
      <c r="K135" s="398"/>
      <c r="L135" s="399"/>
      <c r="M135" s="398"/>
      <c r="N135" s="398"/>
      <c r="O135" s="399"/>
      <c r="P135" s="398"/>
      <c r="Q135" s="398"/>
      <c r="R135" s="399"/>
      <c r="S135" s="398"/>
      <c r="T135" s="398"/>
      <c r="U135" s="399"/>
      <c r="V135" s="398"/>
      <c r="W135" s="398"/>
      <c r="X135" s="399"/>
      <c r="Y135" s="398"/>
      <c r="Z135" s="398"/>
      <c r="AA135" s="399"/>
      <c r="AB135" s="398"/>
      <c r="AC135" s="398"/>
    </row>
    <row r="136" spans="1:29" ht="16.5" thickTop="1" x14ac:dyDescent="0.2">
      <c r="A136" s="465"/>
      <c r="B136" s="400"/>
      <c r="C136" s="263"/>
      <c r="D136" s="503"/>
      <c r="E136" s="502"/>
      <c r="F136" s="396"/>
      <c r="G136" s="502"/>
      <c r="H136" s="502"/>
      <c r="I136" s="251"/>
      <c r="J136" s="502"/>
      <c r="K136" s="502"/>
      <c r="L136" s="251"/>
      <c r="M136" s="502"/>
      <c r="N136" s="502"/>
      <c r="O136" s="251"/>
      <c r="P136" s="502"/>
      <c r="Q136" s="502"/>
      <c r="R136" s="251"/>
      <c r="S136" s="502"/>
      <c r="T136" s="502"/>
      <c r="U136" s="251"/>
      <c r="V136" s="502"/>
      <c r="W136" s="502"/>
      <c r="X136" s="251"/>
      <c r="Y136" s="502"/>
      <c r="Z136" s="502"/>
      <c r="AA136" s="251"/>
      <c r="AB136" s="502"/>
      <c r="AC136" s="502"/>
    </row>
    <row r="137" spans="1:29" x14ac:dyDescent="0.2">
      <c r="A137" s="466"/>
      <c r="B137" s="401" t="s">
        <v>13</v>
      </c>
      <c r="C137" s="264"/>
      <c r="D137" s="389"/>
      <c r="E137" s="389"/>
      <c r="F137" s="488"/>
      <c r="G137" s="402"/>
      <c r="H137" s="389"/>
      <c r="I137" s="399"/>
      <c r="J137" s="402"/>
      <c r="K137" s="389"/>
      <c r="L137" s="399"/>
      <c r="M137" s="402"/>
      <c r="N137" s="389"/>
      <c r="O137" s="399"/>
      <c r="P137" s="402">
        <v>2</v>
      </c>
      <c r="Q137" s="389">
        <v>2</v>
      </c>
      <c r="R137" s="399"/>
      <c r="S137" s="402">
        <v>2</v>
      </c>
      <c r="T137" s="389">
        <v>2</v>
      </c>
      <c r="U137" s="399"/>
      <c r="V137" s="402">
        <v>1</v>
      </c>
      <c r="W137" s="389">
        <v>2</v>
      </c>
      <c r="X137" s="399"/>
      <c r="Y137" s="402">
        <v>4</v>
      </c>
      <c r="Z137" s="389">
        <v>1</v>
      </c>
      <c r="AA137" s="399"/>
      <c r="AB137" s="402">
        <v>4</v>
      </c>
      <c r="AC137" s="389">
        <v>2</v>
      </c>
    </row>
    <row r="138" spans="1:29" ht="15.75" thickBot="1" x14ac:dyDescent="0.25">
      <c r="A138" s="466"/>
      <c r="B138" s="403"/>
      <c r="C138" s="256"/>
      <c r="D138" s="391"/>
      <c r="E138" s="391"/>
      <c r="F138" s="486"/>
      <c r="G138" s="391"/>
      <c r="H138" s="391"/>
      <c r="I138" s="385"/>
      <c r="J138" s="391"/>
      <c r="K138" s="391"/>
      <c r="L138" s="385"/>
      <c r="M138" s="391"/>
      <c r="N138" s="391"/>
      <c r="O138" s="385"/>
      <c r="P138" s="391">
        <v>8</v>
      </c>
      <c r="Q138" s="391">
        <v>8</v>
      </c>
      <c r="R138" s="385"/>
      <c r="S138" s="391">
        <v>4</v>
      </c>
      <c r="T138" s="391">
        <v>4</v>
      </c>
      <c r="U138" s="385"/>
      <c r="V138" s="391">
        <v>8</v>
      </c>
      <c r="W138" s="391">
        <v>8</v>
      </c>
      <c r="X138" s="385"/>
      <c r="Y138" s="391">
        <v>8</v>
      </c>
      <c r="Z138" s="391">
        <v>8</v>
      </c>
      <c r="AA138" s="385"/>
      <c r="AB138" s="391">
        <v>4</v>
      </c>
      <c r="AC138" s="391">
        <v>4</v>
      </c>
    </row>
    <row r="139" spans="1:29" ht="15.75" thickTop="1" x14ac:dyDescent="0.2">
      <c r="A139" s="23"/>
      <c r="B139" s="23"/>
      <c r="C139" s="260"/>
    </row>
  </sheetData>
  <dataConsolidate/>
  <mergeCells count="18">
    <mergeCell ref="D136:E136"/>
    <mergeCell ref="M3:N3"/>
    <mergeCell ref="P3:Q3"/>
    <mergeCell ref="S3:T3"/>
    <mergeCell ref="D3:E3"/>
    <mergeCell ref="G3:H3"/>
    <mergeCell ref="J3:K3"/>
    <mergeCell ref="G136:H136"/>
    <mergeCell ref="J136:K136"/>
    <mergeCell ref="M136:N136"/>
    <mergeCell ref="S136:T136"/>
    <mergeCell ref="P136:Q136"/>
    <mergeCell ref="V136:W136"/>
    <mergeCell ref="Y136:Z136"/>
    <mergeCell ref="AB136:AC136"/>
    <mergeCell ref="V3:W3"/>
    <mergeCell ref="Y3:Z3"/>
    <mergeCell ref="AB3:AC3"/>
  </mergeCells>
  <phoneticPr fontId="0" type="noConversion"/>
  <printOptions horizontalCentered="1"/>
  <pageMargins left="0.39370078740157483" right="0.39370078740157483" top="0.59055118110236227" bottom="0.39370078740157483" header="0.11811023622047245" footer="0.11811023622047245"/>
  <pageSetup paperSize="9" scale="26" orientation="landscape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 filterMode="1">
    <pageSetUpPr fitToPage="1"/>
  </sheetPr>
  <dimension ref="A1:Y152"/>
  <sheetViews>
    <sheetView showGridLines="0" tabSelected="1" zoomScale="80" zoomScaleNormal="80" workbookViewId="0">
      <selection activeCell="D4" sqref="D4:E4"/>
    </sheetView>
  </sheetViews>
  <sheetFormatPr defaultRowHeight="15" x14ac:dyDescent="0.2"/>
  <cols>
    <col min="1" max="1" width="38.5703125" style="418" customWidth="1"/>
    <col min="2" max="19" width="8" style="418" customWidth="1"/>
    <col min="20" max="20" width="14.28515625" style="418" customWidth="1"/>
    <col min="21" max="16384" width="9.140625" style="418"/>
  </cols>
  <sheetData>
    <row r="1" spans="1:21" x14ac:dyDescent="0.2">
      <c r="A1" s="416"/>
      <c r="B1" s="417" t="s">
        <v>180</v>
      </c>
      <c r="C1" s="417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</row>
    <row r="2" spans="1:21" x14ac:dyDescent="0.2">
      <c r="A2" s="416"/>
      <c r="B2" s="417" t="s">
        <v>181</v>
      </c>
      <c r="C2" s="417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39" customHeight="1" x14ac:dyDescent="0.2">
      <c r="A3" s="419"/>
      <c r="B3" s="507" t="str">
        <f>'Matriz de Pesos e Notas'!G3</f>
        <v>Crédito</v>
      </c>
      <c r="C3" s="508"/>
      <c r="D3" s="509" t="s">
        <v>2</v>
      </c>
      <c r="E3" s="510"/>
      <c r="F3" s="507" t="s">
        <v>3</v>
      </c>
      <c r="G3" s="508"/>
      <c r="H3" s="509" t="s">
        <v>11</v>
      </c>
      <c r="I3" s="510"/>
      <c r="J3" s="513" t="s">
        <v>202</v>
      </c>
      <c r="K3" s="514"/>
      <c r="L3" s="513" t="s">
        <v>0</v>
      </c>
      <c r="M3" s="514"/>
      <c r="N3" s="513" t="s">
        <v>1</v>
      </c>
      <c r="O3" s="514"/>
      <c r="P3" s="507" t="s">
        <v>7</v>
      </c>
      <c r="Q3" s="508"/>
      <c r="R3" s="507" t="s">
        <v>8</v>
      </c>
      <c r="S3" s="508"/>
      <c r="T3" s="420" t="s">
        <v>10</v>
      </c>
    </row>
    <row r="4" spans="1:21" ht="23.25" customHeight="1" x14ac:dyDescent="0.2">
      <c r="A4" s="421"/>
      <c r="B4" s="511">
        <f>'Participação-apenas fórmulas'!G140+'Participação-apenas fórmulas'!H140</f>
        <v>0.3724137931034483</v>
      </c>
      <c r="C4" s="512"/>
      <c r="D4" s="511">
        <f>'Participação-apenas fórmulas'!J140+'Participação-apenas fórmulas'!K140</f>
        <v>8.2758620689655171E-2</v>
      </c>
      <c r="E4" s="512"/>
      <c r="F4" s="511">
        <f>'Participação-apenas fórmulas'!M140+'Participação-apenas fórmulas'!N140</f>
        <v>8.2758620689655171E-2</v>
      </c>
      <c r="G4" s="512"/>
      <c r="H4" s="511">
        <f>'Participação-apenas fórmulas'!P140+'Participação-apenas fórmulas'!Q140</f>
        <v>6.2068965517241385E-2</v>
      </c>
      <c r="I4" s="512"/>
      <c r="J4" s="511">
        <f>'Participação-apenas fórmulas'!S140+'Participação-apenas fórmulas'!T140</f>
        <v>0.1</v>
      </c>
      <c r="K4" s="512"/>
      <c r="L4" s="511">
        <f>'Participação-apenas fórmulas'!V140+'Participação-apenas fórmulas'!W140</f>
        <v>0.05</v>
      </c>
      <c r="M4" s="512"/>
      <c r="N4" s="511">
        <f>'Participação-apenas fórmulas'!Y140+'Participação-apenas fórmulas'!Z140</f>
        <v>0.1</v>
      </c>
      <c r="O4" s="512"/>
      <c r="P4" s="511">
        <f>'Participação-apenas fórmulas'!AB140+'Participação-apenas fórmulas'!AC140</f>
        <v>0.1</v>
      </c>
      <c r="Q4" s="512"/>
      <c r="R4" s="511">
        <f>'Participação-apenas fórmulas'!AE140+'Participação-apenas fórmulas'!AF140</f>
        <v>0.05</v>
      </c>
      <c r="S4" s="512"/>
      <c r="T4" s="422" t="str">
        <f>'Matriz de Pesos e Notas'!AI3</f>
        <v>Imprime</v>
      </c>
    </row>
    <row r="5" spans="1:21" ht="22.5" customHeight="1" x14ac:dyDescent="0.2">
      <c r="A5" s="423"/>
      <c r="B5" s="424" t="s">
        <v>4</v>
      </c>
      <c r="C5" s="425" t="s">
        <v>5</v>
      </c>
      <c r="D5" s="424" t="s">
        <v>4</v>
      </c>
      <c r="E5" s="425" t="s">
        <v>5</v>
      </c>
      <c r="F5" s="424" t="s">
        <v>4</v>
      </c>
      <c r="G5" s="425" t="s">
        <v>5</v>
      </c>
      <c r="H5" s="424" t="s">
        <v>4</v>
      </c>
      <c r="I5" s="425" t="s">
        <v>5</v>
      </c>
      <c r="J5" s="424" t="s">
        <v>4</v>
      </c>
      <c r="K5" s="425" t="s">
        <v>5</v>
      </c>
      <c r="L5" s="424" t="s">
        <v>4</v>
      </c>
      <c r="M5" s="425" t="s">
        <v>5</v>
      </c>
      <c r="N5" s="424" t="s">
        <v>4</v>
      </c>
      <c r="O5" s="425" t="s">
        <v>5</v>
      </c>
      <c r="P5" s="424" t="s">
        <v>4</v>
      </c>
      <c r="Q5" s="425" t="s">
        <v>5</v>
      </c>
      <c r="R5" s="424" t="s">
        <v>4</v>
      </c>
      <c r="S5" s="425" t="s">
        <v>5</v>
      </c>
      <c r="T5" s="420" t="s">
        <v>10</v>
      </c>
    </row>
    <row r="6" spans="1:21" ht="35.25" hidden="1" x14ac:dyDescent="0.45">
      <c r="A6" s="426" t="str">
        <f>'Matriz de Pesos e Notas'!A5</f>
        <v>Varejo e Prime</v>
      </c>
      <c r="B6" s="427"/>
      <c r="C6" s="428"/>
      <c r="D6" s="427"/>
      <c r="E6" s="428"/>
      <c r="F6" s="427"/>
      <c r="G6" s="428"/>
      <c r="H6" s="427"/>
      <c r="I6" s="428"/>
      <c r="J6" s="427"/>
      <c r="K6" s="428"/>
      <c r="L6" s="427"/>
      <c r="M6" s="428"/>
      <c r="N6" s="427"/>
      <c r="O6" s="428"/>
      <c r="P6" s="427"/>
      <c r="Q6" s="428"/>
      <c r="R6" s="427"/>
      <c r="S6" s="428"/>
      <c r="T6" s="422" t="str">
        <f>IF('Digitar aqui Notas e Pesos'!C9,"Imprime",IF('Digitar aqui Notas e Pesos'!C5,IF('Digitar aqui Notas e Pesos'!A5&lt;&gt;'Digitar aqui Notas e Pesos'!A7,"Imprime",""),""))</f>
        <v/>
      </c>
      <c r="U6" s="429"/>
    </row>
    <row r="7" spans="1:21" ht="35.25" hidden="1" x14ac:dyDescent="0.45">
      <c r="A7" s="430"/>
      <c r="B7" s="431"/>
      <c r="C7" s="432"/>
      <c r="D7" s="431"/>
      <c r="E7" s="432"/>
      <c r="F7" s="431"/>
      <c r="G7" s="432"/>
      <c r="H7" s="431"/>
      <c r="I7" s="432"/>
      <c r="J7" s="431"/>
      <c r="K7" s="432"/>
      <c r="L7" s="431"/>
      <c r="M7" s="432"/>
      <c r="N7" s="431"/>
      <c r="O7" s="432"/>
      <c r="P7" s="431"/>
      <c r="Q7" s="432"/>
      <c r="R7" s="431"/>
      <c r="S7" s="432"/>
      <c r="T7" s="433" t="s">
        <v>156</v>
      </c>
      <c r="U7" s="429"/>
    </row>
    <row r="8" spans="1:21" ht="35.25" x14ac:dyDescent="0.45">
      <c r="A8" s="434" t="str">
        <f>'Matriz de Pesos e Notas'!A7</f>
        <v>Varejo e Prime</v>
      </c>
      <c r="B8" s="435">
        <f>'Matriz de Pesos e Notas'!G7</f>
        <v>2</v>
      </c>
      <c r="C8" s="436">
        <f>'Matriz de Pesos e Notas'!H7</f>
        <v>2</v>
      </c>
      <c r="D8" s="435">
        <f>'Matriz de Pesos e Notas'!K7</f>
        <v>0</v>
      </c>
      <c r="E8" s="436">
        <f>'Matriz de Pesos e Notas'!L7</f>
        <v>0</v>
      </c>
      <c r="F8" s="435">
        <f>'Matriz de Pesos e Notas'!N7</f>
        <v>0</v>
      </c>
      <c r="G8" s="436">
        <f>'Matriz de Pesos e Notas'!O7</f>
        <v>0</v>
      </c>
      <c r="H8" s="435">
        <f>'Matriz de Pesos e Notas'!Q7</f>
        <v>0</v>
      </c>
      <c r="I8" s="436">
        <f>'Matriz de Pesos e Notas'!R7</f>
        <v>0</v>
      </c>
      <c r="J8" s="435">
        <f>'Matriz de Pesos e Notas'!T7</f>
        <v>0</v>
      </c>
      <c r="K8" s="436">
        <f>'Matriz de Pesos e Notas'!U7</f>
        <v>0</v>
      </c>
      <c r="L8" s="435">
        <f>'Matriz de Pesos e Notas'!W7</f>
        <v>0</v>
      </c>
      <c r="M8" s="436">
        <f>'Matriz de Pesos e Notas'!X7</f>
        <v>0</v>
      </c>
      <c r="N8" s="435">
        <f>'Matriz de Pesos e Notas'!Z7</f>
        <v>0</v>
      </c>
      <c r="O8" s="436">
        <f>'Matriz de Pesos e Notas'!AA7</f>
        <v>0</v>
      </c>
      <c r="P8" s="435">
        <f>'Matriz de Pesos e Notas'!AC7</f>
        <v>0</v>
      </c>
      <c r="Q8" s="436">
        <f>'Matriz de Pesos e Notas'!AD7</f>
        <v>0</v>
      </c>
      <c r="R8" s="435">
        <f>'Matriz de Pesos e Notas'!AF7</f>
        <v>0</v>
      </c>
      <c r="S8" s="436">
        <f>'Matriz de Pesos e Notas'!AG7</f>
        <v>0</v>
      </c>
      <c r="T8" s="422" t="str">
        <f>'Matriz de Pesos e Notas'!AI7</f>
        <v>Imprime</v>
      </c>
      <c r="U8" s="429"/>
    </row>
    <row r="9" spans="1:21" ht="35.25" hidden="1" x14ac:dyDescent="0.45">
      <c r="A9" s="437"/>
      <c r="B9" s="435"/>
      <c r="C9" s="436"/>
      <c r="D9" s="435"/>
      <c r="E9" s="436"/>
      <c r="F9" s="435"/>
      <c r="G9" s="436"/>
      <c r="H9" s="435"/>
      <c r="I9" s="436"/>
      <c r="J9" s="435"/>
      <c r="K9" s="436"/>
      <c r="L9" s="435"/>
      <c r="M9" s="436"/>
      <c r="N9" s="435"/>
      <c r="O9" s="436"/>
      <c r="P9" s="435"/>
      <c r="Q9" s="436"/>
      <c r="R9" s="435"/>
      <c r="S9" s="436"/>
      <c r="T9" s="433" t="s">
        <v>156</v>
      </c>
      <c r="U9" s="429"/>
    </row>
    <row r="10" spans="1:21" ht="35.25" hidden="1" x14ac:dyDescent="0.45">
      <c r="A10" s="434" t="str">
        <f>'Matriz de Pesos e Notas'!A9</f>
        <v>Nome da Atividade 2 da Unidade 1</v>
      </c>
      <c r="B10" s="435">
        <f>'Matriz de Pesos e Notas'!G9</f>
        <v>0</v>
      </c>
      <c r="C10" s="436">
        <f>'Matriz de Pesos e Notas'!H9</f>
        <v>0</v>
      </c>
      <c r="D10" s="435">
        <f>'Matriz de Pesos e Notas'!K9</f>
        <v>0</v>
      </c>
      <c r="E10" s="436">
        <f>'Matriz de Pesos e Notas'!L9</f>
        <v>0</v>
      </c>
      <c r="F10" s="435">
        <f>'Matriz de Pesos e Notas'!N9</f>
        <v>0</v>
      </c>
      <c r="G10" s="436">
        <f>'Matriz de Pesos e Notas'!O9</f>
        <v>0</v>
      </c>
      <c r="H10" s="435">
        <f>'Matriz de Pesos e Notas'!Q9</f>
        <v>0</v>
      </c>
      <c r="I10" s="436">
        <f>'Matriz de Pesos e Notas'!R9</f>
        <v>0</v>
      </c>
      <c r="J10" s="435">
        <f>'Matriz de Pesos e Notas'!T9</f>
        <v>0</v>
      </c>
      <c r="K10" s="436">
        <f>'Matriz de Pesos e Notas'!U9</f>
        <v>0</v>
      </c>
      <c r="L10" s="435">
        <f>'Matriz de Pesos e Notas'!W9</f>
        <v>0</v>
      </c>
      <c r="M10" s="436">
        <f>'Matriz de Pesos e Notas'!X9</f>
        <v>0</v>
      </c>
      <c r="N10" s="435">
        <f>'Matriz de Pesos e Notas'!Z9</f>
        <v>0</v>
      </c>
      <c r="O10" s="436">
        <f>'Matriz de Pesos e Notas'!AA9</f>
        <v>0</v>
      </c>
      <c r="P10" s="435">
        <f>'Matriz de Pesos e Notas'!AC9</f>
        <v>0</v>
      </c>
      <c r="Q10" s="436">
        <f>'Matriz de Pesos e Notas'!AD9</f>
        <v>0</v>
      </c>
      <c r="R10" s="435">
        <f>'Matriz de Pesos e Notas'!AF9</f>
        <v>0</v>
      </c>
      <c r="S10" s="436">
        <f>'Matriz de Pesos e Notas'!AG9</f>
        <v>0</v>
      </c>
      <c r="T10" s="422" t="str">
        <f>'Matriz de Pesos e Notas'!AI9</f>
        <v>Não Imprime</v>
      </c>
      <c r="U10" s="429"/>
    </row>
    <row r="11" spans="1:21" ht="35.25" hidden="1" x14ac:dyDescent="0.45">
      <c r="A11" s="437"/>
      <c r="B11" s="435"/>
      <c r="C11" s="436"/>
      <c r="D11" s="435"/>
      <c r="E11" s="436"/>
      <c r="F11" s="435"/>
      <c r="G11" s="436"/>
      <c r="H11" s="435"/>
      <c r="I11" s="436"/>
      <c r="J11" s="435"/>
      <c r="K11" s="436"/>
      <c r="L11" s="435"/>
      <c r="M11" s="436"/>
      <c r="N11" s="435"/>
      <c r="O11" s="436"/>
      <c r="P11" s="435"/>
      <c r="Q11" s="436"/>
      <c r="R11" s="435"/>
      <c r="S11" s="436"/>
      <c r="T11" s="433" t="s">
        <v>156</v>
      </c>
      <c r="U11" s="429"/>
    </row>
    <row r="12" spans="1:21" ht="35.25" hidden="1" x14ac:dyDescent="0.45">
      <c r="A12" s="437" t="str">
        <f>'Matriz de Pesos e Notas'!A11</f>
        <v>Nome da Atividade 3 da Unidade 1</v>
      </c>
      <c r="B12" s="435">
        <f>'Matriz de Pesos e Notas'!G11</f>
        <v>0</v>
      </c>
      <c r="C12" s="436">
        <f>'Matriz de Pesos e Notas'!H11</f>
        <v>0</v>
      </c>
      <c r="D12" s="435">
        <f>'Matriz de Pesos e Notas'!K11</f>
        <v>0</v>
      </c>
      <c r="E12" s="436">
        <f>'Matriz de Pesos e Notas'!L11</f>
        <v>0</v>
      </c>
      <c r="F12" s="435">
        <f>'Matriz de Pesos e Notas'!N11</f>
        <v>0</v>
      </c>
      <c r="G12" s="436">
        <f>'Matriz de Pesos e Notas'!O11</f>
        <v>0</v>
      </c>
      <c r="H12" s="435">
        <f>'Matriz de Pesos e Notas'!Q11</f>
        <v>0</v>
      </c>
      <c r="I12" s="436">
        <f>'Matriz de Pesos e Notas'!R11</f>
        <v>0</v>
      </c>
      <c r="J12" s="435">
        <f>'Matriz de Pesos e Notas'!T11</f>
        <v>0</v>
      </c>
      <c r="K12" s="436">
        <f>'Matriz de Pesos e Notas'!U11</f>
        <v>0</v>
      </c>
      <c r="L12" s="435">
        <f>'Matriz de Pesos e Notas'!W11</f>
        <v>0</v>
      </c>
      <c r="M12" s="436">
        <f>'Matriz de Pesos e Notas'!X11</f>
        <v>0</v>
      </c>
      <c r="N12" s="435">
        <f>'Matriz de Pesos e Notas'!Z11</f>
        <v>0</v>
      </c>
      <c r="O12" s="436">
        <f>'Matriz de Pesos e Notas'!AA11</f>
        <v>0</v>
      </c>
      <c r="P12" s="435">
        <f>'Matriz de Pesos e Notas'!AC11</f>
        <v>0</v>
      </c>
      <c r="Q12" s="436">
        <f>'Matriz de Pesos e Notas'!AD11</f>
        <v>0</v>
      </c>
      <c r="R12" s="435">
        <f>'Matriz de Pesos e Notas'!AF11</f>
        <v>0</v>
      </c>
      <c r="S12" s="436">
        <f>'Matriz de Pesos e Notas'!AG11</f>
        <v>0</v>
      </c>
      <c r="T12" s="422" t="str">
        <f>'Matriz de Pesos e Notas'!AI11</f>
        <v>Não Imprime</v>
      </c>
      <c r="U12" s="429"/>
    </row>
    <row r="13" spans="1:21" ht="35.25" hidden="1" x14ac:dyDescent="0.45">
      <c r="A13" s="437"/>
      <c r="B13" s="435"/>
      <c r="C13" s="436"/>
      <c r="D13" s="435"/>
      <c r="E13" s="436"/>
      <c r="F13" s="435"/>
      <c r="G13" s="436"/>
      <c r="H13" s="435"/>
      <c r="I13" s="436"/>
      <c r="J13" s="435"/>
      <c r="K13" s="436"/>
      <c r="L13" s="435"/>
      <c r="M13" s="436"/>
      <c r="N13" s="435"/>
      <c r="O13" s="436"/>
      <c r="P13" s="435"/>
      <c r="Q13" s="436"/>
      <c r="R13" s="435"/>
      <c r="S13" s="436"/>
      <c r="T13" s="433" t="s">
        <v>156</v>
      </c>
      <c r="U13" s="429"/>
    </row>
    <row r="14" spans="1:21" ht="35.25" hidden="1" x14ac:dyDescent="0.45">
      <c r="A14" s="437" t="str">
        <f>'Matriz de Pesos e Notas'!A13</f>
        <v>Nome da Atividade 4 da Unidade 1</v>
      </c>
      <c r="B14" s="435">
        <f>'Matriz de Pesos e Notas'!G13</f>
        <v>0</v>
      </c>
      <c r="C14" s="436">
        <f>'Matriz de Pesos e Notas'!H13</f>
        <v>0</v>
      </c>
      <c r="D14" s="435">
        <f>'Matriz de Pesos e Notas'!K13</f>
        <v>0</v>
      </c>
      <c r="E14" s="436">
        <f>'Matriz de Pesos e Notas'!L13</f>
        <v>0</v>
      </c>
      <c r="F14" s="435">
        <f>'Matriz de Pesos e Notas'!N13</f>
        <v>0</v>
      </c>
      <c r="G14" s="436">
        <f>'Matriz de Pesos e Notas'!O13</f>
        <v>0</v>
      </c>
      <c r="H14" s="435">
        <f>'Matriz de Pesos e Notas'!Q13</f>
        <v>0</v>
      </c>
      <c r="I14" s="436">
        <f>'Matriz de Pesos e Notas'!R13</f>
        <v>0</v>
      </c>
      <c r="J14" s="435">
        <f>'Matriz de Pesos e Notas'!T13</f>
        <v>0</v>
      </c>
      <c r="K14" s="436">
        <f>'Matriz de Pesos e Notas'!U13</f>
        <v>0</v>
      </c>
      <c r="L14" s="435">
        <f>'Matriz de Pesos e Notas'!W13</f>
        <v>0</v>
      </c>
      <c r="M14" s="436">
        <f>'Matriz de Pesos e Notas'!X13</f>
        <v>0</v>
      </c>
      <c r="N14" s="435">
        <f>'Matriz de Pesos e Notas'!Z13</f>
        <v>0</v>
      </c>
      <c r="O14" s="436">
        <f>'Matriz de Pesos e Notas'!AA13</f>
        <v>0</v>
      </c>
      <c r="P14" s="435">
        <f>'Matriz de Pesos e Notas'!AC13</f>
        <v>0</v>
      </c>
      <c r="Q14" s="436">
        <f>'Matriz de Pesos e Notas'!AD13</f>
        <v>0</v>
      </c>
      <c r="R14" s="435">
        <f>'Matriz de Pesos e Notas'!AF13</f>
        <v>0</v>
      </c>
      <c r="S14" s="436">
        <f>'Matriz de Pesos e Notas'!AG13</f>
        <v>0</v>
      </c>
      <c r="T14" s="422" t="str">
        <f>'Matriz de Pesos e Notas'!AI13</f>
        <v>Não Imprime</v>
      </c>
      <c r="U14" s="429"/>
    </row>
    <row r="15" spans="1:21" ht="35.25" hidden="1" x14ac:dyDescent="0.45">
      <c r="A15" s="437"/>
      <c r="B15" s="435"/>
      <c r="C15" s="436"/>
      <c r="D15" s="435"/>
      <c r="E15" s="436"/>
      <c r="F15" s="435"/>
      <c r="G15" s="436"/>
      <c r="H15" s="435"/>
      <c r="I15" s="436"/>
      <c r="J15" s="435"/>
      <c r="K15" s="436"/>
      <c r="L15" s="435"/>
      <c r="M15" s="436"/>
      <c r="N15" s="435"/>
      <c r="O15" s="436"/>
      <c r="P15" s="435"/>
      <c r="Q15" s="436"/>
      <c r="R15" s="435"/>
      <c r="S15" s="436"/>
      <c r="T15" s="433"/>
      <c r="U15" s="429"/>
    </row>
    <row r="16" spans="1:21" ht="35.25" hidden="1" x14ac:dyDescent="0.45">
      <c r="A16" s="437" t="str">
        <f>'Matriz de Pesos e Notas'!A15</f>
        <v>Nome da Atividade 5 da Unidade 1</v>
      </c>
      <c r="B16" s="435">
        <f>'Matriz de Pesos e Notas'!G15</f>
        <v>0</v>
      </c>
      <c r="C16" s="436">
        <f>'Matriz de Pesos e Notas'!H15</f>
        <v>0</v>
      </c>
      <c r="D16" s="435">
        <f>'Matriz de Pesos e Notas'!K15</f>
        <v>0</v>
      </c>
      <c r="E16" s="436">
        <f>'Matriz de Pesos e Notas'!L15</f>
        <v>0</v>
      </c>
      <c r="F16" s="435">
        <f>'Matriz de Pesos e Notas'!N15</f>
        <v>0</v>
      </c>
      <c r="G16" s="436">
        <f>'Matriz de Pesos e Notas'!O15</f>
        <v>0</v>
      </c>
      <c r="H16" s="435">
        <f>'Matriz de Pesos e Notas'!Q15</f>
        <v>0</v>
      </c>
      <c r="I16" s="436">
        <f>'Matriz de Pesos e Notas'!R15</f>
        <v>0</v>
      </c>
      <c r="J16" s="435">
        <f>'Matriz de Pesos e Notas'!T15</f>
        <v>0</v>
      </c>
      <c r="K16" s="436">
        <f>'Matriz de Pesos e Notas'!U15</f>
        <v>0</v>
      </c>
      <c r="L16" s="435">
        <f>'Matriz de Pesos e Notas'!W15</f>
        <v>0</v>
      </c>
      <c r="M16" s="436">
        <f>'Matriz de Pesos e Notas'!X15</f>
        <v>0</v>
      </c>
      <c r="N16" s="435">
        <f>'Matriz de Pesos e Notas'!Z15</f>
        <v>0</v>
      </c>
      <c r="O16" s="436">
        <f>'Matriz de Pesos e Notas'!AA15</f>
        <v>0</v>
      </c>
      <c r="P16" s="435">
        <f>'Matriz de Pesos e Notas'!AC15</f>
        <v>0</v>
      </c>
      <c r="Q16" s="436">
        <f>'Matriz de Pesos e Notas'!AD15</f>
        <v>0</v>
      </c>
      <c r="R16" s="435">
        <f>'Matriz de Pesos e Notas'!AF15</f>
        <v>0</v>
      </c>
      <c r="S16" s="436">
        <f>'Matriz de Pesos e Notas'!AG15</f>
        <v>0</v>
      </c>
      <c r="T16" s="422" t="str">
        <f>'Matriz de Pesos e Notas'!AI15</f>
        <v>Não Imprime</v>
      </c>
      <c r="U16" s="429"/>
    </row>
    <row r="17" spans="1:21" ht="35.25" hidden="1" x14ac:dyDescent="0.45">
      <c r="A17" s="437"/>
      <c r="B17" s="435"/>
      <c r="C17" s="436"/>
      <c r="D17" s="435"/>
      <c r="E17" s="436"/>
      <c r="F17" s="435"/>
      <c r="G17" s="436"/>
      <c r="H17" s="435"/>
      <c r="I17" s="436"/>
      <c r="J17" s="435"/>
      <c r="K17" s="436"/>
      <c r="L17" s="435"/>
      <c r="M17" s="436"/>
      <c r="N17" s="435"/>
      <c r="O17" s="436"/>
      <c r="P17" s="435"/>
      <c r="Q17" s="436"/>
      <c r="R17" s="435"/>
      <c r="S17" s="436"/>
      <c r="T17" s="433"/>
      <c r="U17" s="429"/>
    </row>
    <row r="18" spans="1:21" ht="35.25" hidden="1" x14ac:dyDescent="0.45">
      <c r="A18" s="437" t="str">
        <f>'Matriz de Pesos e Notas'!A17</f>
        <v>Nome da Atividade 6 da Unidade 1</v>
      </c>
      <c r="B18" s="435">
        <f>'Matriz de Pesos e Notas'!G17</f>
        <v>0</v>
      </c>
      <c r="C18" s="436">
        <f>'Matriz de Pesos e Notas'!H17</f>
        <v>0</v>
      </c>
      <c r="D18" s="435">
        <f>'Matriz de Pesos e Notas'!K17</f>
        <v>0</v>
      </c>
      <c r="E18" s="436">
        <f>'Matriz de Pesos e Notas'!L17</f>
        <v>0</v>
      </c>
      <c r="F18" s="435">
        <f>'Matriz de Pesos e Notas'!N17</f>
        <v>0</v>
      </c>
      <c r="G18" s="436">
        <f>'Matriz de Pesos e Notas'!O17</f>
        <v>0</v>
      </c>
      <c r="H18" s="435">
        <f>'Matriz de Pesos e Notas'!Q17</f>
        <v>0</v>
      </c>
      <c r="I18" s="436">
        <f>'Matriz de Pesos e Notas'!R17</f>
        <v>0</v>
      </c>
      <c r="J18" s="435">
        <f>'Matriz de Pesos e Notas'!T17</f>
        <v>0</v>
      </c>
      <c r="K18" s="436">
        <f>'Matriz de Pesos e Notas'!U17</f>
        <v>0</v>
      </c>
      <c r="L18" s="435">
        <f>'Matriz de Pesos e Notas'!W17</f>
        <v>0</v>
      </c>
      <c r="M18" s="436">
        <f>'Matriz de Pesos e Notas'!X17</f>
        <v>0</v>
      </c>
      <c r="N18" s="435">
        <f>'Matriz de Pesos e Notas'!Z17</f>
        <v>0</v>
      </c>
      <c r="O18" s="436">
        <f>'Matriz de Pesos e Notas'!AA17</f>
        <v>0</v>
      </c>
      <c r="P18" s="435">
        <f>'Matriz de Pesos e Notas'!AC17</f>
        <v>0</v>
      </c>
      <c r="Q18" s="436">
        <f>'Matriz de Pesos e Notas'!AD17</f>
        <v>0</v>
      </c>
      <c r="R18" s="435">
        <f>'Matriz de Pesos e Notas'!AF17</f>
        <v>0</v>
      </c>
      <c r="S18" s="436">
        <f>'Matriz de Pesos e Notas'!AG17</f>
        <v>0</v>
      </c>
      <c r="T18" s="422" t="str">
        <f>'Matriz de Pesos e Notas'!AI17</f>
        <v>Não Imprime</v>
      </c>
      <c r="U18" s="429"/>
    </row>
    <row r="19" spans="1:21" ht="35.25" hidden="1" x14ac:dyDescent="0.45">
      <c r="A19" s="437"/>
      <c r="B19" s="435"/>
      <c r="C19" s="436"/>
      <c r="D19" s="435"/>
      <c r="E19" s="436"/>
      <c r="F19" s="435"/>
      <c r="G19" s="436"/>
      <c r="H19" s="435"/>
      <c r="I19" s="436"/>
      <c r="J19" s="435"/>
      <c r="K19" s="436"/>
      <c r="L19" s="435"/>
      <c r="M19" s="436"/>
      <c r="N19" s="435"/>
      <c r="O19" s="436"/>
      <c r="P19" s="435"/>
      <c r="Q19" s="436"/>
      <c r="R19" s="435"/>
      <c r="S19" s="436"/>
      <c r="T19" s="433"/>
      <c r="U19" s="429"/>
    </row>
    <row r="20" spans="1:21" ht="35.25" hidden="1" x14ac:dyDescent="0.45">
      <c r="A20" s="437" t="str">
        <f>'Matriz de Pesos e Notas'!A19</f>
        <v>Nome da Atividade 7 da Unidade 1</v>
      </c>
      <c r="B20" s="435">
        <f>'Matriz de Pesos e Notas'!G19</f>
        <v>0</v>
      </c>
      <c r="C20" s="436">
        <f>'Matriz de Pesos e Notas'!H19</f>
        <v>0</v>
      </c>
      <c r="D20" s="435">
        <f>'Matriz de Pesos e Notas'!K19</f>
        <v>0</v>
      </c>
      <c r="E20" s="436">
        <f>'Matriz de Pesos e Notas'!L19</f>
        <v>0</v>
      </c>
      <c r="F20" s="435">
        <f>'Matriz de Pesos e Notas'!N19</f>
        <v>0</v>
      </c>
      <c r="G20" s="436">
        <f>'Matriz de Pesos e Notas'!O19</f>
        <v>0</v>
      </c>
      <c r="H20" s="435">
        <f>'Matriz de Pesos e Notas'!Q19</f>
        <v>0</v>
      </c>
      <c r="I20" s="436">
        <f>'Matriz de Pesos e Notas'!R19</f>
        <v>0</v>
      </c>
      <c r="J20" s="435">
        <f>'Matriz de Pesos e Notas'!T19</f>
        <v>0</v>
      </c>
      <c r="K20" s="436">
        <f>'Matriz de Pesos e Notas'!U19</f>
        <v>0</v>
      </c>
      <c r="L20" s="435">
        <f>'Matriz de Pesos e Notas'!W19</f>
        <v>0</v>
      </c>
      <c r="M20" s="436">
        <f>'Matriz de Pesos e Notas'!X19</f>
        <v>0</v>
      </c>
      <c r="N20" s="435">
        <f>'Matriz de Pesos e Notas'!Z19</f>
        <v>0</v>
      </c>
      <c r="O20" s="436">
        <f>'Matriz de Pesos e Notas'!AA19</f>
        <v>0</v>
      </c>
      <c r="P20" s="435">
        <f>'Matriz de Pesos e Notas'!AC19</f>
        <v>0</v>
      </c>
      <c r="Q20" s="436">
        <f>'Matriz de Pesos e Notas'!AD19</f>
        <v>0</v>
      </c>
      <c r="R20" s="435">
        <f>'Matriz de Pesos e Notas'!AF19</f>
        <v>0</v>
      </c>
      <c r="S20" s="436">
        <f>'Matriz de Pesos e Notas'!AG19</f>
        <v>0</v>
      </c>
      <c r="T20" s="422" t="str">
        <f>'Matriz de Pesos e Notas'!AI19</f>
        <v>Não Imprime</v>
      </c>
      <c r="U20" s="429"/>
    </row>
    <row r="21" spans="1:21" ht="35.25" hidden="1" x14ac:dyDescent="0.45">
      <c r="A21" s="438"/>
      <c r="B21" s="439"/>
      <c r="C21" s="440"/>
      <c r="D21" s="439"/>
      <c r="E21" s="440"/>
      <c r="F21" s="439"/>
      <c r="G21" s="440"/>
      <c r="H21" s="439"/>
      <c r="I21" s="440"/>
      <c r="J21" s="439"/>
      <c r="K21" s="440"/>
      <c r="L21" s="439"/>
      <c r="M21" s="440"/>
      <c r="N21" s="439"/>
      <c r="O21" s="440"/>
      <c r="P21" s="439"/>
      <c r="Q21" s="440"/>
      <c r="R21" s="439"/>
      <c r="S21" s="440"/>
      <c r="T21" s="433"/>
      <c r="U21" s="429"/>
    </row>
    <row r="22" spans="1:21" ht="35.25" hidden="1" x14ac:dyDescent="0.45">
      <c r="A22" s="426" t="str">
        <f>'Matriz de Pesos e Notas'!A21</f>
        <v>Corporate e Empresas</v>
      </c>
      <c r="B22" s="427"/>
      <c r="C22" s="428"/>
      <c r="D22" s="427"/>
      <c r="E22" s="428"/>
      <c r="F22" s="427"/>
      <c r="G22" s="428"/>
      <c r="H22" s="427"/>
      <c r="I22" s="428"/>
      <c r="J22" s="427"/>
      <c r="K22" s="428"/>
      <c r="L22" s="427"/>
      <c r="M22" s="428"/>
      <c r="N22" s="427"/>
      <c r="O22" s="428"/>
      <c r="P22" s="427"/>
      <c r="Q22" s="428"/>
      <c r="R22" s="427"/>
      <c r="S22" s="428"/>
      <c r="T22" s="422" t="str">
        <f>IF('Digitar aqui Notas e Pesos'!C25,"Imprime",IF('Digitar aqui Notas e Pesos'!C21,IF('Digitar aqui Notas e Pesos'!A21&lt;&gt;'Digitar aqui Notas e Pesos'!A23,"Imprime",""),""))</f>
        <v/>
      </c>
      <c r="U22" s="429"/>
    </row>
    <row r="23" spans="1:21" ht="35.25" hidden="1" x14ac:dyDescent="0.45">
      <c r="A23" s="430"/>
      <c r="B23" s="431"/>
      <c r="C23" s="432"/>
      <c r="D23" s="431"/>
      <c r="E23" s="432"/>
      <c r="F23" s="431"/>
      <c r="G23" s="432"/>
      <c r="H23" s="431"/>
      <c r="I23" s="432"/>
      <c r="J23" s="431"/>
      <c r="K23" s="432"/>
      <c r="L23" s="431"/>
      <c r="M23" s="432"/>
      <c r="N23" s="431"/>
      <c r="O23" s="432"/>
      <c r="P23" s="431"/>
      <c r="Q23" s="432"/>
      <c r="R23" s="431"/>
      <c r="S23" s="432"/>
      <c r="T23" s="433" t="s">
        <v>156</v>
      </c>
      <c r="U23" s="429"/>
    </row>
    <row r="24" spans="1:21" ht="35.25" x14ac:dyDescent="0.45">
      <c r="A24" s="434" t="str">
        <f>'Matriz de Pesos e Notas'!A23</f>
        <v>Corporate e Empresas</v>
      </c>
      <c r="B24" s="435">
        <f>'Matriz de Pesos e Notas'!G23</f>
        <v>2</v>
      </c>
      <c r="C24" s="436">
        <f>'Matriz de Pesos e Notas'!H23</f>
        <v>3</v>
      </c>
      <c r="D24" s="435">
        <f>'Matriz de Pesos e Notas'!K23</f>
        <v>0</v>
      </c>
      <c r="E24" s="436">
        <f>'Matriz de Pesos e Notas'!L23</f>
        <v>0</v>
      </c>
      <c r="F24" s="435">
        <f>'Matriz de Pesos e Notas'!N23</f>
        <v>0</v>
      </c>
      <c r="G24" s="436">
        <f>'Matriz de Pesos e Notas'!O23</f>
        <v>0</v>
      </c>
      <c r="H24" s="435">
        <f>'Matriz de Pesos e Notas'!Q23</f>
        <v>0</v>
      </c>
      <c r="I24" s="436">
        <f>'Matriz de Pesos e Notas'!R23</f>
        <v>0</v>
      </c>
      <c r="J24" s="435">
        <f>'Matriz de Pesos e Notas'!T23</f>
        <v>0</v>
      </c>
      <c r="K24" s="436">
        <f>'Matriz de Pesos e Notas'!U23</f>
        <v>0</v>
      </c>
      <c r="L24" s="435">
        <f>'Matriz de Pesos e Notas'!W23</f>
        <v>0</v>
      </c>
      <c r="M24" s="436">
        <f>'Matriz de Pesos e Notas'!X23</f>
        <v>0</v>
      </c>
      <c r="N24" s="435">
        <f>'Matriz de Pesos e Notas'!Z23</f>
        <v>0</v>
      </c>
      <c r="O24" s="436">
        <f>'Matriz de Pesos e Notas'!AA23</f>
        <v>0</v>
      </c>
      <c r="P24" s="435">
        <f>'Matriz de Pesos e Notas'!AC23</f>
        <v>0</v>
      </c>
      <c r="Q24" s="436">
        <f>'Matriz de Pesos e Notas'!AD23</f>
        <v>0</v>
      </c>
      <c r="R24" s="435">
        <f>'Matriz de Pesos e Notas'!AF23</f>
        <v>0</v>
      </c>
      <c r="S24" s="436">
        <f>'Matriz de Pesos e Notas'!AG23</f>
        <v>0</v>
      </c>
      <c r="T24" s="422" t="str">
        <f>'Matriz de Pesos e Notas'!AI23</f>
        <v>Imprime</v>
      </c>
      <c r="U24" s="429"/>
    </row>
    <row r="25" spans="1:21" ht="35.25" hidden="1" x14ac:dyDescent="0.45">
      <c r="A25" s="437"/>
      <c r="B25" s="435"/>
      <c r="C25" s="436"/>
      <c r="D25" s="435"/>
      <c r="E25" s="436"/>
      <c r="F25" s="435"/>
      <c r="G25" s="436"/>
      <c r="H25" s="435"/>
      <c r="I25" s="436"/>
      <c r="J25" s="435"/>
      <c r="K25" s="436"/>
      <c r="L25" s="435"/>
      <c r="M25" s="436"/>
      <c r="N25" s="435"/>
      <c r="O25" s="436"/>
      <c r="P25" s="435"/>
      <c r="Q25" s="436"/>
      <c r="R25" s="435"/>
      <c r="S25" s="436"/>
      <c r="T25" s="433" t="s">
        <v>156</v>
      </c>
      <c r="U25" s="429"/>
    </row>
    <row r="26" spans="1:21" ht="35.25" hidden="1" x14ac:dyDescent="0.45">
      <c r="A26" s="434" t="str">
        <f>'Matriz de Pesos e Notas'!A25</f>
        <v>Nome da Atividade 2 da Unidade 1</v>
      </c>
      <c r="B26" s="435">
        <f>'Matriz de Pesos e Notas'!G25</f>
        <v>0</v>
      </c>
      <c r="C26" s="436">
        <f>'Matriz de Pesos e Notas'!H25</f>
        <v>0</v>
      </c>
      <c r="D26" s="435">
        <f>'Matriz de Pesos e Notas'!K25</f>
        <v>0</v>
      </c>
      <c r="E26" s="436">
        <f>'Matriz de Pesos e Notas'!L25</f>
        <v>0</v>
      </c>
      <c r="F26" s="435">
        <f>'Matriz de Pesos e Notas'!N25</f>
        <v>0</v>
      </c>
      <c r="G26" s="436">
        <f>'Matriz de Pesos e Notas'!O25</f>
        <v>0</v>
      </c>
      <c r="H26" s="435">
        <f>'Matriz de Pesos e Notas'!Q25</f>
        <v>0</v>
      </c>
      <c r="I26" s="436">
        <f>'Matriz de Pesos e Notas'!R25</f>
        <v>0</v>
      </c>
      <c r="J26" s="435">
        <f>'Matriz de Pesos e Notas'!T25</f>
        <v>0</v>
      </c>
      <c r="K26" s="436">
        <f>'Matriz de Pesos e Notas'!U25</f>
        <v>0</v>
      </c>
      <c r="L26" s="435">
        <f>'Matriz de Pesos e Notas'!W25</f>
        <v>0</v>
      </c>
      <c r="M26" s="436">
        <f>'Matriz de Pesos e Notas'!X25</f>
        <v>0</v>
      </c>
      <c r="N26" s="435">
        <f>'Matriz de Pesos e Notas'!Z25</f>
        <v>0</v>
      </c>
      <c r="O26" s="436">
        <f>'Matriz de Pesos e Notas'!AA25</f>
        <v>0</v>
      </c>
      <c r="P26" s="435">
        <f>'Matriz de Pesos e Notas'!AC25</f>
        <v>0</v>
      </c>
      <c r="Q26" s="436">
        <f>'Matriz de Pesos e Notas'!AD25</f>
        <v>0</v>
      </c>
      <c r="R26" s="435">
        <f>'Matriz de Pesos e Notas'!AF25</f>
        <v>0</v>
      </c>
      <c r="S26" s="436">
        <f>'Matriz de Pesos e Notas'!AG25</f>
        <v>0</v>
      </c>
      <c r="T26" s="422" t="str">
        <f>'Matriz de Pesos e Notas'!AI25</f>
        <v>Não Imprime</v>
      </c>
      <c r="U26" s="429"/>
    </row>
    <row r="27" spans="1:21" ht="35.25" hidden="1" x14ac:dyDescent="0.45">
      <c r="A27" s="437"/>
      <c r="B27" s="435"/>
      <c r="C27" s="436"/>
      <c r="D27" s="435"/>
      <c r="E27" s="436"/>
      <c r="F27" s="435"/>
      <c r="G27" s="436"/>
      <c r="H27" s="435"/>
      <c r="I27" s="436"/>
      <c r="J27" s="435"/>
      <c r="K27" s="436"/>
      <c r="L27" s="435"/>
      <c r="M27" s="436"/>
      <c r="N27" s="435"/>
      <c r="O27" s="436"/>
      <c r="P27" s="435"/>
      <c r="Q27" s="436"/>
      <c r="R27" s="435"/>
      <c r="S27" s="436"/>
      <c r="T27" s="433" t="s">
        <v>156</v>
      </c>
      <c r="U27" s="429"/>
    </row>
    <row r="28" spans="1:21" ht="35.25" hidden="1" x14ac:dyDescent="0.45">
      <c r="A28" s="437" t="str">
        <f>'Matriz de Pesos e Notas'!A27</f>
        <v>Nome da Atividade 3 da Unidade 1</v>
      </c>
      <c r="B28" s="435">
        <f>'Matriz de Pesos e Notas'!G27</f>
        <v>0</v>
      </c>
      <c r="C28" s="436">
        <f>'Matriz de Pesos e Notas'!H27</f>
        <v>0</v>
      </c>
      <c r="D28" s="435">
        <f>'Matriz de Pesos e Notas'!K27</f>
        <v>0</v>
      </c>
      <c r="E28" s="436">
        <f>'Matriz de Pesos e Notas'!L27</f>
        <v>0</v>
      </c>
      <c r="F28" s="435">
        <f>'Matriz de Pesos e Notas'!N27</f>
        <v>0</v>
      </c>
      <c r="G28" s="436">
        <f>'Matriz de Pesos e Notas'!O27</f>
        <v>0</v>
      </c>
      <c r="H28" s="435">
        <f>'Matriz de Pesos e Notas'!Q27</f>
        <v>0</v>
      </c>
      <c r="I28" s="436">
        <f>'Matriz de Pesos e Notas'!R27</f>
        <v>0</v>
      </c>
      <c r="J28" s="435">
        <f>'Matriz de Pesos e Notas'!T27</f>
        <v>0</v>
      </c>
      <c r="K28" s="436">
        <f>'Matriz de Pesos e Notas'!U27</f>
        <v>0</v>
      </c>
      <c r="L28" s="435">
        <f>'Matriz de Pesos e Notas'!W27</f>
        <v>0</v>
      </c>
      <c r="M28" s="436">
        <f>'Matriz de Pesos e Notas'!X27</f>
        <v>0</v>
      </c>
      <c r="N28" s="435">
        <f>'Matriz de Pesos e Notas'!Z27</f>
        <v>0</v>
      </c>
      <c r="O28" s="436">
        <f>'Matriz de Pesos e Notas'!AA27</f>
        <v>0</v>
      </c>
      <c r="P28" s="435">
        <f>'Matriz de Pesos e Notas'!AC27</f>
        <v>0</v>
      </c>
      <c r="Q28" s="436">
        <f>'Matriz de Pesos e Notas'!AD27</f>
        <v>0</v>
      </c>
      <c r="R28" s="435">
        <f>'Matriz de Pesos e Notas'!AF27</f>
        <v>0</v>
      </c>
      <c r="S28" s="436">
        <f>'Matriz de Pesos e Notas'!AG27</f>
        <v>0</v>
      </c>
      <c r="T28" s="422" t="str">
        <f>'Matriz de Pesos e Notas'!AI27</f>
        <v>Não Imprime</v>
      </c>
      <c r="U28" s="429"/>
    </row>
    <row r="29" spans="1:21" ht="35.25" hidden="1" x14ac:dyDescent="0.45">
      <c r="A29" s="437"/>
      <c r="B29" s="435"/>
      <c r="C29" s="436"/>
      <c r="D29" s="435"/>
      <c r="E29" s="436"/>
      <c r="F29" s="435"/>
      <c r="G29" s="436"/>
      <c r="H29" s="435"/>
      <c r="I29" s="436"/>
      <c r="J29" s="435"/>
      <c r="K29" s="436"/>
      <c r="L29" s="435"/>
      <c r="M29" s="436"/>
      <c r="N29" s="435"/>
      <c r="O29" s="436"/>
      <c r="P29" s="435"/>
      <c r="Q29" s="436"/>
      <c r="R29" s="435"/>
      <c r="S29" s="436"/>
      <c r="T29" s="433" t="s">
        <v>156</v>
      </c>
      <c r="U29" s="429"/>
    </row>
    <row r="30" spans="1:21" ht="35.25" hidden="1" x14ac:dyDescent="0.45">
      <c r="A30" s="437" t="str">
        <f>'Matriz de Pesos e Notas'!A29</f>
        <v>Nome da Atividade 4 da Unidade 1</v>
      </c>
      <c r="B30" s="435">
        <f>'Matriz de Pesos e Notas'!G29</f>
        <v>0</v>
      </c>
      <c r="C30" s="436">
        <f>'Matriz de Pesos e Notas'!H29</f>
        <v>0</v>
      </c>
      <c r="D30" s="435">
        <f>'Matriz de Pesos e Notas'!K29</f>
        <v>0</v>
      </c>
      <c r="E30" s="436">
        <f>'Matriz de Pesos e Notas'!L29</f>
        <v>0</v>
      </c>
      <c r="F30" s="435">
        <f>'Matriz de Pesos e Notas'!N29</f>
        <v>0</v>
      </c>
      <c r="G30" s="436">
        <f>'Matriz de Pesos e Notas'!O29</f>
        <v>0</v>
      </c>
      <c r="H30" s="435">
        <f>'Matriz de Pesos e Notas'!Q29</f>
        <v>0</v>
      </c>
      <c r="I30" s="436">
        <f>'Matriz de Pesos e Notas'!R29</f>
        <v>0</v>
      </c>
      <c r="J30" s="435">
        <f>'Matriz de Pesos e Notas'!T29</f>
        <v>0</v>
      </c>
      <c r="K30" s="436">
        <f>'Matriz de Pesos e Notas'!U29</f>
        <v>0</v>
      </c>
      <c r="L30" s="435">
        <f>'Matriz de Pesos e Notas'!W29</f>
        <v>0</v>
      </c>
      <c r="M30" s="436">
        <f>'Matriz de Pesos e Notas'!X29</f>
        <v>0</v>
      </c>
      <c r="N30" s="435">
        <f>'Matriz de Pesos e Notas'!Z29</f>
        <v>0</v>
      </c>
      <c r="O30" s="436">
        <f>'Matriz de Pesos e Notas'!AA29</f>
        <v>0</v>
      </c>
      <c r="P30" s="435">
        <f>'Matriz de Pesos e Notas'!AC29</f>
        <v>0</v>
      </c>
      <c r="Q30" s="436">
        <f>'Matriz de Pesos e Notas'!AD29</f>
        <v>0</v>
      </c>
      <c r="R30" s="435">
        <f>'Matriz de Pesos e Notas'!AF29</f>
        <v>0</v>
      </c>
      <c r="S30" s="436">
        <f>'Matriz de Pesos e Notas'!AG29</f>
        <v>0</v>
      </c>
      <c r="T30" s="422" t="str">
        <f>'Matriz de Pesos e Notas'!AI29</f>
        <v>Não Imprime</v>
      </c>
      <c r="U30" s="429"/>
    </row>
    <row r="31" spans="1:21" ht="35.25" hidden="1" x14ac:dyDescent="0.45">
      <c r="A31" s="437"/>
      <c r="B31" s="435"/>
      <c r="C31" s="436"/>
      <c r="D31" s="435"/>
      <c r="E31" s="436"/>
      <c r="F31" s="435"/>
      <c r="G31" s="436"/>
      <c r="H31" s="435"/>
      <c r="I31" s="436"/>
      <c r="J31" s="435"/>
      <c r="K31" s="436"/>
      <c r="L31" s="435"/>
      <c r="M31" s="436"/>
      <c r="N31" s="435"/>
      <c r="O31" s="436"/>
      <c r="P31" s="435"/>
      <c r="Q31" s="436"/>
      <c r="R31" s="435"/>
      <c r="S31" s="436"/>
      <c r="T31" s="433"/>
      <c r="U31" s="429"/>
    </row>
    <row r="32" spans="1:21" ht="35.25" hidden="1" x14ac:dyDescent="0.45">
      <c r="A32" s="437" t="str">
        <f>'Matriz de Pesos e Notas'!A31</f>
        <v>Nome da Atividade 5 da Unidade 1</v>
      </c>
      <c r="B32" s="435">
        <f>'Matriz de Pesos e Notas'!G31</f>
        <v>0</v>
      </c>
      <c r="C32" s="436">
        <f>'Matriz de Pesos e Notas'!H31</f>
        <v>0</v>
      </c>
      <c r="D32" s="435">
        <f>'Matriz de Pesos e Notas'!K31</f>
        <v>0</v>
      </c>
      <c r="E32" s="436">
        <f>'Matriz de Pesos e Notas'!L31</f>
        <v>0</v>
      </c>
      <c r="F32" s="435">
        <f>'Matriz de Pesos e Notas'!N31</f>
        <v>0</v>
      </c>
      <c r="G32" s="436">
        <f>'Matriz de Pesos e Notas'!O31</f>
        <v>0</v>
      </c>
      <c r="H32" s="435">
        <f>'Matriz de Pesos e Notas'!Q31</f>
        <v>0</v>
      </c>
      <c r="I32" s="436">
        <f>'Matriz de Pesos e Notas'!R31</f>
        <v>0</v>
      </c>
      <c r="J32" s="435">
        <f>'Matriz de Pesos e Notas'!T31</f>
        <v>0</v>
      </c>
      <c r="K32" s="436">
        <f>'Matriz de Pesos e Notas'!U31</f>
        <v>0</v>
      </c>
      <c r="L32" s="435">
        <f>'Matriz de Pesos e Notas'!W31</f>
        <v>0</v>
      </c>
      <c r="M32" s="436">
        <f>'Matriz de Pesos e Notas'!X31</f>
        <v>0</v>
      </c>
      <c r="N32" s="435">
        <f>'Matriz de Pesos e Notas'!Z31</f>
        <v>0</v>
      </c>
      <c r="O32" s="436">
        <f>'Matriz de Pesos e Notas'!AA31</f>
        <v>0</v>
      </c>
      <c r="P32" s="435">
        <f>'Matriz de Pesos e Notas'!AC31</f>
        <v>0</v>
      </c>
      <c r="Q32" s="436">
        <f>'Matriz de Pesos e Notas'!AD31</f>
        <v>0</v>
      </c>
      <c r="R32" s="435">
        <f>'Matriz de Pesos e Notas'!AF31</f>
        <v>0</v>
      </c>
      <c r="S32" s="436">
        <f>'Matriz de Pesos e Notas'!AG31</f>
        <v>0</v>
      </c>
      <c r="T32" s="422" t="str">
        <f>'Matriz de Pesos e Notas'!AI31</f>
        <v>Não Imprime</v>
      </c>
      <c r="U32" s="429"/>
    </row>
    <row r="33" spans="1:21" ht="35.25" hidden="1" x14ac:dyDescent="0.45">
      <c r="A33" s="437"/>
      <c r="B33" s="435"/>
      <c r="C33" s="436"/>
      <c r="D33" s="435"/>
      <c r="E33" s="436"/>
      <c r="F33" s="435"/>
      <c r="G33" s="436"/>
      <c r="H33" s="435"/>
      <c r="I33" s="436"/>
      <c r="J33" s="435"/>
      <c r="K33" s="436"/>
      <c r="L33" s="435"/>
      <c r="M33" s="436"/>
      <c r="N33" s="435"/>
      <c r="O33" s="436"/>
      <c r="P33" s="435"/>
      <c r="Q33" s="436"/>
      <c r="R33" s="435"/>
      <c r="S33" s="436"/>
      <c r="T33" s="433"/>
      <c r="U33" s="429"/>
    </row>
    <row r="34" spans="1:21" ht="35.25" hidden="1" x14ac:dyDescent="0.45">
      <c r="A34" s="437" t="str">
        <f>'Matriz de Pesos e Notas'!A33</f>
        <v>Nome da Atividade 6 da Unidade 1</v>
      </c>
      <c r="B34" s="435">
        <f>'Matriz de Pesos e Notas'!G33</f>
        <v>0</v>
      </c>
      <c r="C34" s="436">
        <f>'Matriz de Pesos e Notas'!H33</f>
        <v>0</v>
      </c>
      <c r="D34" s="435">
        <f>'Matriz de Pesos e Notas'!K33</f>
        <v>0</v>
      </c>
      <c r="E34" s="436">
        <f>'Matriz de Pesos e Notas'!L33</f>
        <v>0</v>
      </c>
      <c r="F34" s="435">
        <f>'Matriz de Pesos e Notas'!N33</f>
        <v>0</v>
      </c>
      <c r="G34" s="436">
        <f>'Matriz de Pesos e Notas'!O33</f>
        <v>0</v>
      </c>
      <c r="H34" s="435">
        <f>'Matriz de Pesos e Notas'!Q33</f>
        <v>0</v>
      </c>
      <c r="I34" s="436">
        <f>'Matriz de Pesos e Notas'!R33</f>
        <v>0</v>
      </c>
      <c r="J34" s="435">
        <f>'Matriz de Pesos e Notas'!T33</f>
        <v>0</v>
      </c>
      <c r="K34" s="436">
        <f>'Matriz de Pesos e Notas'!U33</f>
        <v>0</v>
      </c>
      <c r="L34" s="435">
        <f>'Matriz de Pesos e Notas'!W33</f>
        <v>0</v>
      </c>
      <c r="M34" s="436">
        <f>'Matriz de Pesos e Notas'!X33</f>
        <v>0</v>
      </c>
      <c r="N34" s="435">
        <f>'Matriz de Pesos e Notas'!Z33</f>
        <v>0</v>
      </c>
      <c r="O34" s="436">
        <f>'Matriz de Pesos e Notas'!AA33</f>
        <v>0</v>
      </c>
      <c r="P34" s="435">
        <f>'Matriz de Pesos e Notas'!AC33</f>
        <v>0</v>
      </c>
      <c r="Q34" s="436">
        <f>'Matriz de Pesos e Notas'!AD33</f>
        <v>0</v>
      </c>
      <c r="R34" s="435">
        <f>'Matriz de Pesos e Notas'!AF33</f>
        <v>0</v>
      </c>
      <c r="S34" s="436">
        <f>'Matriz de Pesos e Notas'!AG33</f>
        <v>0</v>
      </c>
      <c r="T34" s="422" t="str">
        <f>'Matriz de Pesos e Notas'!AI33</f>
        <v>Não Imprime</v>
      </c>
      <c r="U34" s="429"/>
    </row>
    <row r="35" spans="1:21" ht="35.25" hidden="1" x14ac:dyDescent="0.45">
      <c r="A35" s="437"/>
      <c r="B35" s="435"/>
      <c r="C35" s="436"/>
      <c r="D35" s="435"/>
      <c r="E35" s="436"/>
      <c r="F35" s="435"/>
      <c r="G35" s="436"/>
      <c r="H35" s="435"/>
      <c r="I35" s="436"/>
      <c r="J35" s="435"/>
      <c r="K35" s="436"/>
      <c r="L35" s="435"/>
      <c r="M35" s="436"/>
      <c r="N35" s="435"/>
      <c r="O35" s="436"/>
      <c r="P35" s="435"/>
      <c r="Q35" s="436"/>
      <c r="R35" s="435"/>
      <c r="S35" s="436"/>
      <c r="T35" s="433"/>
      <c r="U35" s="429"/>
    </row>
    <row r="36" spans="1:21" ht="35.25" hidden="1" x14ac:dyDescent="0.45">
      <c r="A36" s="437" t="str">
        <f>'Matriz de Pesos e Notas'!A35</f>
        <v>Nome da Atividade 7 da Unidade 1</v>
      </c>
      <c r="B36" s="435">
        <f>'Matriz de Pesos e Notas'!G35</f>
        <v>0</v>
      </c>
      <c r="C36" s="436">
        <f>'Matriz de Pesos e Notas'!H35</f>
        <v>0</v>
      </c>
      <c r="D36" s="435">
        <f>'Matriz de Pesos e Notas'!K35</f>
        <v>0</v>
      </c>
      <c r="E36" s="436">
        <f>'Matriz de Pesos e Notas'!L35</f>
        <v>0</v>
      </c>
      <c r="F36" s="435">
        <f>'Matriz de Pesos e Notas'!N35</f>
        <v>0</v>
      </c>
      <c r="G36" s="436">
        <f>'Matriz de Pesos e Notas'!O35</f>
        <v>0</v>
      </c>
      <c r="H36" s="435">
        <f>'Matriz de Pesos e Notas'!Q35</f>
        <v>0</v>
      </c>
      <c r="I36" s="436">
        <f>'Matriz de Pesos e Notas'!R35</f>
        <v>0</v>
      </c>
      <c r="J36" s="435">
        <f>'Matriz de Pesos e Notas'!T35</f>
        <v>0</v>
      </c>
      <c r="K36" s="436">
        <f>'Matriz de Pesos e Notas'!U35</f>
        <v>0</v>
      </c>
      <c r="L36" s="435">
        <f>'Matriz de Pesos e Notas'!W35</f>
        <v>0</v>
      </c>
      <c r="M36" s="436">
        <f>'Matriz de Pesos e Notas'!X35</f>
        <v>0</v>
      </c>
      <c r="N36" s="435">
        <f>'Matriz de Pesos e Notas'!Z35</f>
        <v>0</v>
      </c>
      <c r="O36" s="436">
        <f>'Matriz de Pesos e Notas'!AA35</f>
        <v>0</v>
      </c>
      <c r="P36" s="435">
        <f>'Matriz de Pesos e Notas'!AC35</f>
        <v>0</v>
      </c>
      <c r="Q36" s="436">
        <f>'Matriz de Pesos e Notas'!AD35</f>
        <v>0</v>
      </c>
      <c r="R36" s="435">
        <f>'Matriz de Pesos e Notas'!AF35</f>
        <v>0</v>
      </c>
      <c r="S36" s="436">
        <f>'Matriz de Pesos e Notas'!AG35</f>
        <v>0</v>
      </c>
      <c r="T36" s="422" t="str">
        <f>'Matriz de Pesos e Notas'!AI35</f>
        <v>Não Imprime</v>
      </c>
      <c r="U36" s="429"/>
    </row>
    <row r="37" spans="1:21" ht="35.25" hidden="1" x14ac:dyDescent="0.45">
      <c r="A37" s="438"/>
      <c r="B37" s="439"/>
      <c r="C37" s="440"/>
      <c r="D37" s="439"/>
      <c r="E37" s="440"/>
      <c r="F37" s="439"/>
      <c r="G37" s="440"/>
      <c r="H37" s="439"/>
      <c r="I37" s="440"/>
      <c r="J37" s="439"/>
      <c r="K37" s="440"/>
      <c r="L37" s="439"/>
      <c r="M37" s="440"/>
      <c r="N37" s="439"/>
      <c r="O37" s="440"/>
      <c r="P37" s="439"/>
      <c r="Q37" s="440"/>
      <c r="R37" s="439"/>
      <c r="S37" s="440"/>
      <c r="T37" s="433"/>
      <c r="U37" s="429"/>
    </row>
    <row r="38" spans="1:21" ht="35.25" hidden="1" x14ac:dyDescent="0.45">
      <c r="A38" s="453" t="str">
        <f>'Matriz de Pesos e Notas'!A37</f>
        <v>Cartões</v>
      </c>
      <c r="B38" s="427"/>
      <c r="C38" s="428"/>
      <c r="D38" s="427"/>
      <c r="E38" s="428"/>
      <c r="F38" s="427"/>
      <c r="G38" s="428"/>
      <c r="H38" s="427"/>
      <c r="I38" s="428"/>
      <c r="J38" s="427"/>
      <c r="K38" s="428"/>
      <c r="L38" s="427"/>
      <c r="M38" s="428"/>
      <c r="N38" s="427"/>
      <c r="O38" s="428"/>
      <c r="P38" s="427"/>
      <c r="Q38" s="428"/>
      <c r="R38" s="427"/>
      <c r="S38" s="428"/>
      <c r="T38" s="422" t="str">
        <f>IF('Digitar aqui Notas e Pesos'!C41,"Imprime",IF('Digitar aqui Notas e Pesos'!C37,IF('Digitar aqui Notas e Pesos'!A37&lt;&gt;'Digitar aqui Notas e Pesos'!A39,"Imprime",""),""))</f>
        <v/>
      </c>
      <c r="U38" s="429"/>
    </row>
    <row r="39" spans="1:21" ht="35.25" hidden="1" x14ac:dyDescent="0.45">
      <c r="A39" s="430"/>
      <c r="B39" s="431"/>
      <c r="C39" s="432"/>
      <c r="D39" s="431"/>
      <c r="E39" s="432"/>
      <c r="F39" s="431"/>
      <c r="G39" s="432"/>
      <c r="H39" s="431"/>
      <c r="I39" s="432"/>
      <c r="J39" s="431"/>
      <c r="K39" s="432"/>
      <c r="L39" s="431"/>
      <c r="M39" s="432"/>
      <c r="N39" s="431"/>
      <c r="O39" s="432"/>
      <c r="P39" s="431"/>
      <c r="Q39" s="432"/>
      <c r="R39" s="431"/>
      <c r="S39" s="432"/>
      <c r="T39" s="433"/>
      <c r="U39" s="429"/>
    </row>
    <row r="40" spans="1:21" ht="42.75" customHeight="1" x14ac:dyDescent="0.45">
      <c r="A40" s="434" t="str">
        <f>'Matriz de Pesos e Notas'!A39</f>
        <v>Cartões</v>
      </c>
      <c r="B40" s="435">
        <f>'Matriz de Pesos e Notas'!G39</f>
        <v>2</v>
      </c>
      <c r="C40" s="436">
        <f>'Matriz de Pesos e Notas'!H39</f>
        <v>2</v>
      </c>
      <c r="D40" s="435">
        <f>'Matriz de Pesos e Notas'!K39</f>
        <v>0</v>
      </c>
      <c r="E40" s="436">
        <f>'Matriz de Pesos e Notas'!L39</f>
        <v>0</v>
      </c>
      <c r="F40" s="435">
        <f>'Matriz de Pesos e Notas'!N39</f>
        <v>0</v>
      </c>
      <c r="G40" s="436">
        <f>'Matriz de Pesos e Notas'!O39</f>
        <v>0</v>
      </c>
      <c r="H40" s="435">
        <f>'Matriz de Pesos e Notas'!Q39</f>
        <v>0</v>
      </c>
      <c r="I40" s="436">
        <f>'Matriz de Pesos e Notas'!R39</f>
        <v>0</v>
      </c>
      <c r="J40" s="435">
        <f>'Matriz de Pesos e Notas'!T39</f>
        <v>0</v>
      </c>
      <c r="K40" s="436">
        <f>'Matriz de Pesos e Notas'!U39</f>
        <v>0</v>
      </c>
      <c r="L40" s="435">
        <f>'Matriz de Pesos e Notas'!W39</f>
        <v>0</v>
      </c>
      <c r="M40" s="436">
        <f>'Matriz de Pesos e Notas'!X39</f>
        <v>0</v>
      </c>
      <c r="N40" s="435">
        <f>'Matriz de Pesos e Notas'!Z39</f>
        <v>0</v>
      </c>
      <c r="O40" s="436">
        <f>'Matriz de Pesos e Notas'!AA39</f>
        <v>0</v>
      </c>
      <c r="P40" s="435">
        <f>'Matriz de Pesos e Notas'!AC39</f>
        <v>0</v>
      </c>
      <c r="Q40" s="436">
        <f>'Matriz de Pesos e Notas'!AD39</f>
        <v>0</v>
      </c>
      <c r="R40" s="435">
        <f>'Matriz de Pesos e Notas'!AF39</f>
        <v>0</v>
      </c>
      <c r="S40" s="436">
        <f>'Matriz de Pesos e Notas'!AG39</f>
        <v>0</v>
      </c>
      <c r="T40" s="422" t="str">
        <f>'Matriz de Pesos e Notas'!AI39</f>
        <v>Imprime</v>
      </c>
      <c r="U40" s="429"/>
    </row>
    <row r="41" spans="1:21" ht="35.25" hidden="1" x14ac:dyDescent="0.45">
      <c r="A41" s="437"/>
      <c r="B41" s="435"/>
      <c r="C41" s="436"/>
      <c r="D41" s="435"/>
      <c r="E41" s="436"/>
      <c r="F41" s="435"/>
      <c r="G41" s="436"/>
      <c r="H41" s="435"/>
      <c r="I41" s="436"/>
      <c r="J41" s="435"/>
      <c r="K41" s="436"/>
      <c r="L41" s="435"/>
      <c r="M41" s="436"/>
      <c r="N41" s="435"/>
      <c r="O41" s="436"/>
      <c r="P41" s="435"/>
      <c r="Q41" s="436"/>
      <c r="R41" s="435"/>
      <c r="S41" s="436"/>
      <c r="T41" s="433"/>
      <c r="U41" s="429"/>
    </row>
    <row r="42" spans="1:21" ht="35.25" hidden="1" x14ac:dyDescent="0.45">
      <c r="A42" s="437" t="str">
        <f>'Matriz de Pesos e Notas'!A41</f>
        <v>Nome da Atividade 3 da Unidade 1</v>
      </c>
      <c r="B42" s="435">
        <f>'Matriz de Pesos e Notas'!G41</f>
        <v>0</v>
      </c>
      <c r="C42" s="436">
        <f>'Matriz de Pesos e Notas'!H41</f>
        <v>0</v>
      </c>
      <c r="D42" s="435">
        <f>'Matriz de Pesos e Notas'!K41</f>
        <v>0</v>
      </c>
      <c r="E42" s="436">
        <f>'Matriz de Pesos e Notas'!L41</f>
        <v>0</v>
      </c>
      <c r="F42" s="435">
        <f>'Matriz de Pesos e Notas'!N41</f>
        <v>0</v>
      </c>
      <c r="G42" s="436">
        <f>'Matriz de Pesos e Notas'!O41</f>
        <v>0</v>
      </c>
      <c r="H42" s="435">
        <f>'Matriz de Pesos e Notas'!Q41</f>
        <v>0</v>
      </c>
      <c r="I42" s="436">
        <f>'Matriz de Pesos e Notas'!R41</f>
        <v>0</v>
      </c>
      <c r="J42" s="435">
        <f>'Matriz de Pesos e Notas'!T41</f>
        <v>0</v>
      </c>
      <c r="K42" s="436">
        <f>'Matriz de Pesos e Notas'!U41</f>
        <v>0</v>
      </c>
      <c r="L42" s="435">
        <f>'Matriz de Pesos e Notas'!W41</f>
        <v>0</v>
      </c>
      <c r="M42" s="436">
        <f>'Matriz de Pesos e Notas'!X41</f>
        <v>0</v>
      </c>
      <c r="N42" s="435">
        <f>'Matriz de Pesos e Notas'!Z41</f>
        <v>0</v>
      </c>
      <c r="O42" s="436">
        <f>'Matriz de Pesos e Notas'!AA41</f>
        <v>0</v>
      </c>
      <c r="P42" s="435">
        <f>'Matriz de Pesos e Notas'!AC41</f>
        <v>0</v>
      </c>
      <c r="Q42" s="436">
        <f>'Matriz de Pesos e Notas'!AD41</f>
        <v>0</v>
      </c>
      <c r="R42" s="435">
        <f>'Matriz de Pesos e Notas'!AF41</f>
        <v>0</v>
      </c>
      <c r="S42" s="436">
        <f>'Matriz de Pesos e Notas'!AG41</f>
        <v>0</v>
      </c>
      <c r="T42" s="422" t="str">
        <f>'Matriz de Pesos e Notas'!AI41</f>
        <v>Não Imprime</v>
      </c>
      <c r="U42" s="429"/>
    </row>
    <row r="43" spans="1:21" ht="35.25" hidden="1" x14ac:dyDescent="0.45">
      <c r="A43" s="437"/>
      <c r="B43" s="435"/>
      <c r="C43" s="436"/>
      <c r="D43" s="435"/>
      <c r="E43" s="436"/>
      <c r="F43" s="435"/>
      <c r="G43" s="436"/>
      <c r="H43" s="435"/>
      <c r="I43" s="436"/>
      <c r="J43" s="435"/>
      <c r="K43" s="436"/>
      <c r="L43" s="435"/>
      <c r="M43" s="436"/>
      <c r="N43" s="435"/>
      <c r="O43" s="436"/>
      <c r="P43" s="435"/>
      <c r="Q43" s="436"/>
      <c r="R43" s="435"/>
      <c r="S43" s="436"/>
      <c r="T43" s="433"/>
      <c r="U43" s="429"/>
    </row>
    <row r="44" spans="1:21" ht="35.25" hidden="1" x14ac:dyDescent="0.45">
      <c r="A44" s="437" t="str">
        <f>'Matriz de Pesos e Notas'!A43</f>
        <v>Nome da Atividade 3 da Unidade 1</v>
      </c>
      <c r="B44" s="435">
        <f>'Matriz de Pesos e Notas'!G43</f>
        <v>0</v>
      </c>
      <c r="C44" s="436">
        <f>'Matriz de Pesos e Notas'!H43</f>
        <v>0</v>
      </c>
      <c r="D44" s="435">
        <f>'Matriz de Pesos e Notas'!K43</f>
        <v>0</v>
      </c>
      <c r="E44" s="436">
        <f>'Matriz de Pesos e Notas'!L43</f>
        <v>0</v>
      </c>
      <c r="F44" s="435">
        <f>'Matriz de Pesos e Notas'!N43</f>
        <v>0</v>
      </c>
      <c r="G44" s="436">
        <f>'Matriz de Pesos e Notas'!O43</f>
        <v>0</v>
      </c>
      <c r="H44" s="435">
        <f>'Matriz de Pesos e Notas'!Q43</f>
        <v>0</v>
      </c>
      <c r="I44" s="436">
        <f>'Matriz de Pesos e Notas'!R43</f>
        <v>0</v>
      </c>
      <c r="J44" s="435">
        <f>'Matriz de Pesos e Notas'!T43</f>
        <v>0</v>
      </c>
      <c r="K44" s="436">
        <f>'Matriz de Pesos e Notas'!U43</f>
        <v>0</v>
      </c>
      <c r="L44" s="435">
        <f>'Matriz de Pesos e Notas'!W43</f>
        <v>0</v>
      </c>
      <c r="M44" s="436">
        <f>'Matriz de Pesos e Notas'!X43</f>
        <v>0</v>
      </c>
      <c r="N44" s="435">
        <f>'Matriz de Pesos e Notas'!Z43</f>
        <v>0</v>
      </c>
      <c r="O44" s="436">
        <f>'Matriz de Pesos e Notas'!AA43</f>
        <v>0</v>
      </c>
      <c r="P44" s="435">
        <f>'Matriz de Pesos e Notas'!AC43</f>
        <v>0</v>
      </c>
      <c r="Q44" s="436">
        <f>'Matriz de Pesos e Notas'!AD43</f>
        <v>0</v>
      </c>
      <c r="R44" s="435">
        <f>'Matriz de Pesos e Notas'!AF43</f>
        <v>0</v>
      </c>
      <c r="S44" s="436">
        <f>'Matriz de Pesos e Notas'!AG43</f>
        <v>0</v>
      </c>
      <c r="T44" s="422" t="str">
        <f>'Matriz de Pesos e Notas'!AI43</f>
        <v>Não Imprime</v>
      </c>
      <c r="U44" s="429"/>
    </row>
    <row r="45" spans="1:21" ht="35.25" hidden="1" x14ac:dyDescent="0.45">
      <c r="A45" s="437"/>
      <c r="B45" s="435"/>
      <c r="C45" s="436"/>
      <c r="D45" s="435"/>
      <c r="E45" s="436"/>
      <c r="F45" s="435"/>
      <c r="G45" s="436"/>
      <c r="H45" s="435"/>
      <c r="I45" s="436"/>
      <c r="J45" s="435"/>
      <c r="K45" s="436"/>
      <c r="L45" s="435"/>
      <c r="M45" s="436"/>
      <c r="N45" s="435"/>
      <c r="O45" s="436"/>
      <c r="P45" s="435"/>
      <c r="Q45" s="436"/>
      <c r="R45" s="435"/>
      <c r="S45" s="436"/>
      <c r="T45" s="433"/>
      <c r="U45" s="429"/>
    </row>
    <row r="46" spans="1:21" ht="35.25" hidden="1" x14ac:dyDescent="0.45">
      <c r="A46" s="437" t="str">
        <f>'Matriz de Pesos e Notas'!A45</f>
        <v>Nome da Atividade 4 da Unidade 1</v>
      </c>
      <c r="B46" s="435">
        <f>'Matriz de Pesos e Notas'!G45</f>
        <v>0</v>
      </c>
      <c r="C46" s="436">
        <f>'Matriz de Pesos e Notas'!H45</f>
        <v>0</v>
      </c>
      <c r="D46" s="435">
        <f>'Matriz de Pesos e Notas'!K45</f>
        <v>0</v>
      </c>
      <c r="E46" s="436">
        <f>'Matriz de Pesos e Notas'!L45</f>
        <v>0</v>
      </c>
      <c r="F46" s="435">
        <f>'Matriz de Pesos e Notas'!N45</f>
        <v>0</v>
      </c>
      <c r="G46" s="436">
        <f>'Matriz de Pesos e Notas'!O45</f>
        <v>0</v>
      </c>
      <c r="H46" s="435">
        <f>'Matriz de Pesos e Notas'!Q45</f>
        <v>0</v>
      </c>
      <c r="I46" s="436">
        <f>'Matriz de Pesos e Notas'!R45</f>
        <v>0</v>
      </c>
      <c r="J46" s="435">
        <f>'Matriz de Pesos e Notas'!T45</f>
        <v>0</v>
      </c>
      <c r="K46" s="436">
        <f>'Matriz de Pesos e Notas'!U45</f>
        <v>0</v>
      </c>
      <c r="L46" s="435">
        <f>'Matriz de Pesos e Notas'!W45</f>
        <v>0</v>
      </c>
      <c r="M46" s="436">
        <f>'Matriz de Pesos e Notas'!X45</f>
        <v>0</v>
      </c>
      <c r="N46" s="435">
        <f>'Matriz de Pesos e Notas'!Z45</f>
        <v>0</v>
      </c>
      <c r="O46" s="436">
        <f>'Matriz de Pesos e Notas'!AA45</f>
        <v>0</v>
      </c>
      <c r="P46" s="435">
        <f>'Matriz de Pesos e Notas'!AC45</f>
        <v>0</v>
      </c>
      <c r="Q46" s="436">
        <f>'Matriz de Pesos e Notas'!AD45</f>
        <v>0</v>
      </c>
      <c r="R46" s="435">
        <f>'Matriz de Pesos e Notas'!AF45</f>
        <v>0</v>
      </c>
      <c r="S46" s="436">
        <f>'Matriz de Pesos e Notas'!AG45</f>
        <v>0</v>
      </c>
      <c r="T46" s="422" t="str">
        <f>'Matriz de Pesos e Notas'!AI45</f>
        <v>Não Imprime</v>
      </c>
      <c r="U46" s="429"/>
    </row>
    <row r="47" spans="1:21" ht="35.25" hidden="1" x14ac:dyDescent="0.45">
      <c r="A47" s="437"/>
      <c r="B47" s="435"/>
      <c r="C47" s="436"/>
      <c r="D47" s="435"/>
      <c r="E47" s="436"/>
      <c r="F47" s="435"/>
      <c r="G47" s="436"/>
      <c r="H47" s="435"/>
      <c r="I47" s="436"/>
      <c r="J47" s="435"/>
      <c r="K47" s="436"/>
      <c r="L47" s="435"/>
      <c r="M47" s="436"/>
      <c r="N47" s="435"/>
      <c r="O47" s="436"/>
      <c r="P47" s="435"/>
      <c r="Q47" s="436"/>
      <c r="R47" s="435"/>
      <c r="S47" s="436"/>
      <c r="T47" s="433"/>
      <c r="U47" s="429"/>
    </row>
    <row r="48" spans="1:21" ht="35.25" hidden="1" x14ac:dyDescent="0.45">
      <c r="A48" s="437" t="str">
        <f>'Matriz de Pesos e Notas'!A47</f>
        <v>Nome da Atividade 5 da Unidade 1</v>
      </c>
      <c r="B48" s="435">
        <f>'Matriz de Pesos e Notas'!G47</f>
        <v>0</v>
      </c>
      <c r="C48" s="436">
        <f>'Matriz de Pesos e Notas'!H47</f>
        <v>0</v>
      </c>
      <c r="D48" s="435">
        <f>'Matriz de Pesos e Notas'!K47</f>
        <v>0</v>
      </c>
      <c r="E48" s="436">
        <f>'Matriz de Pesos e Notas'!L47</f>
        <v>0</v>
      </c>
      <c r="F48" s="435">
        <f>'Matriz de Pesos e Notas'!N47</f>
        <v>0</v>
      </c>
      <c r="G48" s="436">
        <f>'Matriz de Pesos e Notas'!O47</f>
        <v>0</v>
      </c>
      <c r="H48" s="435">
        <f>'Matriz de Pesos e Notas'!Q47</f>
        <v>0</v>
      </c>
      <c r="I48" s="436">
        <f>'Matriz de Pesos e Notas'!R47</f>
        <v>0</v>
      </c>
      <c r="J48" s="435">
        <f>'Matriz de Pesos e Notas'!T47</f>
        <v>0</v>
      </c>
      <c r="K48" s="436">
        <f>'Matriz de Pesos e Notas'!U47</f>
        <v>0</v>
      </c>
      <c r="L48" s="435">
        <f>'Matriz de Pesos e Notas'!W47</f>
        <v>0</v>
      </c>
      <c r="M48" s="436">
        <f>'Matriz de Pesos e Notas'!X47</f>
        <v>0</v>
      </c>
      <c r="N48" s="435">
        <f>'Matriz de Pesos e Notas'!Z47</f>
        <v>0</v>
      </c>
      <c r="O48" s="436">
        <f>'Matriz de Pesos e Notas'!AA47</f>
        <v>0</v>
      </c>
      <c r="P48" s="435">
        <f>'Matriz de Pesos e Notas'!AC47</f>
        <v>0</v>
      </c>
      <c r="Q48" s="436">
        <f>'Matriz de Pesos e Notas'!AD47</f>
        <v>0</v>
      </c>
      <c r="R48" s="435">
        <f>'Matriz de Pesos e Notas'!AF47</f>
        <v>0</v>
      </c>
      <c r="S48" s="436">
        <f>'Matriz de Pesos e Notas'!AG47</f>
        <v>0</v>
      </c>
      <c r="T48" s="422" t="str">
        <f>'Matriz de Pesos e Notas'!AI47</f>
        <v>Não Imprime</v>
      </c>
      <c r="U48" s="429"/>
    </row>
    <row r="49" spans="1:21" ht="35.25" hidden="1" x14ac:dyDescent="0.45">
      <c r="A49" s="437"/>
      <c r="B49" s="435"/>
      <c r="C49" s="436"/>
      <c r="D49" s="435"/>
      <c r="E49" s="436"/>
      <c r="F49" s="435"/>
      <c r="G49" s="436"/>
      <c r="H49" s="435"/>
      <c r="I49" s="436"/>
      <c r="J49" s="435"/>
      <c r="K49" s="436"/>
      <c r="L49" s="435"/>
      <c r="M49" s="436"/>
      <c r="N49" s="435"/>
      <c r="O49" s="436"/>
      <c r="P49" s="435"/>
      <c r="Q49" s="436"/>
      <c r="R49" s="435"/>
      <c r="S49" s="436"/>
      <c r="T49" s="433"/>
      <c r="U49" s="429"/>
    </row>
    <row r="50" spans="1:21" ht="35.25" hidden="1" x14ac:dyDescent="0.45">
      <c r="A50" s="437" t="str">
        <f>'Matriz de Pesos e Notas'!A49</f>
        <v>Nome da Atividade 6 da Unidade 1</v>
      </c>
      <c r="B50" s="435">
        <f>'Matriz de Pesos e Notas'!G49</f>
        <v>0</v>
      </c>
      <c r="C50" s="436">
        <f>'Matriz de Pesos e Notas'!H49</f>
        <v>0</v>
      </c>
      <c r="D50" s="435">
        <f>'Matriz de Pesos e Notas'!K49</f>
        <v>0</v>
      </c>
      <c r="E50" s="436">
        <f>'Matriz de Pesos e Notas'!L49</f>
        <v>0</v>
      </c>
      <c r="F50" s="435">
        <f>'Matriz de Pesos e Notas'!N49</f>
        <v>0</v>
      </c>
      <c r="G50" s="436">
        <f>'Matriz de Pesos e Notas'!O49</f>
        <v>0</v>
      </c>
      <c r="H50" s="435">
        <f>'Matriz de Pesos e Notas'!Q49</f>
        <v>0</v>
      </c>
      <c r="I50" s="436">
        <f>'Matriz de Pesos e Notas'!R49</f>
        <v>0</v>
      </c>
      <c r="J50" s="435">
        <f>'Matriz de Pesos e Notas'!T49</f>
        <v>0</v>
      </c>
      <c r="K50" s="436">
        <f>'Matriz de Pesos e Notas'!U49</f>
        <v>0</v>
      </c>
      <c r="L50" s="435">
        <f>'Matriz de Pesos e Notas'!W49</f>
        <v>0</v>
      </c>
      <c r="M50" s="436">
        <f>'Matriz de Pesos e Notas'!X49</f>
        <v>0</v>
      </c>
      <c r="N50" s="435">
        <f>'Matriz de Pesos e Notas'!Z49</f>
        <v>0</v>
      </c>
      <c r="O50" s="436">
        <f>'Matriz de Pesos e Notas'!AA49</f>
        <v>0</v>
      </c>
      <c r="P50" s="435">
        <f>'Matriz de Pesos e Notas'!AC49</f>
        <v>0</v>
      </c>
      <c r="Q50" s="436">
        <f>'Matriz de Pesos e Notas'!AD49</f>
        <v>0</v>
      </c>
      <c r="R50" s="435">
        <f>'Matriz de Pesos e Notas'!AF49</f>
        <v>0</v>
      </c>
      <c r="S50" s="436">
        <f>'Matriz de Pesos e Notas'!AG49</f>
        <v>0</v>
      </c>
      <c r="T50" s="422" t="str">
        <f>'Matriz de Pesos e Notas'!AI49</f>
        <v>Não Imprime</v>
      </c>
      <c r="U50" s="429"/>
    </row>
    <row r="51" spans="1:21" ht="35.25" hidden="1" x14ac:dyDescent="0.45">
      <c r="A51" s="437"/>
      <c r="B51" s="435"/>
      <c r="C51" s="436"/>
      <c r="D51" s="435"/>
      <c r="E51" s="436"/>
      <c r="F51" s="435"/>
      <c r="G51" s="436"/>
      <c r="H51" s="435"/>
      <c r="I51" s="436"/>
      <c r="J51" s="435"/>
      <c r="K51" s="436"/>
      <c r="L51" s="435"/>
      <c r="M51" s="436"/>
      <c r="N51" s="435"/>
      <c r="O51" s="436"/>
      <c r="P51" s="435"/>
      <c r="Q51" s="436"/>
      <c r="R51" s="435"/>
      <c r="S51" s="436"/>
      <c r="T51" s="433"/>
      <c r="U51" s="429"/>
    </row>
    <row r="52" spans="1:21" ht="35.25" hidden="1" x14ac:dyDescent="0.45">
      <c r="A52" s="437" t="str">
        <f>'Matriz de Pesos e Notas'!A51</f>
        <v>Nome da Atividade 7 da Unidade 1</v>
      </c>
      <c r="B52" s="435">
        <f>'Matriz de Pesos e Notas'!G51</f>
        <v>0</v>
      </c>
      <c r="C52" s="436">
        <f>'Matriz de Pesos e Notas'!H51</f>
        <v>0</v>
      </c>
      <c r="D52" s="435">
        <f>'Matriz de Pesos e Notas'!K51</f>
        <v>0</v>
      </c>
      <c r="E52" s="436">
        <f>'Matriz de Pesos e Notas'!L51</f>
        <v>0</v>
      </c>
      <c r="F52" s="435">
        <f>'Matriz de Pesos e Notas'!N51</f>
        <v>0</v>
      </c>
      <c r="G52" s="436">
        <f>'Matriz de Pesos e Notas'!O51</f>
        <v>0</v>
      </c>
      <c r="H52" s="435">
        <f>'Matriz de Pesos e Notas'!Q51</f>
        <v>0</v>
      </c>
      <c r="I52" s="436">
        <f>'Matriz de Pesos e Notas'!R51</f>
        <v>0</v>
      </c>
      <c r="J52" s="435">
        <f>'Matriz de Pesos e Notas'!T51</f>
        <v>0</v>
      </c>
      <c r="K52" s="436">
        <f>'Matriz de Pesos e Notas'!U51</f>
        <v>0</v>
      </c>
      <c r="L52" s="435">
        <f>'Matriz de Pesos e Notas'!W51</f>
        <v>0</v>
      </c>
      <c r="M52" s="436">
        <f>'Matriz de Pesos e Notas'!X51</f>
        <v>0</v>
      </c>
      <c r="N52" s="435">
        <f>'Matriz de Pesos e Notas'!Z51</f>
        <v>0</v>
      </c>
      <c r="O52" s="436">
        <f>'Matriz de Pesos e Notas'!AA51</f>
        <v>0</v>
      </c>
      <c r="P52" s="435">
        <f>'Matriz de Pesos e Notas'!AC51</f>
        <v>0</v>
      </c>
      <c r="Q52" s="436">
        <f>'Matriz de Pesos e Notas'!AD51</f>
        <v>0</v>
      </c>
      <c r="R52" s="435">
        <f>'Matriz de Pesos e Notas'!AF51</f>
        <v>0</v>
      </c>
      <c r="S52" s="436">
        <f>'Matriz de Pesos e Notas'!AG51</f>
        <v>0</v>
      </c>
      <c r="T52" s="422" t="str">
        <f>'Matriz de Pesos e Notas'!AI51</f>
        <v>Não Imprime</v>
      </c>
      <c r="U52" s="429"/>
    </row>
    <row r="53" spans="1:21" ht="35.25" hidden="1" x14ac:dyDescent="0.45">
      <c r="A53" s="438"/>
      <c r="B53" s="439"/>
      <c r="C53" s="440"/>
      <c r="D53" s="439"/>
      <c r="E53" s="440"/>
      <c r="F53" s="439"/>
      <c r="G53" s="440"/>
      <c r="H53" s="439"/>
      <c r="I53" s="440"/>
      <c r="J53" s="439"/>
      <c r="K53" s="440"/>
      <c r="L53" s="439"/>
      <c r="M53" s="440"/>
      <c r="N53" s="439"/>
      <c r="O53" s="440"/>
      <c r="P53" s="439"/>
      <c r="Q53" s="440"/>
      <c r="R53" s="439"/>
      <c r="S53" s="440"/>
      <c r="T53" s="433"/>
      <c r="U53" s="429"/>
    </row>
    <row r="54" spans="1:21" ht="35.25" hidden="1" x14ac:dyDescent="0.45">
      <c r="A54" s="453" t="str">
        <f>'Matriz de Pesos e Notas'!A53</f>
        <v>Bradesco Financiamentos</v>
      </c>
      <c r="B54" s="427"/>
      <c r="C54" s="428"/>
      <c r="D54" s="427"/>
      <c r="E54" s="428"/>
      <c r="F54" s="427"/>
      <c r="G54" s="428"/>
      <c r="H54" s="427"/>
      <c r="I54" s="428"/>
      <c r="J54" s="427"/>
      <c r="K54" s="428"/>
      <c r="L54" s="427"/>
      <c r="M54" s="428"/>
      <c r="N54" s="427"/>
      <c r="O54" s="428"/>
      <c r="P54" s="427"/>
      <c r="Q54" s="428"/>
      <c r="R54" s="427"/>
      <c r="S54" s="428"/>
      <c r="T54" s="422" t="str">
        <f>IF('Digitar aqui Notas e Pesos'!C57,"Imprime",IF('Digitar aqui Notas e Pesos'!C53,IF('Digitar aqui Notas e Pesos'!A53&lt;&gt;'Digitar aqui Notas e Pesos'!A55,"Imprime",""),""))</f>
        <v/>
      </c>
      <c r="U54" s="429"/>
    </row>
    <row r="55" spans="1:21" ht="35.25" hidden="1" x14ac:dyDescent="0.45">
      <c r="A55" s="430"/>
      <c r="B55" s="431"/>
      <c r="C55" s="432"/>
      <c r="D55" s="431"/>
      <c r="E55" s="432"/>
      <c r="F55" s="431"/>
      <c r="G55" s="432"/>
      <c r="H55" s="431"/>
      <c r="I55" s="432"/>
      <c r="J55" s="431"/>
      <c r="K55" s="432"/>
      <c r="L55" s="431"/>
      <c r="M55" s="432"/>
      <c r="N55" s="431"/>
      <c r="O55" s="432"/>
      <c r="P55" s="431"/>
      <c r="Q55" s="432"/>
      <c r="R55" s="431"/>
      <c r="S55" s="432"/>
      <c r="T55" s="433"/>
      <c r="U55" s="429"/>
    </row>
    <row r="56" spans="1:21" ht="35.25" x14ac:dyDescent="0.45">
      <c r="A56" s="434" t="str">
        <f>'Matriz de Pesos e Notas'!A55</f>
        <v>Bradesco Financiamentos</v>
      </c>
      <c r="B56" s="435">
        <f>'Matriz de Pesos e Notas'!G55</f>
        <v>2</v>
      </c>
      <c r="C56" s="436">
        <f>'Matriz de Pesos e Notas'!H55</f>
        <v>2</v>
      </c>
      <c r="D56" s="435">
        <f>'Matriz de Pesos e Notas'!K55</f>
        <v>0</v>
      </c>
      <c r="E56" s="436">
        <f>'Matriz de Pesos e Notas'!L55</f>
        <v>0</v>
      </c>
      <c r="F56" s="435">
        <f>'Matriz de Pesos e Notas'!N55</f>
        <v>0</v>
      </c>
      <c r="G56" s="436">
        <f>'Matriz de Pesos e Notas'!O55</f>
        <v>0</v>
      </c>
      <c r="H56" s="435">
        <f>'Matriz de Pesos e Notas'!Q55</f>
        <v>0</v>
      </c>
      <c r="I56" s="436">
        <f>'Matriz de Pesos e Notas'!R55</f>
        <v>0</v>
      </c>
      <c r="J56" s="435">
        <f>'Matriz de Pesos e Notas'!T55</f>
        <v>0</v>
      </c>
      <c r="K56" s="436">
        <f>'Matriz de Pesos e Notas'!U55</f>
        <v>0</v>
      </c>
      <c r="L56" s="435">
        <f>'Matriz de Pesos e Notas'!W55</f>
        <v>0</v>
      </c>
      <c r="M56" s="436">
        <f>'Matriz de Pesos e Notas'!X55</f>
        <v>0</v>
      </c>
      <c r="N56" s="435">
        <f>'Matriz de Pesos e Notas'!Z55</f>
        <v>0</v>
      </c>
      <c r="O56" s="436">
        <f>'Matriz de Pesos e Notas'!AA55</f>
        <v>0</v>
      </c>
      <c r="P56" s="435">
        <f>'Matriz de Pesos e Notas'!AC55</f>
        <v>0</v>
      </c>
      <c r="Q56" s="436">
        <f>'Matriz de Pesos e Notas'!AD55</f>
        <v>0</v>
      </c>
      <c r="R56" s="435">
        <f>'Matriz de Pesos e Notas'!AF55</f>
        <v>0</v>
      </c>
      <c r="S56" s="436">
        <f>'Matriz de Pesos e Notas'!AG55</f>
        <v>0</v>
      </c>
      <c r="T56" s="422" t="str">
        <f>'Matriz de Pesos e Notas'!AI55</f>
        <v>Imprime</v>
      </c>
      <c r="U56" s="429"/>
    </row>
    <row r="57" spans="1:21" ht="35.25" hidden="1" x14ac:dyDescent="0.45">
      <c r="A57" s="437"/>
      <c r="B57" s="435"/>
      <c r="C57" s="436"/>
      <c r="D57" s="435"/>
      <c r="E57" s="436"/>
      <c r="F57" s="435"/>
      <c r="G57" s="436"/>
      <c r="H57" s="435"/>
      <c r="I57" s="436"/>
      <c r="J57" s="435"/>
      <c r="K57" s="436"/>
      <c r="L57" s="435"/>
      <c r="M57" s="436"/>
      <c r="N57" s="435"/>
      <c r="O57" s="436"/>
      <c r="P57" s="435"/>
      <c r="Q57" s="436"/>
      <c r="R57" s="435"/>
      <c r="S57" s="436"/>
      <c r="T57" s="433"/>
      <c r="U57" s="429"/>
    </row>
    <row r="58" spans="1:21" ht="35.25" hidden="1" x14ac:dyDescent="0.45">
      <c r="A58" s="437" t="str">
        <f>'Matriz de Pesos e Notas'!A57</f>
        <v>Nome da Atividade 3 da Unidade 3</v>
      </c>
      <c r="B58" s="435">
        <f>'Matriz de Pesos e Notas'!G57</f>
        <v>0</v>
      </c>
      <c r="C58" s="436">
        <f>'Matriz de Pesos e Notas'!H57</f>
        <v>0</v>
      </c>
      <c r="D58" s="435">
        <f>'Matriz de Pesos e Notas'!K57</f>
        <v>0</v>
      </c>
      <c r="E58" s="436">
        <f>'Matriz de Pesos e Notas'!L57</f>
        <v>0</v>
      </c>
      <c r="F58" s="435">
        <f>'Matriz de Pesos e Notas'!N57</f>
        <v>0</v>
      </c>
      <c r="G58" s="436">
        <f>'Matriz de Pesos e Notas'!O57</f>
        <v>0</v>
      </c>
      <c r="H58" s="435">
        <f>'Matriz de Pesos e Notas'!Q57</f>
        <v>0</v>
      </c>
      <c r="I58" s="436">
        <f>'Matriz de Pesos e Notas'!R57</f>
        <v>0</v>
      </c>
      <c r="J58" s="435">
        <f>'Matriz de Pesos e Notas'!T57</f>
        <v>0</v>
      </c>
      <c r="K58" s="436">
        <f>'Matriz de Pesos e Notas'!U57</f>
        <v>0</v>
      </c>
      <c r="L58" s="435">
        <f>'Matriz de Pesos e Notas'!W57</f>
        <v>0</v>
      </c>
      <c r="M58" s="436">
        <f>'Matriz de Pesos e Notas'!X57</f>
        <v>0</v>
      </c>
      <c r="N58" s="435">
        <f>'Matriz de Pesos e Notas'!Z57</f>
        <v>0</v>
      </c>
      <c r="O58" s="436">
        <f>'Matriz de Pesos e Notas'!AA57</f>
        <v>0</v>
      </c>
      <c r="P58" s="435">
        <f>'Matriz de Pesos e Notas'!AC57</f>
        <v>0</v>
      </c>
      <c r="Q58" s="436">
        <f>'Matriz de Pesos e Notas'!AD57</f>
        <v>0</v>
      </c>
      <c r="R58" s="435">
        <f>'Matriz de Pesos e Notas'!AF57</f>
        <v>0</v>
      </c>
      <c r="S58" s="436">
        <f>'Matriz de Pesos e Notas'!AG57</f>
        <v>0</v>
      </c>
      <c r="T58" s="422" t="str">
        <f>'Matriz de Pesos e Notas'!AI57</f>
        <v>Não Imprime</v>
      </c>
      <c r="U58" s="429"/>
    </row>
    <row r="59" spans="1:21" ht="35.25" hidden="1" x14ac:dyDescent="0.45">
      <c r="A59" s="437"/>
      <c r="B59" s="435"/>
      <c r="C59" s="436"/>
      <c r="D59" s="435"/>
      <c r="E59" s="436"/>
      <c r="F59" s="435"/>
      <c r="G59" s="436"/>
      <c r="H59" s="435"/>
      <c r="I59" s="436"/>
      <c r="J59" s="435"/>
      <c r="K59" s="436"/>
      <c r="L59" s="435"/>
      <c r="M59" s="436"/>
      <c r="N59" s="435"/>
      <c r="O59" s="436"/>
      <c r="P59" s="435"/>
      <c r="Q59" s="436"/>
      <c r="R59" s="435"/>
      <c r="S59" s="436"/>
      <c r="T59" s="433"/>
      <c r="U59" s="429"/>
    </row>
    <row r="60" spans="1:21" ht="35.25" hidden="1" x14ac:dyDescent="0.45">
      <c r="A60" s="437" t="str">
        <f>'Matriz de Pesos e Notas'!A59</f>
        <v>Nome da Atividade 3 da Unidade 3</v>
      </c>
      <c r="B60" s="435">
        <f>'Matriz de Pesos e Notas'!G59</f>
        <v>0</v>
      </c>
      <c r="C60" s="436">
        <f>'Matriz de Pesos e Notas'!H59</f>
        <v>0</v>
      </c>
      <c r="D60" s="435">
        <f>'Matriz de Pesos e Notas'!K59</f>
        <v>0</v>
      </c>
      <c r="E60" s="436">
        <f>'Matriz de Pesos e Notas'!L59</f>
        <v>0</v>
      </c>
      <c r="F60" s="435">
        <f>'Matriz de Pesos e Notas'!N59</f>
        <v>0</v>
      </c>
      <c r="G60" s="436">
        <f>'Matriz de Pesos e Notas'!O59</f>
        <v>0</v>
      </c>
      <c r="H60" s="435">
        <f>'Matriz de Pesos e Notas'!Q59</f>
        <v>0</v>
      </c>
      <c r="I60" s="436">
        <f>'Matriz de Pesos e Notas'!R59</f>
        <v>0</v>
      </c>
      <c r="J60" s="435">
        <f>'Matriz de Pesos e Notas'!T59</f>
        <v>0</v>
      </c>
      <c r="K60" s="436">
        <f>'Matriz de Pesos e Notas'!U59</f>
        <v>0</v>
      </c>
      <c r="L60" s="435">
        <f>'Matriz de Pesos e Notas'!W59</f>
        <v>0</v>
      </c>
      <c r="M60" s="436">
        <f>'Matriz de Pesos e Notas'!X59</f>
        <v>0</v>
      </c>
      <c r="N60" s="435">
        <f>'Matriz de Pesos e Notas'!Z59</f>
        <v>0</v>
      </c>
      <c r="O60" s="436">
        <f>'Matriz de Pesos e Notas'!AA59</f>
        <v>0</v>
      </c>
      <c r="P60" s="435">
        <f>'Matriz de Pesos e Notas'!AC59</f>
        <v>0</v>
      </c>
      <c r="Q60" s="436">
        <f>'Matriz de Pesos e Notas'!AD59</f>
        <v>0</v>
      </c>
      <c r="R60" s="435">
        <f>'Matriz de Pesos e Notas'!AF59</f>
        <v>0</v>
      </c>
      <c r="S60" s="436">
        <f>'Matriz de Pesos e Notas'!AG59</f>
        <v>0</v>
      </c>
      <c r="T60" s="422" t="str">
        <f>'Matriz de Pesos e Notas'!AI59</f>
        <v>Não Imprime</v>
      </c>
      <c r="U60" s="429"/>
    </row>
    <row r="61" spans="1:21" ht="35.25" hidden="1" x14ac:dyDescent="0.45">
      <c r="A61" s="437"/>
      <c r="B61" s="435"/>
      <c r="C61" s="436"/>
      <c r="D61" s="435"/>
      <c r="E61" s="436"/>
      <c r="F61" s="435"/>
      <c r="G61" s="436"/>
      <c r="H61" s="435"/>
      <c r="I61" s="436"/>
      <c r="J61" s="435"/>
      <c r="K61" s="436"/>
      <c r="L61" s="435"/>
      <c r="M61" s="436"/>
      <c r="N61" s="435"/>
      <c r="O61" s="436"/>
      <c r="P61" s="435"/>
      <c r="Q61" s="436"/>
      <c r="R61" s="435"/>
      <c r="S61" s="436"/>
      <c r="T61" s="433"/>
      <c r="U61" s="429"/>
    </row>
    <row r="62" spans="1:21" ht="35.25" hidden="1" x14ac:dyDescent="0.45">
      <c r="A62" s="437" t="str">
        <f>'Matriz de Pesos e Notas'!A61</f>
        <v>Nome da Atividade 4 da Unidade 3</v>
      </c>
      <c r="B62" s="435">
        <f>'Matriz de Pesos e Notas'!G61</f>
        <v>0</v>
      </c>
      <c r="C62" s="436">
        <f>'Matriz de Pesos e Notas'!H61</f>
        <v>0</v>
      </c>
      <c r="D62" s="435">
        <f>'Matriz de Pesos e Notas'!K61</f>
        <v>0</v>
      </c>
      <c r="E62" s="436">
        <f>'Matriz de Pesos e Notas'!L61</f>
        <v>0</v>
      </c>
      <c r="F62" s="435">
        <f>'Matriz de Pesos e Notas'!N61</f>
        <v>0</v>
      </c>
      <c r="G62" s="436">
        <f>'Matriz de Pesos e Notas'!O61</f>
        <v>0</v>
      </c>
      <c r="H62" s="435">
        <f>'Matriz de Pesos e Notas'!Q61</f>
        <v>0</v>
      </c>
      <c r="I62" s="436">
        <f>'Matriz de Pesos e Notas'!R61</f>
        <v>0</v>
      </c>
      <c r="J62" s="435">
        <f>'Matriz de Pesos e Notas'!T61</f>
        <v>0</v>
      </c>
      <c r="K62" s="436">
        <f>'Matriz de Pesos e Notas'!U61</f>
        <v>0</v>
      </c>
      <c r="L62" s="435">
        <f>'Matriz de Pesos e Notas'!W61</f>
        <v>0</v>
      </c>
      <c r="M62" s="436">
        <f>'Matriz de Pesos e Notas'!X61</f>
        <v>0</v>
      </c>
      <c r="N62" s="435">
        <f>'Matriz de Pesos e Notas'!Z61</f>
        <v>0</v>
      </c>
      <c r="O62" s="436">
        <f>'Matriz de Pesos e Notas'!AA61</f>
        <v>0</v>
      </c>
      <c r="P62" s="435">
        <f>'Matriz de Pesos e Notas'!AC61</f>
        <v>0</v>
      </c>
      <c r="Q62" s="436">
        <f>'Matriz de Pesos e Notas'!AD61</f>
        <v>0</v>
      </c>
      <c r="R62" s="435">
        <f>'Matriz de Pesos e Notas'!AF61</f>
        <v>0</v>
      </c>
      <c r="S62" s="436">
        <f>'Matriz de Pesos e Notas'!AG61</f>
        <v>0</v>
      </c>
      <c r="T62" s="422" t="str">
        <f>'Matriz de Pesos e Notas'!AI61</f>
        <v>Não Imprime</v>
      </c>
      <c r="U62" s="429"/>
    </row>
    <row r="63" spans="1:21" ht="35.25" hidden="1" x14ac:dyDescent="0.45">
      <c r="A63" s="437"/>
      <c r="B63" s="435"/>
      <c r="C63" s="436"/>
      <c r="D63" s="435"/>
      <c r="E63" s="436"/>
      <c r="F63" s="435"/>
      <c r="G63" s="436"/>
      <c r="H63" s="435"/>
      <c r="I63" s="436"/>
      <c r="J63" s="435"/>
      <c r="K63" s="436"/>
      <c r="L63" s="435"/>
      <c r="M63" s="436"/>
      <c r="N63" s="435"/>
      <c r="O63" s="436"/>
      <c r="P63" s="435"/>
      <c r="Q63" s="436"/>
      <c r="R63" s="435"/>
      <c r="S63" s="436"/>
      <c r="T63" s="433"/>
      <c r="U63" s="429"/>
    </row>
    <row r="64" spans="1:21" ht="35.25" hidden="1" x14ac:dyDescent="0.45">
      <c r="A64" s="437" t="str">
        <f>'Matriz de Pesos e Notas'!A63</f>
        <v>Nome da Atividade 5 da Unidade 3</v>
      </c>
      <c r="B64" s="435">
        <f>'Matriz de Pesos e Notas'!G63</f>
        <v>0</v>
      </c>
      <c r="C64" s="436">
        <f>'Matriz de Pesos e Notas'!H63</f>
        <v>0</v>
      </c>
      <c r="D64" s="435">
        <f>'Matriz de Pesos e Notas'!K63</f>
        <v>0</v>
      </c>
      <c r="E64" s="436">
        <f>'Matriz de Pesos e Notas'!L63</f>
        <v>0</v>
      </c>
      <c r="F64" s="435">
        <f>'Matriz de Pesos e Notas'!N63</f>
        <v>0</v>
      </c>
      <c r="G64" s="436">
        <f>'Matriz de Pesos e Notas'!O63</f>
        <v>0</v>
      </c>
      <c r="H64" s="435">
        <f>'Matriz de Pesos e Notas'!Q63</f>
        <v>0</v>
      </c>
      <c r="I64" s="436">
        <f>'Matriz de Pesos e Notas'!R63</f>
        <v>0</v>
      </c>
      <c r="J64" s="435">
        <f>'Matriz de Pesos e Notas'!T63</f>
        <v>0</v>
      </c>
      <c r="K64" s="436">
        <f>'Matriz de Pesos e Notas'!U63</f>
        <v>0</v>
      </c>
      <c r="L64" s="435">
        <f>'Matriz de Pesos e Notas'!W63</f>
        <v>0</v>
      </c>
      <c r="M64" s="436">
        <f>'Matriz de Pesos e Notas'!X63</f>
        <v>0</v>
      </c>
      <c r="N64" s="435">
        <f>'Matriz de Pesos e Notas'!Z63</f>
        <v>0</v>
      </c>
      <c r="O64" s="436">
        <f>'Matriz de Pesos e Notas'!AA63</f>
        <v>0</v>
      </c>
      <c r="P64" s="435">
        <f>'Matriz de Pesos e Notas'!AC63</f>
        <v>0</v>
      </c>
      <c r="Q64" s="436">
        <f>'Matriz de Pesos e Notas'!AD63</f>
        <v>0</v>
      </c>
      <c r="R64" s="435">
        <f>'Matriz de Pesos e Notas'!AF63</f>
        <v>0</v>
      </c>
      <c r="S64" s="436">
        <f>'Matriz de Pesos e Notas'!AG63</f>
        <v>0</v>
      </c>
      <c r="T64" s="422" t="str">
        <f>'Matriz de Pesos e Notas'!AI63</f>
        <v>Não Imprime</v>
      </c>
      <c r="U64" s="429"/>
    </row>
    <row r="65" spans="1:21" ht="35.25" hidden="1" x14ac:dyDescent="0.45">
      <c r="A65" s="437"/>
      <c r="B65" s="435"/>
      <c r="C65" s="436"/>
      <c r="D65" s="435"/>
      <c r="E65" s="436"/>
      <c r="F65" s="435"/>
      <c r="G65" s="436"/>
      <c r="H65" s="435"/>
      <c r="I65" s="436"/>
      <c r="J65" s="435"/>
      <c r="K65" s="436"/>
      <c r="L65" s="435"/>
      <c r="M65" s="436"/>
      <c r="N65" s="435"/>
      <c r="O65" s="436"/>
      <c r="P65" s="435"/>
      <c r="Q65" s="436"/>
      <c r="R65" s="435"/>
      <c r="S65" s="436"/>
      <c r="T65" s="433"/>
      <c r="U65" s="429"/>
    </row>
    <row r="66" spans="1:21" ht="35.25" hidden="1" x14ac:dyDescent="0.45">
      <c r="A66" s="437" t="str">
        <f>'Matriz de Pesos e Notas'!A65</f>
        <v>Nome da Atividade 6 da Unidade 3</v>
      </c>
      <c r="B66" s="435">
        <f>'Matriz de Pesos e Notas'!G65</f>
        <v>0</v>
      </c>
      <c r="C66" s="436">
        <f>'Matriz de Pesos e Notas'!H65</f>
        <v>0</v>
      </c>
      <c r="D66" s="435">
        <f>'Matriz de Pesos e Notas'!K65</f>
        <v>0</v>
      </c>
      <c r="E66" s="436">
        <f>'Matriz de Pesos e Notas'!L65</f>
        <v>0</v>
      </c>
      <c r="F66" s="435">
        <f>'Matriz de Pesos e Notas'!N65</f>
        <v>0</v>
      </c>
      <c r="G66" s="436">
        <f>'Matriz de Pesos e Notas'!O65</f>
        <v>0</v>
      </c>
      <c r="H66" s="435">
        <f>'Matriz de Pesos e Notas'!Q65</f>
        <v>0</v>
      </c>
      <c r="I66" s="436">
        <f>'Matriz de Pesos e Notas'!R65</f>
        <v>0</v>
      </c>
      <c r="J66" s="435">
        <f>'Matriz de Pesos e Notas'!T65</f>
        <v>0</v>
      </c>
      <c r="K66" s="436">
        <f>'Matriz de Pesos e Notas'!U65</f>
        <v>0</v>
      </c>
      <c r="L66" s="435">
        <f>'Matriz de Pesos e Notas'!W65</f>
        <v>0</v>
      </c>
      <c r="M66" s="436">
        <f>'Matriz de Pesos e Notas'!X65</f>
        <v>0</v>
      </c>
      <c r="N66" s="435">
        <f>'Matriz de Pesos e Notas'!Z65</f>
        <v>0</v>
      </c>
      <c r="O66" s="436">
        <f>'Matriz de Pesos e Notas'!AA65</f>
        <v>0</v>
      </c>
      <c r="P66" s="435">
        <f>'Matriz de Pesos e Notas'!AC65</f>
        <v>0</v>
      </c>
      <c r="Q66" s="436">
        <f>'Matriz de Pesos e Notas'!AD65</f>
        <v>0</v>
      </c>
      <c r="R66" s="435">
        <f>'Matriz de Pesos e Notas'!AF65</f>
        <v>0</v>
      </c>
      <c r="S66" s="436">
        <f>'Matriz de Pesos e Notas'!AG65</f>
        <v>0</v>
      </c>
      <c r="T66" s="422" t="str">
        <f>'Matriz de Pesos e Notas'!AI65</f>
        <v>Não Imprime</v>
      </c>
      <c r="U66" s="429"/>
    </row>
    <row r="67" spans="1:21" ht="35.25" hidden="1" x14ac:dyDescent="0.45">
      <c r="A67" s="437"/>
      <c r="B67" s="435"/>
      <c r="C67" s="436"/>
      <c r="D67" s="435"/>
      <c r="E67" s="436"/>
      <c r="F67" s="435"/>
      <c r="G67" s="436"/>
      <c r="H67" s="435"/>
      <c r="I67" s="436"/>
      <c r="J67" s="435"/>
      <c r="K67" s="436"/>
      <c r="L67" s="435"/>
      <c r="M67" s="436"/>
      <c r="N67" s="435"/>
      <c r="O67" s="436"/>
      <c r="P67" s="435"/>
      <c r="Q67" s="436"/>
      <c r="R67" s="435"/>
      <c r="S67" s="436"/>
      <c r="T67" s="433"/>
      <c r="U67" s="429"/>
    </row>
    <row r="68" spans="1:21" ht="35.25" hidden="1" x14ac:dyDescent="0.45">
      <c r="A68" s="437" t="str">
        <f>'Matriz de Pesos e Notas'!A67</f>
        <v>Nome da Atividade 7 da Unidade 3</v>
      </c>
      <c r="B68" s="435">
        <f>'Matriz de Pesos e Notas'!G67</f>
        <v>0</v>
      </c>
      <c r="C68" s="436">
        <f>'Matriz de Pesos e Notas'!H67</f>
        <v>0</v>
      </c>
      <c r="D68" s="435">
        <f>'Matriz de Pesos e Notas'!K67</f>
        <v>0</v>
      </c>
      <c r="E68" s="436">
        <f>'Matriz de Pesos e Notas'!L67</f>
        <v>0</v>
      </c>
      <c r="F68" s="435">
        <f>'Matriz de Pesos e Notas'!N67</f>
        <v>0</v>
      </c>
      <c r="G68" s="436">
        <f>'Matriz de Pesos e Notas'!O67</f>
        <v>0</v>
      </c>
      <c r="H68" s="435">
        <f>'Matriz de Pesos e Notas'!Q67</f>
        <v>0</v>
      </c>
      <c r="I68" s="436">
        <f>'Matriz de Pesos e Notas'!R67</f>
        <v>0</v>
      </c>
      <c r="J68" s="435">
        <f>'Matriz de Pesos e Notas'!T67</f>
        <v>0</v>
      </c>
      <c r="K68" s="436">
        <f>'Matriz de Pesos e Notas'!U67</f>
        <v>0</v>
      </c>
      <c r="L68" s="435">
        <f>'Matriz de Pesos e Notas'!W67</f>
        <v>0</v>
      </c>
      <c r="M68" s="436">
        <f>'Matriz de Pesos e Notas'!X67</f>
        <v>0</v>
      </c>
      <c r="N68" s="435">
        <f>'Matriz de Pesos e Notas'!Z67</f>
        <v>0</v>
      </c>
      <c r="O68" s="436">
        <f>'Matriz de Pesos e Notas'!AA67</f>
        <v>0</v>
      </c>
      <c r="P68" s="435">
        <f>'Matriz de Pesos e Notas'!AC67</f>
        <v>0</v>
      </c>
      <c r="Q68" s="436">
        <f>'Matriz de Pesos e Notas'!AD67</f>
        <v>0</v>
      </c>
      <c r="R68" s="435">
        <f>'Matriz de Pesos e Notas'!AF67</f>
        <v>0</v>
      </c>
      <c r="S68" s="436">
        <f>'Matriz de Pesos e Notas'!AG67</f>
        <v>0</v>
      </c>
      <c r="T68" s="422" t="str">
        <f>'Matriz de Pesos e Notas'!AI67</f>
        <v>Não Imprime</v>
      </c>
      <c r="U68" s="429"/>
    </row>
    <row r="69" spans="1:21" ht="35.25" hidden="1" x14ac:dyDescent="0.45">
      <c r="A69" s="438"/>
      <c r="B69" s="439"/>
      <c r="C69" s="440"/>
      <c r="D69" s="439"/>
      <c r="E69" s="440"/>
      <c r="F69" s="439"/>
      <c r="G69" s="440"/>
      <c r="H69" s="439"/>
      <c r="I69" s="440"/>
      <c r="J69" s="439"/>
      <c r="K69" s="440"/>
      <c r="L69" s="439"/>
      <c r="M69" s="440"/>
      <c r="N69" s="439"/>
      <c r="O69" s="440"/>
      <c r="P69" s="439"/>
      <c r="Q69" s="440"/>
      <c r="R69" s="439"/>
      <c r="S69" s="440"/>
      <c r="T69" s="433"/>
      <c r="U69" s="429"/>
    </row>
    <row r="70" spans="1:21" ht="35.25" hidden="1" x14ac:dyDescent="0.45">
      <c r="A70" s="453" t="str">
        <f>'Matriz de Pesos e Notas'!A69</f>
        <v>Tesouraria</v>
      </c>
      <c r="B70" s="427"/>
      <c r="C70" s="428"/>
      <c r="D70" s="427"/>
      <c r="E70" s="428"/>
      <c r="F70" s="427"/>
      <c r="G70" s="428"/>
      <c r="H70" s="427"/>
      <c r="I70" s="428"/>
      <c r="J70" s="427"/>
      <c r="K70" s="428"/>
      <c r="L70" s="427"/>
      <c r="M70" s="428"/>
      <c r="N70" s="427"/>
      <c r="O70" s="428"/>
      <c r="P70" s="427"/>
      <c r="Q70" s="428"/>
      <c r="R70" s="427"/>
      <c r="S70" s="428"/>
      <c r="T70" s="422" t="str">
        <f>IF('Digitar aqui Notas e Pesos'!C73,"Imprime","")</f>
        <v/>
      </c>
      <c r="U70" s="429"/>
    </row>
    <row r="71" spans="1:21" ht="35.25" hidden="1" x14ac:dyDescent="0.45">
      <c r="A71" s="430"/>
      <c r="B71" s="431"/>
      <c r="C71" s="432"/>
      <c r="D71" s="431"/>
      <c r="E71" s="432"/>
      <c r="F71" s="431"/>
      <c r="G71" s="432"/>
      <c r="H71" s="431"/>
      <c r="I71" s="432"/>
      <c r="J71" s="431"/>
      <c r="K71" s="432"/>
      <c r="L71" s="431"/>
      <c r="M71" s="432"/>
      <c r="N71" s="431"/>
      <c r="O71" s="432"/>
      <c r="P71" s="431"/>
      <c r="Q71" s="432"/>
      <c r="R71" s="431"/>
      <c r="S71" s="432"/>
      <c r="T71" s="433"/>
      <c r="U71" s="429"/>
    </row>
    <row r="72" spans="1:21" ht="35.25" x14ac:dyDescent="0.45">
      <c r="A72" s="434" t="str">
        <f>'Matriz de Pesos e Notas'!A71</f>
        <v>Tesouraria</v>
      </c>
      <c r="B72" s="435">
        <f>'Matriz de Pesos e Notas'!G71</f>
        <v>0</v>
      </c>
      <c r="C72" s="436">
        <f>'Matriz de Pesos e Notas'!H71</f>
        <v>0</v>
      </c>
      <c r="D72" s="435">
        <f>'Matriz de Pesos e Notas'!K71</f>
        <v>2</v>
      </c>
      <c r="E72" s="436">
        <f>'Matriz de Pesos e Notas'!L71</f>
        <v>2</v>
      </c>
      <c r="F72" s="435">
        <f>'Matriz de Pesos e Notas'!N71</f>
        <v>1</v>
      </c>
      <c r="G72" s="436">
        <f>'Matriz de Pesos e Notas'!O71</f>
        <v>2</v>
      </c>
      <c r="H72" s="435">
        <f>'Matriz de Pesos e Notas'!Q71</f>
        <v>0</v>
      </c>
      <c r="I72" s="436">
        <f>'Matriz de Pesos e Notas'!R71</f>
        <v>0</v>
      </c>
      <c r="J72" s="435">
        <f>'Matriz de Pesos e Notas'!T71</f>
        <v>0</v>
      </c>
      <c r="K72" s="436">
        <f>'Matriz de Pesos e Notas'!U71</f>
        <v>0</v>
      </c>
      <c r="L72" s="435">
        <f>'Matriz de Pesos e Notas'!W71</f>
        <v>0</v>
      </c>
      <c r="M72" s="436">
        <f>'Matriz de Pesos e Notas'!X71</f>
        <v>0</v>
      </c>
      <c r="N72" s="435">
        <f>'Matriz de Pesos e Notas'!Z71</f>
        <v>0</v>
      </c>
      <c r="O72" s="436">
        <f>'Matriz de Pesos e Notas'!AA71</f>
        <v>0</v>
      </c>
      <c r="P72" s="435">
        <f>'Matriz de Pesos e Notas'!AC71</f>
        <v>0</v>
      </c>
      <c r="Q72" s="436">
        <f>'Matriz de Pesos e Notas'!AD71</f>
        <v>0</v>
      </c>
      <c r="R72" s="435">
        <f>'Matriz de Pesos e Notas'!AF71</f>
        <v>0</v>
      </c>
      <c r="S72" s="436">
        <f>'Matriz de Pesos e Notas'!AG71</f>
        <v>0</v>
      </c>
      <c r="T72" s="422" t="str">
        <f>'Matriz de Pesos e Notas'!AI71</f>
        <v>Imprime</v>
      </c>
      <c r="U72" s="429"/>
    </row>
    <row r="73" spans="1:21" ht="35.25" hidden="1" x14ac:dyDescent="0.45">
      <c r="A73" s="437"/>
      <c r="B73" s="435"/>
      <c r="C73" s="436"/>
      <c r="D73" s="435"/>
      <c r="E73" s="436"/>
      <c r="F73" s="435"/>
      <c r="G73" s="436"/>
      <c r="H73" s="435"/>
      <c r="I73" s="436"/>
      <c r="J73" s="435"/>
      <c r="K73" s="436"/>
      <c r="L73" s="435"/>
      <c r="M73" s="436"/>
      <c r="N73" s="435"/>
      <c r="O73" s="436"/>
      <c r="P73" s="435"/>
      <c r="Q73" s="436"/>
      <c r="R73" s="435"/>
      <c r="S73" s="436"/>
      <c r="T73" s="433"/>
      <c r="U73" s="429"/>
    </row>
    <row r="74" spans="1:21" ht="35.25" hidden="1" x14ac:dyDescent="0.45">
      <c r="A74" s="437" t="str">
        <f>'Matriz de Pesos e Notas'!A73</f>
        <v>Nome da Atividade 2 da Unidade 4</v>
      </c>
      <c r="B74" s="435">
        <f>'Matriz de Pesos e Notas'!G73</f>
        <v>0</v>
      </c>
      <c r="C74" s="436">
        <f>'Matriz de Pesos e Notas'!H73</f>
        <v>0</v>
      </c>
      <c r="D74" s="435">
        <f>'Matriz de Pesos e Notas'!K73</f>
        <v>0</v>
      </c>
      <c r="E74" s="436">
        <f>'Matriz de Pesos e Notas'!L73</f>
        <v>0</v>
      </c>
      <c r="F74" s="435">
        <f>'Matriz de Pesos e Notas'!N73</f>
        <v>0</v>
      </c>
      <c r="G74" s="436">
        <f>'Matriz de Pesos e Notas'!O73</f>
        <v>0</v>
      </c>
      <c r="H74" s="435">
        <f>'Matriz de Pesos e Notas'!Q73</f>
        <v>0</v>
      </c>
      <c r="I74" s="436">
        <f>'Matriz de Pesos e Notas'!R73</f>
        <v>0</v>
      </c>
      <c r="J74" s="435">
        <f>'Matriz de Pesos e Notas'!T73</f>
        <v>0</v>
      </c>
      <c r="K74" s="436">
        <f>'Matriz de Pesos e Notas'!U73</f>
        <v>0</v>
      </c>
      <c r="L74" s="435">
        <f>'Matriz de Pesos e Notas'!W73</f>
        <v>0</v>
      </c>
      <c r="M74" s="436">
        <f>'Matriz de Pesos e Notas'!X73</f>
        <v>0</v>
      </c>
      <c r="N74" s="435">
        <f>'Matriz de Pesos e Notas'!Z73</f>
        <v>0</v>
      </c>
      <c r="O74" s="436">
        <f>'Matriz de Pesos e Notas'!AA73</f>
        <v>0</v>
      </c>
      <c r="P74" s="435">
        <f>'Matriz de Pesos e Notas'!AC73</f>
        <v>0</v>
      </c>
      <c r="Q74" s="436">
        <f>'Matriz de Pesos e Notas'!AD73</f>
        <v>0</v>
      </c>
      <c r="R74" s="435">
        <f>'Matriz de Pesos e Notas'!AF73</f>
        <v>0</v>
      </c>
      <c r="S74" s="436">
        <f>'Matriz de Pesos e Notas'!AG73</f>
        <v>0</v>
      </c>
      <c r="T74" s="422" t="str">
        <f>'Matriz de Pesos e Notas'!AI73</f>
        <v>Não Imprime</v>
      </c>
      <c r="U74" s="429"/>
    </row>
    <row r="75" spans="1:21" ht="35.25" hidden="1" x14ac:dyDescent="0.45">
      <c r="A75" s="437"/>
      <c r="B75" s="435"/>
      <c r="C75" s="436"/>
      <c r="D75" s="435"/>
      <c r="E75" s="436"/>
      <c r="F75" s="435"/>
      <c r="G75" s="436"/>
      <c r="H75" s="435"/>
      <c r="I75" s="436"/>
      <c r="J75" s="435"/>
      <c r="K75" s="436"/>
      <c r="L75" s="435"/>
      <c r="M75" s="436"/>
      <c r="N75" s="435"/>
      <c r="O75" s="436"/>
      <c r="P75" s="435"/>
      <c r="Q75" s="436"/>
      <c r="R75" s="435"/>
      <c r="S75" s="436"/>
      <c r="T75" s="433"/>
      <c r="U75" s="429"/>
    </row>
    <row r="76" spans="1:21" ht="35.25" hidden="1" x14ac:dyDescent="0.45">
      <c r="A76" s="437" t="str">
        <f>'Matriz de Pesos e Notas'!A75</f>
        <v>Nome da Atividade 3 da Unidade 4</v>
      </c>
      <c r="B76" s="435">
        <f>'Matriz de Pesos e Notas'!G75</f>
        <v>0</v>
      </c>
      <c r="C76" s="436">
        <f>'Matriz de Pesos e Notas'!H75</f>
        <v>0</v>
      </c>
      <c r="D76" s="435">
        <f>'Matriz de Pesos e Notas'!K75</f>
        <v>0</v>
      </c>
      <c r="E76" s="436">
        <f>'Matriz de Pesos e Notas'!L75</f>
        <v>0</v>
      </c>
      <c r="F76" s="435">
        <f>'Matriz de Pesos e Notas'!N75</f>
        <v>0</v>
      </c>
      <c r="G76" s="436">
        <f>'Matriz de Pesos e Notas'!O75</f>
        <v>0</v>
      </c>
      <c r="H76" s="435">
        <f>'Matriz de Pesos e Notas'!Q75</f>
        <v>0</v>
      </c>
      <c r="I76" s="436">
        <f>'Matriz de Pesos e Notas'!R75</f>
        <v>0</v>
      </c>
      <c r="J76" s="435">
        <f>'Matriz de Pesos e Notas'!T75</f>
        <v>0</v>
      </c>
      <c r="K76" s="436">
        <f>'Matriz de Pesos e Notas'!U75</f>
        <v>0</v>
      </c>
      <c r="L76" s="435">
        <f>'Matriz de Pesos e Notas'!W75</f>
        <v>0</v>
      </c>
      <c r="M76" s="436">
        <f>'Matriz de Pesos e Notas'!X75</f>
        <v>0</v>
      </c>
      <c r="N76" s="435">
        <f>'Matriz de Pesos e Notas'!Z75</f>
        <v>0</v>
      </c>
      <c r="O76" s="436">
        <f>'Matriz de Pesos e Notas'!AA75</f>
        <v>0</v>
      </c>
      <c r="P76" s="435">
        <f>'Matriz de Pesos e Notas'!AC75</f>
        <v>0</v>
      </c>
      <c r="Q76" s="436">
        <f>'Matriz de Pesos e Notas'!AD75</f>
        <v>0</v>
      </c>
      <c r="R76" s="435">
        <f>'Matriz de Pesos e Notas'!AF75</f>
        <v>0</v>
      </c>
      <c r="S76" s="436">
        <f>'Matriz de Pesos e Notas'!AG75</f>
        <v>0</v>
      </c>
      <c r="T76" s="422" t="str">
        <f>'Matriz de Pesos e Notas'!AI75</f>
        <v>Não Imprime</v>
      </c>
      <c r="U76" s="429"/>
    </row>
    <row r="77" spans="1:21" ht="35.25" hidden="1" x14ac:dyDescent="0.45">
      <c r="A77" s="437"/>
      <c r="B77" s="435"/>
      <c r="C77" s="436"/>
      <c r="D77" s="435"/>
      <c r="E77" s="436"/>
      <c r="F77" s="435"/>
      <c r="G77" s="436"/>
      <c r="H77" s="435"/>
      <c r="I77" s="436"/>
      <c r="J77" s="435"/>
      <c r="K77" s="436"/>
      <c r="L77" s="435"/>
      <c r="M77" s="436"/>
      <c r="N77" s="435"/>
      <c r="O77" s="436"/>
      <c r="P77" s="435"/>
      <c r="Q77" s="436"/>
      <c r="R77" s="435"/>
      <c r="S77" s="436"/>
      <c r="T77" s="433"/>
      <c r="U77" s="429"/>
    </row>
    <row r="78" spans="1:21" ht="35.25" hidden="1" x14ac:dyDescent="0.45">
      <c r="A78" s="437" t="str">
        <f>'Matriz de Pesos e Notas'!A77</f>
        <v>Nome da Atividade 4 da Unidade 4</v>
      </c>
      <c r="B78" s="435">
        <f>'Matriz de Pesos e Notas'!G77</f>
        <v>0</v>
      </c>
      <c r="C78" s="436">
        <f>'Matriz de Pesos e Notas'!H77</f>
        <v>0</v>
      </c>
      <c r="D78" s="435">
        <f>'Matriz de Pesos e Notas'!K77</f>
        <v>0</v>
      </c>
      <c r="E78" s="436">
        <f>'Matriz de Pesos e Notas'!L77</f>
        <v>0</v>
      </c>
      <c r="F78" s="435">
        <f>'Matriz de Pesos e Notas'!N77</f>
        <v>0</v>
      </c>
      <c r="G78" s="436">
        <f>'Matriz de Pesos e Notas'!O77</f>
        <v>0</v>
      </c>
      <c r="H78" s="435">
        <f>'Matriz de Pesos e Notas'!Q77</f>
        <v>0</v>
      </c>
      <c r="I78" s="436">
        <f>'Matriz de Pesos e Notas'!R77</f>
        <v>0</v>
      </c>
      <c r="J78" s="435">
        <f>'Matriz de Pesos e Notas'!T77</f>
        <v>0</v>
      </c>
      <c r="K78" s="436">
        <f>'Matriz de Pesos e Notas'!U77</f>
        <v>0</v>
      </c>
      <c r="L78" s="435">
        <f>'Matriz de Pesos e Notas'!W77</f>
        <v>0</v>
      </c>
      <c r="M78" s="436">
        <f>'Matriz de Pesos e Notas'!X77</f>
        <v>0</v>
      </c>
      <c r="N78" s="435">
        <f>'Matriz de Pesos e Notas'!Z77</f>
        <v>0</v>
      </c>
      <c r="O78" s="436">
        <f>'Matriz de Pesos e Notas'!AA77</f>
        <v>0</v>
      </c>
      <c r="P78" s="435">
        <f>'Matriz de Pesos e Notas'!AC77</f>
        <v>0</v>
      </c>
      <c r="Q78" s="436">
        <f>'Matriz de Pesos e Notas'!AD77</f>
        <v>0</v>
      </c>
      <c r="R78" s="435">
        <f>'Matriz de Pesos e Notas'!AF77</f>
        <v>0</v>
      </c>
      <c r="S78" s="436">
        <f>'Matriz de Pesos e Notas'!AG77</f>
        <v>0</v>
      </c>
      <c r="T78" s="422" t="str">
        <f>'Matriz de Pesos e Notas'!AI77</f>
        <v>Não Imprime</v>
      </c>
      <c r="U78" s="429"/>
    </row>
    <row r="79" spans="1:21" ht="35.25" hidden="1" x14ac:dyDescent="0.45">
      <c r="A79" s="437"/>
      <c r="B79" s="435"/>
      <c r="C79" s="436"/>
      <c r="D79" s="435"/>
      <c r="E79" s="436"/>
      <c r="F79" s="435"/>
      <c r="G79" s="436"/>
      <c r="H79" s="435"/>
      <c r="I79" s="436"/>
      <c r="J79" s="435"/>
      <c r="K79" s="436"/>
      <c r="L79" s="435"/>
      <c r="M79" s="436"/>
      <c r="N79" s="435"/>
      <c r="O79" s="436"/>
      <c r="P79" s="435"/>
      <c r="Q79" s="436"/>
      <c r="R79" s="435"/>
      <c r="S79" s="436"/>
      <c r="T79" s="433"/>
      <c r="U79" s="429"/>
    </row>
    <row r="80" spans="1:21" ht="35.25" hidden="1" x14ac:dyDescent="0.45">
      <c r="A80" s="437" t="str">
        <f>'Matriz de Pesos e Notas'!A79</f>
        <v>Nome da Atividade 5 da Unidade 4</v>
      </c>
      <c r="B80" s="435">
        <f>'Matriz de Pesos e Notas'!G79</f>
        <v>0</v>
      </c>
      <c r="C80" s="436">
        <f>'Matriz de Pesos e Notas'!H79</f>
        <v>0</v>
      </c>
      <c r="D80" s="435">
        <f>'Matriz de Pesos e Notas'!K79</f>
        <v>0</v>
      </c>
      <c r="E80" s="436">
        <f>'Matriz de Pesos e Notas'!L79</f>
        <v>0</v>
      </c>
      <c r="F80" s="435">
        <f>'Matriz de Pesos e Notas'!N79</f>
        <v>0</v>
      </c>
      <c r="G80" s="436">
        <f>'Matriz de Pesos e Notas'!O79</f>
        <v>0</v>
      </c>
      <c r="H80" s="435">
        <f>'Matriz de Pesos e Notas'!Q79</f>
        <v>0</v>
      </c>
      <c r="I80" s="436">
        <f>'Matriz de Pesos e Notas'!R79</f>
        <v>0</v>
      </c>
      <c r="J80" s="435">
        <f>'Matriz de Pesos e Notas'!T79</f>
        <v>0</v>
      </c>
      <c r="K80" s="436">
        <f>'Matriz de Pesos e Notas'!U79</f>
        <v>0</v>
      </c>
      <c r="L80" s="435">
        <f>'Matriz de Pesos e Notas'!W79</f>
        <v>0</v>
      </c>
      <c r="M80" s="436">
        <f>'Matriz de Pesos e Notas'!X79</f>
        <v>0</v>
      </c>
      <c r="N80" s="435">
        <f>'Matriz de Pesos e Notas'!Z79</f>
        <v>0</v>
      </c>
      <c r="O80" s="436">
        <f>'Matriz de Pesos e Notas'!AA79</f>
        <v>0</v>
      </c>
      <c r="P80" s="435">
        <f>'Matriz de Pesos e Notas'!AC79</f>
        <v>0</v>
      </c>
      <c r="Q80" s="436">
        <f>'Matriz de Pesos e Notas'!AD79</f>
        <v>0</v>
      </c>
      <c r="R80" s="435">
        <f>'Matriz de Pesos e Notas'!AF79</f>
        <v>0</v>
      </c>
      <c r="S80" s="436">
        <f>'Matriz de Pesos e Notas'!AG79</f>
        <v>0</v>
      </c>
      <c r="T80" s="422" t="str">
        <f>'Matriz de Pesos e Notas'!AI79</f>
        <v>Não Imprime</v>
      </c>
      <c r="U80" s="429"/>
    </row>
    <row r="81" spans="1:21" ht="35.25" hidden="1" x14ac:dyDescent="0.45">
      <c r="A81" s="437"/>
      <c r="B81" s="435"/>
      <c r="C81" s="436"/>
      <c r="D81" s="435"/>
      <c r="E81" s="436"/>
      <c r="F81" s="435"/>
      <c r="G81" s="436"/>
      <c r="H81" s="435"/>
      <c r="I81" s="436"/>
      <c r="J81" s="435"/>
      <c r="K81" s="436"/>
      <c r="L81" s="435"/>
      <c r="M81" s="436"/>
      <c r="N81" s="435"/>
      <c r="O81" s="436"/>
      <c r="P81" s="435"/>
      <c r="Q81" s="436"/>
      <c r="R81" s="435"/>
      <c r="S81" s="436"/>
      <c r="T81" s="433"/>
      <c r="U81" s="429"/>
    </row>
    <row r="82" spans="1:21" ht="35.25" hidden="1" x14ac:dyDescent="0.45">
      <c r="A82" s="437" t="str">
        <f>'Matriz de Pesos e Notas'!A81</f>
        <v>Nome da Atividade 6 da Unidade 4</v>
      </c>
      <c r="B82" s="435">
        <f>'Matriz de Pesos e Notas'!G81</f>
        <v>0</v>
      </c>
      <c r="C82" s="436">
        <f>'Matriz de Pesos e Notas'!H81</f>
        <v>0</v>
      </c>
      <c r="D82" s="435">
        <f>'Matriz de Pesos e Notas'!K81</f>
        <v>0</v>
      </c>
      <c r="E82" s="436">
        <f>'Matriz de Pesos e Notas'!L81</f>
        <v>0</v>
      </c>
      <c r="F82" s="435">
        <f>'Matriz de Pesos e Notas'!N81</f>
        <v>0</v>
      </c>
      <c r="G82" s="436">
        <f>'Matriz de Pesos e Notas'!O81</f>
        <v>0</v>
      </c>
      <c r="H82" s="435">
        <f>'Matriz de Pesos e Notas'!Q81</f>
        <v>0</v>
      </c>
      <c r="I82" s="436">
        <f>'Matriz de Pesos e Notas'!R81</f>
        <v>0</v>
      </c>
      <c r="J82" s="435">
        <f>'Matriz de Pesos e Notas'!T81</f>
        <v>0</v>
      </c>
      <c r="K82" s="436">
        <f>'Matriz de Pesos e Notas'!U81</f>
        <v>0</v>
      </c>
      <c r="L82" s="435">
        <f>'Matriz de Pesos e Notas'!W81</f>
        <v>0</v>
      </c>
      <c r="M82" s="436">
        <f>'Matriz de Pesos e Notas'!X81</f>
        <v>0</v>
      </c>
      <c r="N82" s="435">
        <f>'Matriz de Pesos e Notas'!Z81</f>
        <v>0</v>
      </c>
      <c r="O82" s="436">
        <f>'Matriz de Pesos e Notas'!AA81</f>
        <v>0</v>
      </c>
      <c r="P82" s="435">
        <f>'Matriz de Pesos e Notas'!AC81</f>
        <v>0</v>
      </c>
      <c r="Q82" s="436">
        <f>'Matriz de Pesos e Notas'!AD81</f>
        <v>0</v>
      </c>
      <c r="R82" s="435">
        <f>'Matriz de Pesos e Notas'!AF81</f>
        <v>0</v>
      </c>
      <c r="S82" s="436">
        <f>'Matriz de Pesos e Notas'!AG81</f>
        <v>0</v>
      </c>
      <c r="T82" s="422" t="str">
        <f>'Matriz de Pesos e Notas'!AI81</f>
        <v>Não Imprime</v>
      </c>
      <c r="U82" s="429"/>
    </row>
    <row r="83" spans="1:21" ht="35.25" hidden="1" x14ac:dyDescent="0.45">
      <c r="A83" s="437"/>
      <c r="B83" s="435"/>
      <c r="C83" s="436"/>
      <c r="D83" s="435"/>
      <c r="E83" s="436"/>
      <c r="F83" s="435"/>
      <c r="G83" s="436"/>
      <c r="H83" s="435"/>
      <c r="I83" s="436"/>
      <c r="J83" s="435"/>
      <c r="K83" s="436"/>
      <c r="L83" s="435"/>
      <c r="M83" s="436"/>
      <c r="N83" s="435"/>
      <c r="O83" s="436"/>
      <c r="P83" s="435"/>
      <c r="Q83" s="436"/>
      <c r="R83" s="435"/>
      <c r="S83" s="436"/>
      <c r="T83" s="433"/>
      <c r="U83" s="429"/>
    </row>
    <row r="84" spans="1:21" ht="35.25" hidden="1" x14ac:dyDescent="0.45">
      <c r="A84" s="437" t="str">
        <f>'Matriz de Pesos e Notas'!A83</f>
        <v>Nome da Atividade 7 da Unidade 4</v>
      </c>
      <c r="B84" s="435">
        <f>'Matriz de Pesos e Notas'!G83</f>
        <v>0</v>
      </c>
      <c r="C84" s="436">
        <f>'Matriz de Pesos e Notas'!H83</f>
        <v>0</v>
      </c>
      <c r="D84" s="435">
        <f>'Matriz de Pesos e Notas'!K83</f>
        <v>0</v>
      </c>
      <c r="E84" s="436">
        <f>'Matriz de Pesos e Notas'!L83</f>
        <v>0</v>
      </c>
      <c r="F84" s="435">
        <f>'Matriz de Pesos e Notas'!N83</f>
        <v>0</v>
      </c>
      <c r="G84" s="436">
        <f>'Matriz de Pesos e Notas'!O83</f>
        <v>0</v>
      </c>
      <c r="H84" s="435">
        <f>'Matriz de Pesos e Notas'!Q83</f>
        <v>0</v>
      </c>
      <c r="I84" s="436">
        <f>'Matriz de Pesos e Notas'!R83</f>
        <v>0</v>
      </c>
      <c r="J84" s="435">
        <f>'Matriz de Pesos e Notas'!T83</f>
        <v>0</v>
      </c>
      <c r="K84" s="436">
        <f>'Matriz de Pesos e Notas'!U83</f>
        <v>0</v>
      </c>
      <c r="L84" s="435">
        <f>'Matriz de Pesos e Notas'!W83</f>
        <v>0</v>
      </c>
      <c r="M84" s="436">
        <f>'Matriz de Pesos e Notas'!X83</f>
        <v>0</v>
      </c>
      <c r="N84" s="435">
        <f>'Matriz de Pesos e Notas'!Z83</f>
        <v>0</v>
      </c>
      <c r="O84" s="436">
        <f>'Matriz de Pesos e Notas'!AA83</f>
        <v>0</v>
      </c>
      <c r="P84" s="435">
        <f>'Matriz de Pesos e Notas'!AC83</f>
        <v>0</v>
      </c>
      <c r="Q84" s="436">
        <f>'Matriz de Pesos e Notas'!AD83</f>
        <v>0</v>
      </c>
      <c r="R84" s="435">
        <f>'Matriz de Pesos e Notas'!AF83</f>
        <v>0</v>
      </c>
      <c r="S84" s="436">
        <f>'Matriz de Pesos e Notas'!AG83</f>
        <v>0</v>
      </c>
      <c r="T84" s="422" t="str">
        <f>'Matriz de Pesos e Notas'!AI83</f>
        <v>Não Imprime</v>
      </c>
      <c r="U84" s="429"/>
    </row>
    <row r="85" spans="1:21" ht="35.25" hidden="1" x14ac:dyDescent="0.45">
      <c r="A85" s="438"/>
      <c r="B85" s="439"/>
      <c r="C85" s="440"/>
      <c r="D85" s="439"/>
      <c r="E85" s="440"/>
      <c r="F85" s="439"/>
      <c r="G85" s="440"/>
      <c r="H85" s="439"/>
      <c r="I85" s="440"/>
      <c r="J85" s="439"/>
      <c r="K85" s="440"/>
      <c r="L85" s="439"/>
      <c r="M85" s="440"/>
      <c r="N85" s="439"/>
      <c r="O85" s="440"/>
      <c r="P85" s="439"/>
      <c r="Q85" s="440"/>
      <c r="R85" s="439"/>
      <c r="S85" s="440"/>
      <c r="T85" s="433"/>
      <c r="U85" s="429"/>
    </row>
    <row r="86" spans="1:21" ht="35.25" hidden="1" x14ac:dyDescent="0.45">
      <c r="A86" s="453" t="str">
        <f>'Matriz de Pesos e Notas'!A85</f>
        <v>Seguros, Previdência e</v>
      </c>
      <c r="B86" s="427"/>
      <c r="C86" s="428"/>
      <c r="D86" s="427"/>
      <c r="E86" s="428"/>
      <c r="F86" s="427"/>
      <c r="G86" s="428"/>
      <c r="H86" s="427"/>
      <c r="I86" s="428"/>
      <c r="J86" s="427"/>
      <c r="K86" s="428"/>
      <c r="L86" s="427"/>
      <c r="M86" s="428"/>
      <c r="N86" s="427"/>
      <c r="O86" s="428"/>
      <c r="P86" s="427"/>
      <c r="Q86" s="428"/>
      <c r="R86" s="427"/>
      <c r="S86" s="428"/>
      <c r="T86" s="422" t="str">
        <f>IF('Digitar aqui Notas e Pesos'!C89,"Imprime",IF('Digitar aqui Notas e Pesos'!C85,IF('Digitar aqui Notas e Pesos'!A85&lt;&gt;'Digitar aqui Notas e Pesos'!A87,"Imprime",""),""))</f>
        <v/>
      </c>
      <c r="U86" s="429"/>
    </row>
    <row r="87" spans="1:21" ht="35.25" hidden="1" x14ac:dyDescent="0.45">
      <c r="A87" s="430"/>
      <c r="B87" s="431"/>
      <c r="C87" s="432"/>
      <c r="D87" s="431"/>
      <c r="E87" s="432"/>
      <c r="F87" s="431"/>
      <c r="G87" s="432"/>
      <c r="H87" s="431"/>
      <c r="I87" s="432"/>
      <c r="J87" s="431"/>
      <c r="K87" s="432"/>
      <c r="L87" s="431"/>
      <c r="M87" s="432"/>
      <c r="N87" s="431"/>
      <c r="O87" s="432"/>
      <c r="P87" s="431"/>
      <c r="Q87" s="432"/>
      <c r="R87" s="431"/>
      <c r="S87" s="432"/>
      <c r="T87" s="433"/>
      <c r="U87" s="429"/>
    </row>
    <row r="88" spans="1:21" ht="35.25" x14ac:dyDescent="0.45">
      <c r="A88" s="434" t="str">
        <f>'Matriz de Pesos e Notas'!A87</f>
        <v>Seguros, Previdência e</v>
      </c>
      <c r="B88" s="435">
        <f>'Matriz de Pesos e Notas'!G87</f>
        <v>0</v>
      </c>
      <c r="C88" s="436">
        <f>'Matriz de Pesos e Notas'!H87</f>
        <v>0</v>
      </c>
      <c r="D88" s="435">
        <f>'Matriz de Pesos e Notas'!K87</f>
        <v>0</v>
      </c>
      <c r="E88" s="436">
        <f>'Matriz de Pesos e Notas'!L87</f>
        <v>0</v>
      </c>
      <c r="F88" s="435">
        <f>'Matriz de Pesos e Notas'!N87</f>
        <v>0</v>
      </c>
      <c r="G88" s="436">
        <f>'Matriz de Pesos e Notas'!O87</f>
        <v>0</v>
      </c>
      <c r="H88" s="435">
        <f>'Matriz de Pesos e Notas'!Q87</f>
        <v>2</v>
      </c>
      <c r="I88" s="436">
        <f>'Matriz de Pesos e Notas'!R87</f>
        <v>2</v>
      </c>
      <c r="J88" s="435">
        <f>'Matriz de Pesos e Notas'!T87</f>
        <v>0</v>
      </c>
      <c r="K88" s="436">
        <f>'Matriz de Pesos e Notas'!U87</f>
        <v>0</v>
      </c>
      <c r="L88" s="435">
        <f>'Matriz de Pesos e Notas'!W87</f>
        <v>0</v>
      </c>
      <c r="M88" s="436">
        <f>'Matriz de Pesos e Notas'!X87</f>
        <v>0</v>
      </c>
      <c r="N88" s="435">
        <f>'Matriz de Pesos e Notas'!Z87</f>
        <v>0</v>
      </c>
      <c r="O88" s="436">
        <f>'Matriz de Pesos e Notas'!AA87</f>
        <v>0</v>
      </c>
      <c r="P88" s="435">
        <f>'Matriz de Pesos e Notas'!AC87</f>
        <v>0</v>
      </c>
      <c r="Q88" s="436">
        <f>'Matriz de Pesos e Notas'!AD87</f>
        <v>0</v>
      </c>
      <c r="R88" s="435">
        <f>'Matriz de Pesos e Notas'!AF87</f>
        <v>0</v>
      </c>
      <c r="S88" s="436">
        <f>'Matriz de Pesos e Notas'!AG87</f>
        <v>0</v>
      </c>
      <c r="T88" s="422" t="str">
        <f>'Matriz de Pesos e Notas'!AI87</f>
        <v>Imprime</v>
      </c>
      <c r="U88" s="429"/>
    </row>
    <row r="89" spans="1:21" ht="35.25" hidden="1" x14ac:dyDescent="0.45">
      <c r="A89" s="437"/>
      <c r="B89" s="435"/>
      <c r="C89" s="436"/>
      <c r="D89" s="435"/>
      <c r="E89" s="436"/>
      <c r="F89" s="435"/>
      <c r="G89" s="436"/>
      <c r="H89" s="435"/>
      <c r="I89" s="436"/>
      <c r="J89" s="435"/>
      <c r="K89" s="436"/>
      <c r="L89" s="435"/>
      <c r="M89" s="436"/>
      <c r="N89" s="435"/>
      <c r="O89" s="436"/>
      <c r="P89" s="435"/>
      <c r="Q89" s="436"/>
      <c r="R89" s="435"/>
      <c r="S89" s="436"/>
      <c r="T89" s="433"/>
      <c r="U89" s="429"/>
    </row>
    <row r="90" spans="1:21" ht="35.25" hidden="1" x14ac:dyDescent="0.45">
      <c r="A90" s="437" t="str">
        <f>'Matriz de Pesos e Notas'!A89</f>
        <v>Nome da Atividade 2 da Unidade 5</v>
      </c>
      <c r="B90" s="435">
        <f>'Matriz de Pesos e Notas'!G89</f>
        <v>0</v>
      </c>
      <c r="C90" s="436">
        <f>'Matriz de Pesos e Notas'!H89</f>
        <v>0</v>
      </c>
      <c r="D90" s="435">
        <f>'Matriz de Pesos e Notas'!K89</f>
        <v>0</v>
      </c>
      <c r="E90" s="436">
        <f>'Matriz de Pesos e Notas'!L89</f>
        <v>0</v>
      </c>
      <c r="F90" s="435">
        <f>'Matriz de Pesos e Notas'!N89</f>
        <v>0</v>
      </c>
      <c r="G90" s="436">
        <f>'Matriz de Pesos e Notas'!O89</f>
        <v>0</v>
      </c>
      <c r="H90" s="435">
        <f>'Matriz de Pesos e Notas'!Q89</f>
        <v>0</v>
      </c>
      <c r="I90" s="436">
        <f>'Matriz de Pesos e Notas'!R89</f>
        <v>0</v>
      </c>
      <c r="J90" s="435">
        <f>'Matriz de Pesos e Notas'!T89</f>
        <v>0</v>
      </c>
      <c r="K90" s="436">
        <f>'Matriz de Pesos e Notas'!U89</f>
        <v>0</v>
      </c>
      <c r="L90" s="435">
        <f>'Matriz de Pesos e Notas'!W89</f>
        <v>0</v>
      </c>
      <c r="M90" s="436">
        <f>'Matriz de Pesos e Notas'!X89</f>
        <v>0</v>
      </c>
      <c r="N90" s="435">
        <f>'Matriz de Pesos e Notas'!Z89</f>
        <v>0</v>
      </c>
      <c r="O90" s="436">
        <f>'Matriz de Pesos e Notas'!AA89</f>
        <v>0</v>
      </c>
      <c r="P90" s="435">
        <f>'Matriz de Pesos e Notas'!AC89</f>
        <v>0</v>
      </c>
      <c r="Q90" s="436">
        <f>'Matriz de Pesos e Notas'!AD89</f>
        <v>0</v>
      </c>
      <c r="R90" s="435">
        <f>'Matriz de Pesos e Notas'!AF89</f>
        <v>0</v>
      </c>
      <c r="S90" s="436">
        <f>'Matriz de Pesos e Notas'!AG89</f>
        <v>0</v>
      </c>
      <c r="T90" s="422" t="str">
        <f>'Matriz de Pesos e Notas'!AI89</f>
        <v>Não Imprime</v>
      </c>
      <c r="U90" s="429"/>
    </row>
    <row r="91" spans="1:21" ht="35.25" hidden="1" x14ac:dyDescent="0.45">
      <c r="A91" s="437"/>
      <c r="B91" s="435"/>
      <c r="C91" s="436"/>
      <c r="D91" s="435"/>
      <c r="E91" s="436"/>
      <c r="F91" s="435"/>
      <c r="G91" s="436"/>
      <c r="H91" s="435"/>
      <c r="I91" s="436"/>
      <c r="J91" s="435"/>
      <c r="K91" s="436"/>
      <c r="L91" s="435"/>
      <c r="M91" s="436"/>
      <c r="N91" s="435"/>
      <c r="O91" s="436"/>
      <c r="P91" s="435"/>
      <c r="Q91" s="436"/>
      <c r="R91" s="435"/>
      <c r="S91" s="436"/>
      <c r="T91" s="433"/>
      <c r="U91" s="429"/>
    </row>
    <row r="92" spans="1:21" ht="35.25" hidden="1" x14ac:dyDescent="0.45">
      <c r="A92" s="437" t="str">
        <f>'Matriz de Pesos e Notas'!A91</f>
        <v>Nome da Atividade 3 da Unidade 5</v>
      </c>
      <c r="B92" s="435">
        <f>'Matriz de Pesos e Notas'!G91</f>
        <v>0</v>
      </c>
      <c r="C92" s="436">
        <f>'Matriz de Pesos e Notas'!H91</f>
        <v>0</v>
      </c>
      <c r="D92" s="435">
        <f>'Matriz de Pesos e Notas'!K91</f>
        <v>0</v>
      </c>
      <c r="E92" s="436">
        <f>'Matriz de Pesos e Notas'!L91</f>
        <v>0</v>
      </c>
      <c r="F92" s="435">
        <f>'Matriz de Pesos e Notas'!N91</f>
        <v>0</v>
      </c>
      <c r="G92" s="436">
        <f>'Matriz de Pesos e Notas'!O91</f>
        <v>0</v>
      </c>
      <c r="H92" s="435">
        <f>'Matriz de Pesos e Notas'!Q91</f>
        <v>0</v>
      </c>
      <c r="I92" s="436">
        <f>'Matriz de Pesos e Notas'!R91</f>
        <v>0</v>
      </c>
      <c r="J92" s="435">
        <f>'Matriz de Pesos e Notas'!T91</f>
        <v>0</v>
      </c>
      <c r="K92" s="436">
        <f>'Matriz de Pesos e Notas'!U91</f>
        <v>0</v>
      </c>
      <c r="L92" s="435">
        <f>'Matriz de Pesos e Notas'!W91</f>
        <v>0</v>
      </c>
      <c r="M92" s="436">
        <f>'Matriz de Pesos e Notas'!X91</f>
        <v>0</v>
      </c>
      <c r="N92" s="435">
        <f>'Matriz de Pesos e Notas'!Z91</f>
        <v>0</v>
      </c>
      <c r="O92" s="436">
        <f>'Matriz de Pesos e Notas'!AA91</f>
        <v>0</v>
      </c>
      <c r="P92" s="435">
        <f>'Matriz de Pesos e Notas'!AC91</f>
        <v>0</v>
      </c>
      <c r="Q92" s="436">
        <f>'Matriz de Pesos e Notas'!AD91</f>
        <v>0</v>
      </c>
      <c r="R92" s="435">
        <f>'Matriz de Pesos e Notas'!AF91</f>
        <v>0</v>
      </c>
      <c r="S92" s="436">
        <f>'Matriz de Pesos e Notas'!AG91</f>
        <v>0</v>
      </c>
      <c r="T92" s="422" t="str">
        <f>'Matriz de Pesos e Notas'!AI91</f>
        <v>Não Imprime</v>
      </c>
      <c r="U92" s="429"/>
    </row>
    <row r="93" spans="1:21" ht="35.25" hidden="1" x14ac:dyDescent="0.45">
      <c r="A93" s="437"/>
      <c r="B93" s="435"/>
      <c r="C93" s="436"/>
      <c r="D93" s="435"/>
      <c r="E93" s="436"/>
      <c r="F93" s="435"/>
      <c r="G93" s="436"/>
      <c r="H93" s="435"/>
      <c r="I93" s="436"/>
      <c r="J93" s="435"/>
      <c r="K93" s="436"/>
      <c r="L93" s="435"/>
      <c r="M93" s="436"/>
      <c r="N93" s="435"/>
      <c r="O93" s="436"/>
      <c r="P93" s="435"/>
      <c r="Q93" s="436"/>
      <c r="R93" s="435"/>
      <c r="S93" s="436"/>
      <c r="T93" s="433"/>
      <c r="U93" s="429"/>
    </row>
    <row r="94" spans="1:21" ht="35.25" hidden="1" x14ac:dyDescent="0.45">
      <c r="A94" s="437" t="str">
        <f>'Matriz de Pesos e Notas'!A93</f>
        <v>Nome da Atividade 4 da Unidade 5</v>
      </c>
      <c r="B94" s="435">
        <f>'Matriz de Pesos e Notas'!G93</f>
        <v>0</v>
      </c>
      <c r="C94" s="436">
        <f>'Matriz de Pesos e Notas'!H93</f>
        <v>0</v>
      </c>
      <c r="D94" s="435">
        <f>'Matriz de Pesos e Notas'!K93</f>
        <v>0</v>
      </c>
      <c r="E94" s="436">
        <f>'Matriz de Pesos e Notas'!L93</f>
        <v>0</v>
      </c>
      <c r="F94" s="435">
        <f>'Matriz de Pesos e Notas'!N93</f>
        <v>0</v>
      </c>
      <c r="G94" s="436">
        <f>'Matriz de Pesos e Notas'!O93</f>
        <v>0</v>
      </c>
      <c r="H94" s="435">
        <f>'Matriz de Pesos e Notas'!Q93</f>
        <v>0</v>
      </c>
      <c r="I94" s="436">
        <f>'Matriz de Pesos e Notas'!R93</f>
        <v>0</v>
      </c>
      <c r="J94" s="435">
        <f>'Matriz de Pesos e Notas'!T93</f>
        <v>0</v>
      </c>
      <c r="K94" s="436">
        <f>'Matriz de Pesos e Notas'!U93</f>
        <v>0</v>
      </c>
      <c r="L94" s="435">
        <f>'Matriz de Pesos e Notas'!W93</f>
        <v>0</v>
      </c>
      <c r="M94" s="436">
        <f>'Matriz de Pesos e Notas'!X93</f>
        <v>0</v>
      </c>
      <c r="N94" s="435">
        <f>'Matriz de Pesos e Notas'!Z93</f>
        <v>0</v>
      </c>
      <c r="O94" s="436">
        <f>'Matriz de Pesos e Notas'!AA93</f>
        <v>0</v>
      </c>
      <c r="P94" s="435">
        <f>'Matriz de Pesos e Notas'!AC93</f>
        <v>0</v>
      </c>
      <c r="Q94" s="436">
        <f>'Matriz de Pesos e Notas'!AD93</f>
        <v>0</v>
      </c>
      <c r="R94" s="435">
        <f>'Matriz de Pesos e Notas'!AF93</f>
        <v>0</v>
      </c>
      <c r="S94" s="436">
        <f>'Matriz de Pesos e Notas'!AG93</f>
        <v>0</v>
      </c>
      <c r="T94" s="422" t="str">
        <f>'Matriz de Pesos e Notas'!AI93</f>
        <v>Não Imprime</v>
      </c>
      <c r="U94" s="429"/>
    </row>
    <row r="95" spans="1:21" ht="35.25" hidden="1" x14ac:dyDescent="0.45">
      <c r="A95" s="437"/>
      <c r="B95" s="435"/>
      <c r="C95" s="436"/>
      <c r="D95" s="435"/>
      <c r="E95" s="436"/>
      <c r="F95" s="435"/>
      <c r="G95" s="436"/>
      <c r="H95" s="435"/>
      <c r="I95" s="436"/>
      <c r="J95" s="435"/>
      <c r="K95" s="436"/>
      <c r="L95" s="435"/>
      <c r="M95" s="436"/>
      <c r="N95" s="435"/>
      <c r="O95" s="436"/>
      <c r="P95" s="435"/>
      <c r="Q95" s="436"/>
      <c r="R95" s="435"/>
      <c r="S95" s="436"/>
      <c r="T95" s="433"/>
      <c r="U95" s="429"/>
    </row>
    <row r="96" spans="1:21" ht="35.25" hidden="1" x14ac:dyDescent="0.45">
      <c r="A96" s="437" t="str">
        <f>'Matriz de Pesos e Notas'!A95</f>
        <v>Nome da Atividade 5 da Unidade 5</v>
      </c>
      <c r="B96" s="435">
        <f>'Matriz de Pesos e Notas'!G95</f>
        <v>0</v>
      </c>
      <c r="C96" s="436">
        <f>'Matriz de Pesos e Notas'!H95</f>
        <v>0</v>
      </c>
      <c r="D96" s="435">
        <f>'Matriz de Pesos e Notas'!K95</f>
        <v>0</v>
      </c>
      <c r="E96" s="436">
        <f>'Matriz de Pesos e Notas'!L95</f>
        <v>0</v>
      </c>
      <c r="F96" s="435">
        <f>'Matriz de Pesos e Notas'!N95</f>
        <v>0</v>
      </c>
      <c r="G96" s="436">
        <f>'Matriz de Pesos e Notas'!O95</f>
        <v>0</v>
      </c>
      <c r="H96" s="435">
        <f>'Matriz de Pesos e Notas'!Q95</f>
        <v>0</v>
      </c>
      <c r="I96" s="436">
        <f>'Matriz de Pesos e Notas'!R95</f>
        <v>0</v>
      </c>
      <c r="J96" s="435">
        <f>'Matriz de Pesos e Notas'!T95</f>
        <v>0</v>
      </c>
      <c r="K96" s="436">
        <f>'Matriz de Pesos e Notas'!U95</f>
        <v>0</v>
      </c>
      <c r="L96" s="435">
        <f>'Matriz de Pesos e Notas'!W95</f>
        <v>0</v>
      </c>
      <c r="M96" s="436">
        <f>'Matriz de Pesos e Notas'!X95</f>
        <v>0</v>
      </c>
      <c r="N96" s="435">
        <f>'Matriz de Pesos e Notas'!Z95</f>
        <v>0</v>
      </c>
      <c r="O96" s="436">
        <f>'Matriz de Pesos e Notas'!AA95</f>
        <v>0</v>
      </c>
      <c r="P96" s="435">
        <f>'Matriz de Pesos e Notas'!AC95</f>
        <v>0</v>
      </c>
      <c r="Q96" s="436">
        <f>'Matriz de Pesos e Notas'!AD95</f>
        <v>0</v>
      </c>
      <c r="R96" s="435">
        <f>'Matriz de Pesos e Notas'!AF95</f>
        <v>0</v>
      </c>
      <c r="S96" s="436">
        <f>'Matriz de Pesos e Notas'!AG95</f>
        <v>0</v>
      </c>
      <c r="T96" s="422" t="str">
        <f>'Matriz de Pesos e Notas'!AI95</f>
        <v>Não Imprime</v>
      </c>
      <c r="U96" s="429"/>
    </row>
    <row r="97" spans="1:21" ht="35.25" hidden="1" x14ac:dyDescent="0.45">
      <c r="A97" s="437"/>
      <c r="B97" s="435"/>
      <c r="C97" s="436"/>
      <c r="D97" s="435"/>
      <c r="E97" s="436"/>
      <c r="F97" s="435"/>
      <c r="G97" s="436"/>
      <c r="H97" s="435"/>
      <c r="I97" s="436"/>
      <c r="J97" s="435"/>
      <c r="K97" s="436"/>
      <c r="L97" s="435"/>
      <c r="M97" s="436"/>
      <c r="N97" s="435"/>
      <c r="O97" s="436"/>
      <c r="P97" s="435"/>
      <c r="Q97" s="436"/>
      <c r="R97" s="435"/>
      <c r="S97" s="436"/>
      <c r="T97" s="433"/>
      <c r="U97" s="429"/>
    </row>
    <row r="98" spans="1:21" ht="35.25" hidden="1" x14ac:dyDescent="0.45">
      <c r="A98" s="437" t="str">
        <f>'Matriz de Pesos e Notas'!A97</f>
        <v>Nome da Atividade 6 da Unidade 5</v>
      </c>
      <c r="B98" s="435">
        <f>'Matriz de Pesos e Notas'!G97</f>
        <v>0</v>
      </c>
      <c r="C98" s="436">
        <f>'Matriz de Pesos e Notas'!H97</f>
        <v>0</v>
      </c>
      <c r="D98" s="435">
        <f>'Matriz de Pesos e Notas'!K97</f>
        <v>0</v>
      </c>
      <c r="E98" s="436">
        <f>'Matriz de Pesos e Notas'!L97</f>
        <v>0</v>
      </c>
      <c r="F98" s="435">
        <f>'Matriz de Pesos e Notas'!N97</f>
        <v>0</v>
      </c>
      <c r="G98" s="436">
        <f>'Matriz de Pesos e Notas'!O97</f>
        <v>0</v>
      </c>
      <c r="H98" s="435">
        <f>'Matriz de Pesos e Notas'!Q97</f>
        <v>0</v>
      </c>
      <c r="I98" s="436">
        <f>'Matriz de Pesos e Notas'!R97</f>
        <v>0</v>
      </c>
      <c r="J98" s="435">
        <f>'Matriz de Pesos e Notas'!T97</f>
        <v>0</v>
      </c>
      <c r="K98" s="436">
        <f>'Matriz de Pesos e Notas'!U97</f>
        <v>0</v>
      </c>
      <c r="L98" s="435">
        <f>'Matriz de Pesos e Notas'!W97</f>
        <v>0</v>
      </c>
      <c r="M98" s="436">
        <f>'Matriz de Pesos e Notas'!X97</f>
        <v>0</v>
      </c>
      <c r="N98" s="435">
        <f>'Matriz de Pesos e Notas'!Z97</f>
        <v>0</v>
      </c>
      <c r="O98" s="436">
        <f>'Matriz de Pesos e Notas'!AA97</f>
        <v>0</v>
      </c>
      <c r="P98" s="435">
        <f>'Matriz de Pesos e Notas'!AC97</f>
        <v>0</v>
      </c>
      <c r="Q98" s="436">
        <f>'Matriz de Pesos e Notas'!AD97</f>
        <v>0</v>
      </c>
      <c r="R98" s="435">
        <f>'Matriz de Pesos e Notas'!AF97</f>
        <v>0</v>
      </c>
      <c r="S98" s="436">
        <f>'Matriz de Pesos e Notas'!AG97</f>
        <v>0</v>
      </c>
      <c r="T98" s="422" t="str">
        <f>'Matriz de Pesos e Notas'!AI97</f>
        <v>Não Imprime</v>
      </c>
      <c r="U98" s="429"/>
    </row>
    <row r="99" spans="1:21" ht="35.25" hidden="1" x14ac:dyDescent="0.45">
      <c r="A99" s="437"/>
      <c r="B99" s="435"/>
      <c r="C99" s="436"/>
      <c r="D99" s="435"/>
      <c r="E99" s="436"/>
      <c r="F99" s="435"/>
      <c r="G99" s="436"/>
      <c r="H99" s="435"/>
      <c r="I99" s="436"/>
      <c r="J99" s="435"/>
      <c r="K99" s="436"/>
      <c r="L99" s="435"/>
      <c r="M99" s="436"/>
      <c r="N99" s="435"/>
      <c r="O99" s="436"/>
      <c r="P99" s="435"/>
      <c r="Q99" s="436"/>
      <c r="R99" s="435"/>
      <c r="S99" s="436"/>
      <c r="T99" s="433"/>
      <c r="U99" s="429"/>
    </row>
    <row r="100" spans="1:21" ht="35.25" hidden="1" x14ac:dyDescent="0.45">
      <c r="A100" s="437" t="str">
        <f>'Matriz de Pesos e Notas'!A99</f>
        <v>Nome da Atividade 7 da Unidade 5</v>
      </c>
      <c r="B100" s="435">
        <f>'Matriz de Pesos e Notas'!G99</f>
        <v>0</v>
      </c>
      <c r="C100" s="436">
        <f>'Matriz de Pesos e Notas'!H99</f>
        <v>0</v>
      </c>
      <c r="D100" s="435">
        <f>'Matriz de Pesos e Notas'!K99</f>
        <v>0</v>
      </c>
      <c r="E100" s="436">
        <f>'Matriz de Pesos e Notas'!L99</f>
        <v>0</v>
      </c>
      <c r="F100" s="435">
        <f>'Matriz de Pesos e Notas'!N99</f>
        <v>0</v>
      </c>
      <c r="G100" s="436">
        <f>'Matriz de Pesos e Notas'!O99</f>
        <v>0</v>
      </c>
      <c r="H100" s="435">
        <f>'Matriz de Pesos e Notas'!Q99</f>
        <v>0</v>
      </c>
      <c r="I100" s="436">
        <f>'Matriz de Pesos e Notas'!R99</f>
        <v>0</v>
      </c>
      <c r="J100" s="435">
        <f>'Matriz de Pesos e Notas'!T99</f>
        <v>0</v>
      </c>
      <c r="K100" s="436">
        <f>'Matriz de Pesos e Notas'!U99</f>
        <v>0</v>
      </c>
      <c r="L100" s="435">
        <f>'Matriz de Pesos e Notas'!W99</f>
        <v>0</v>
      </c>
      <c r="M100" s="436">
        <f>'Matriz de Pesos e Notas'!X99</f>
        <v>0</v>
      </c>
      <c r="N100" s="435">
        <f>'Matriz de Pesos e Notas'!Z99</f>
        <v>0</v>
      </c>
      <c r="O100" s="436">
        <f>'Matriz de Pesos e Notas'!AA99</f>
        <v>0</v>
      </c>
      <c r="P100" s="435">
        <f>'Matriz de Pesos e Notas'!AC99</f>
        <v>0</v>
      </c>
      <c r="Q100" s="436">
        <f>'Matriz de Pesos e Notas'!AD99</f>
        <v>0</v>
      </c>
      <c r="R100" s="435">
        <f>'Matriz de Pesos e Notas'!AF99</f>
        <v>0</v>
      </c>
      <c r="S100" s="436">
        <f>'Matriz de Pesos e Notas'!AG99</f>
        <v>0</v>
      </c>
      <c r="T100" s="422" t="str">
        <f>'Matriz de Pesos e Notas'!AI99</f>
        <v>Não Imprime</v>
      </c>
      <c r="U100" s="429"/>
    </row>
    <row r="101" spans="1:21" ht="35.25" hidden="1" x14ac:dyDescent="0.45">
      <c r="A101" s="438"/>
      <c r="B101" s="439"/>
      <c r="C101" s="440"/>
      <c r="D101" s="439"/>
      <c r="E101" s="440"/>
      <c r="F101" s="439"/>
      <c r="G101" s="440"/>
      <c r="H101" s="439"/>
      <c r="I101" s="440"/>
      <c r="J101" s="439"/>
      <c r="K101" s="440"/>
      <c r="L101" s="439"/>
      <c r="M101" s="440"/>
      <c r="N101" s="439"/>
      <c r="O101" s="440"/>
      <c r="P101" s="439"/>
      <c r="Q101" s="440"/>
      <c r="R101" s="439"/>
      <c r="S101" s="440"/>
      <c r="T101" s="433"/>
      <c r="U101" s="429"/>
    </row>
    <row r="102" spans="1:21" ht="35.25" hidden="1" x14ac:dyDescent="0.45">
      <c r="A102" s="453" t="str">
        <f>'Matriz de Pesos e Notas'!A101</f>
        <v>Asset Management</v>
      </c>
      <c r="B102" s="427"/>
      <c r="C102" s="428"/>
      <c r="D102" s="427"/>
      <c r="E102" s="428"/>
      <c r="F102" s="427"/>
      <c r="G102" s="428"/>
      <c r="H102" s="427"/>
      <c r="I102" s="428"/>
      <c r="J102" s="427"/>
      <c r="K102" s="428"/>
      <c r="L102" s="427"/>
      <c r="M102" s="428"/>
      <c r="N102" s="427"/>
      <c r="O102" s="428"/>
      <c r="P102" s="427"/>
      <c r="Q102" s="428"/>
      <c r="R102" s="427"/>
      <c r="S102" s="428"/>
      <c r="T102" s="422" t="str">
        <f>IF('Digitar aqui Notas e Pesos'!C105,"Imprime",IF('Digitar aqui Notas e Pesos'!C101,IF('Digitar aqui Notas e Pesos'!A101&lt;&gt;'Digitar aqui Notas e Pesos'!A103,"Imprime",""),""))</f>
        <v/>
      </c>
      <c r="U102" s="429"/>
    </row>
    <row r="103" spans="1:21" ht="35.25" hidden="1" x14ac:dyDescent="0.45">
      <c r="A103" s="430"/>
      <c r="B103" s="431"/>
      <c r="C103" s="432"/>
      <c r="D103" s="431"/>
      <c r="E103" s="432"/>
      <c r="F103" s="431"/>
      <c r="G103" s="432"/>
      <c r="H103" s="431"/>
      <c r="I103" s="432"/>
      <c r="J103" s="431"/>
      <c r="K103" s="432"/>
      <c r="L103" s="431"/>
      <c r="M103" s="432"/>
      <c r="N103" s="431"/>
      <c r="O103" s="432"/>
      <c r="P103" s="431"/>
      <c r="Q103" s="432"/>
      <c r="R103" s="431"/>
      <c r="S103" s="432"/>
      <c r="T103" s="433"/>
      <c r="U103" s="429"/>
    </row>
    <row r="104" spans="1:21" ht="35.25" x14ac:dyDescent="0.45">
      <c r="A104" s="434" t="str">
        <f>'Matriz de Pesos e Notas'!A103</f>
        <v>Asset Management</v>
      </c>
      <c r="B104" s="435">
        <f>'Matriz de Pesos e Notas'!G103</f>
        <v>0</v>
      </c>
      <c r="C104" s="436">
        <f>'Matriz de Pesos e Notas'!H103</f>
        <v>0</v>
      </c>
      <c r="D104" s="435">
        <f>'Matriz de Pesos e Notas'!K103</f>
        <v>0</v>
      </c>
      <c r="E104" s="436">
        <f>'Matriz de Pesos e Notas'!L103</f>
        <v>0</v>
      </c>
      <c r="F104" s="435">
        <f>'Matriz de Pesos e Notas'!N103</f>
        <v>0</v>
      </c>
      <c r="G104" s="436">
        <f>'Matriz de Pesos e Notas'!O103</f>
        <v>0</v>
      </c>
      <c r="H104" s="435">
        <f>'Matriz de Pesos e Notas'!Q103</f>
        <v>2</v>
      </c>
      <c r="I104" s="436">
        <f>'Matriz de Pesos e Notas'!R103</f>
        <v>1</v>
      </c>
      <c r="J104" s="435">
        <f>'Matriz de Pesos e Notas'!T103</f>
        <v>0</v>
      </c>
      <c r="K104" s="436">
        <f>'Matriz de Pesos e Notas'!U103</f>
        <v>0</v>
      </c>
      <c r="L104" s="435">
        <f>'Matriz de Pesos e Notas'!W103</f>
        <v>0</v>
      </c>
      <c r="M104" s="436">
        <f>'Matriz de Pesos e Notas'!X103</f>
        <v>0</v>
      </c>
      <c r="N104" s="435">
        <f>'Matriz de Pesos e Notas'!Z103</f>
        <v>0</v>
      </c>
      <c r="O104" s="436">
        <f>'Matriz de Pesos e Notas'!AA103</f>
        <v>0</v>
      </c>
      <c r="P104" s="435">
        <f>'Matriz de Pesos e Notas'!AC103</f>
        <v>0</v>
      </c>
      <c r="Q104" s="436">
        <f>'Matriz de Pesos e Notas'!AD103</f>
        <v>0</v>
      </c>
      <c r="R104" s="435">
        <f>'Matriz de Pesos e Notas'!AF103</f>
        <v>0</v>
      </c>
      <c r="S104" s="436">
        <f>'Matriz de Pesos e Notas'!AG103</f>
        <v>0</v>
      </c>
      <c r="T104" s="422" t="str">
        <f>'Matriz de Pesos e Notas'!AI103</f>
        <v>Imprime</v>
      </c>
      <c r="U104" s="429"/>
    </row>
    <row r="105" spans="1:21" ht="35.25" hidden="1" x14ac:dyDescent="0.45">
      <c r="A105" s="437"/>
      <c r="B105" s="435"/>
      <c r="C105" s="436"/>
      <c r="D105" s="435"/>
      <c r="E105" s="436"/>
      <c r="F105" s="435"/>
      <c r="G105" s="436"/>
      <c r="H105" s="435"/>
      <c r="I105" s="436"/>
      <c r="J105" s="435"/>
      <c r="K105" s="436"/>
      <c r="L105" s="435"/>
      <c r="M105" s="436"/>
      <c r="N105" s="435"/>
      <c r="O105" s="436"/>
      <c r="P105" s="435"/>
      <c r="Q105" s="436"/>
      <c r="R105" s="435"/>
      <c r="S105" s="436"/>
      <c r="T105" s="433"/>
      <c r="U105" s="429"/>
    </row>
    <row r="106" spans="1:21" ht="35.25" hidden="1" x14ac:dyDescent="0.45">
      <c r="A106" s="437" t="str">
        <f>'Matriz de Pesos e Notas'!A105</f>
        <v>Nome da Atividade 2 da Unidade 6</v>
      </c>
      <c r="B106" s="435">
        <f>'Matriz de Pesos e Notas'!G105</f>
        <v>0</v>
      </c>
      <c r="C106" s="436">
        <f>'Matriz de Pesos e Notas'!H105</f>
        <v>0</v>
      </c>
      <c r="D106" s="435">
        <f>'Matriz de Pesos e Notas'!K105</f>
        <v>0</v>
      </c>
      <c r="E106" s="436">
        <f>'Matriz de Pesos e Notas'!L105</f>
        <v>0</v>
      </c>
      <c r="F106" s="435">
        <f>'Matriz de Pesos e Notas'!N105</f>
        <v>0</v>
      </c>
      <c r="G106" s="436">
        <f>'Matriz de Pesos e Notas'!O105</f>
        <v>0</v>
      </c>
      <c r="H106" s="435">
        <f>'Matriz de Pesos e Notas'!Q105</f>
        <v>0</v>
      </c>
      <c r="I106" s="436">
        <f>'Matriz de Pesos e Notas'!R105</f>
        <v>0</v>
      </c>
      <c r="J106" s="435">
        <f>'Matriz de Pesos e Notas'!T105</f>
        <v>0</v>
      </c>
      <c r="K106" s="436">
        <f>'Matriz de Pesos e Notas'!U105</f>
        <v>0</v>
      </c>
      <c r="L106" s="435">
        <f>'Matriz de Pesos e Notas'!W105</f>
        <v>0</v>
      </c>
      <c r="M106" s="436">
        <f>'Matriz de Pesos e Notas'!X105</f>
        <v>0</v>
      </c>
      <c r="N106" s="435">
        <f>'Matriz de Pesos e Notas'!Z105</f>
        <v>0</v>
      </c>
      <c r="O106" s="436">
        <f>'Matriz de Pesos e Notas'!AA105</f>
        <v>0</v>
      </c>
      <c r="P106" s="435">
        <f>'Matriz de Pesos e Notas'!AC105</f>
        <v>0</v>
      </c>
      <c r="Q106" s="436">
        <f>'Matriz de Pesos e Notas'!AD105</f>
        <v>0</v>
      </c>
      <c r="R106" s="435">
        <f>'Matriz de Pesos e Notas'!AF105</f>
        <v>0</v>
      </c>
      <c r="S106" s="436">
        <f>'Matriz de Pesos e Notas'!AG105</f>
        <v>0</v>
      </c>
      <c r="T106" s="422" t="str">
        <f>'Matriz de Pesos e Notas'!AI105</f>
        <v>Não Imprime</v>
      </c>
      <c r="U106" s="429"/>
    </row>
    <row r="107" spans="1:21" ht="35.25" hidden="1" x14ac:dyDescent="0.45">
      <c r="A107" s="437"/>
      <c r="B107" s="435"/>
      <c r="C107" s="436"/>
      <c r="D107" s="435"/>
      <c r="E107" s="436"/>
      <c r="F107" s="435"/>
      <c r="G107" s="436"/>
      <c r="H107" s="435"/>
      <c r="I107" s="436"/>
      <c r="J107" s="435"/>
      <c r="K107" s="436"/>
      <c r="L107" s="435"/>
      <c r="M107" s="436"/>
      <c r="N107" s="435"/>
      <c r="O107" s="436"/>
      <c r="P107" s="435"/>
      <c r="Q107" s="436"/>
      <c r="R107" s="435"/>
      <c r="S107" s="436"/>
      <c r="T107" s="433"/>
      <c r="U107" s="429"/>
    </row>
    <row r="108" spans="1:21" ht="35.25" hidden="1" x14ac:dyDescent="0.45">
      <c r="A108" s="437" t="str">
        <f>'Matriz de Pesos e Notas'!A107</f>
        <v>Nome da Atividade 3 da Unidade 6</v>
      </c>
      <c r="B108" s="435">
        <f>'Matriz de Pesos e Notas'!G107</f>
        <v>0</v>
      </c>
      <c r="C108" s="436">
        <f>'Matriz de Pesos e Notas'!H107</f>
        <v>0</v>
      </c>
      <c r="D108" s="435">
        <f>'Matriz de Pesos e Notas'!K107</f>
        <v>0</v>
      </c>
      <c r="E108" s="436">
        <f>'Matriz de Pesos e Notas'!L107</f>
        <v>0</v>
      </c>
      <c r="F108" s="435">
        <f>'Matriz de Pesos e Notas'!N107</f>
        <v>0</v>
      </c>
      <c r="G108" s="436">
        <f>'Matriz de Pesos e Notas'!O107</f>
        <v>0</v>
      </c>
      <c r="H108" s="435">
        <f>'Matriz de Pesos e Notas'!Q107</f>
        <v>0</v>
      </c>
      <c r="I108" s="436">
        <f>'Matriz de Pesos e Notas'!R107</f>
        <v>0</v>
      </c>
      <c r="J108" s="435">
        <f>'Matriz de Pesos e Notas'!T107</f>
        <v>0</v>
      </c>
      <c r="K108" s="436">
        <f>'Matriz de Pesos e Notas'!U107</f>
        <v>0</v>
      </c>
      <c r="L108" s="435">
        <f>'Matriz de Pesos e Notas'!W107</f>
        <v>0</v>
      </c>
      <c r="M108" s="436">
        <f>'Matriz de Pesos e Notas'!X107</f>
        <v>0</v>
      </c>
      <c r="N108" s="435">
        <f>'Matriz de Pesos e Notas'!Z107</f>
        <v>0</v>
      </c>
      <c r="O108" s="436">
        <f>'Matriz de Pesos e Notas'!AA107</f>
        <v>0</v>
      </c>
      <c r="P108" s="435">
        <f>'Matriz de Pesos e Notas'!AC107</f>
        <v>0</v>
      </c>
      <c r="Q108" s="436">
        <f>'Matriz de Pesos e Notas'!AD107</f>
        <v>0</v>
      </c>
      <c r="R108" s="435">
        <f>'Matriz de Pesos e Notas'!AF107</f>
        <v>0</v>
      </c>
      <c r="S108" s="436">
        <f>'Matriz de Pesos e Notas'!AG107</f>
        <v>0</v>
      </c>
      <c r="T108" s="422" t="str">
        <f>'Matriz de Pesos e Notas'!AI107</f>
        <v>Não Imprime</v>
      </c>
      <c r="U108" s="429"/>
    </row>
    <row r="109" spans="1:21" ht="35.25" hidden="1" x14ac:dyDescent="0.45">
      <c r="A109" s="437"/>
      <c r="B109" s="435"/>
      <c r="C109" s="436"/>
      <c r="D109" s="435"/>
      <c r="E109" s="436"/>
      <c r="F109" s="435"/>
      <c r="G109" s="436"/>
      <c r="H109" s="435"/>
      <c r="I109" s="436"/>
      <c r="J109" s="435"/>
      <c r="K109" s="436"/>
      <c r="L109" s="435"/>
      <c r="M109" s="436"/>
      <c r="N109" s="435"/>
      <c r="O109" s="436"/>
      <c r="P109" s="435"/>
      <c r="Q109" s="436"/>
      <c r="R109" s="435"/>
      <c r="S109" s="436"/>
      <c r="T109" s="433"/>
      <c r="U109" s="429"/>
    </row>
    <row r="110" spans="1:21" ht="35.25" hidden="1" x14ac:dyDescent="0.45">
      <c r="A110" s="437" t="str">
        <f>'Matriz de Pesos e Notas'!A109</f>
        <v>Nome da Atividade 4 da Unidade 6</v>
      </c>
      <c r="B110" s="435">
        <f>'Matriz de Pesos e Notas'!G109</f>
        <v>0</v>
      </c>
      <c r="C110" s="436">
        <f>'Matriz de Pesos e Notas'!H109</f>
        <v>0</v>
      </c>
      <c r="D110" s="435">
        <f>'Matriz de Pesos e Notas'!K109</f>
        <v>0</v>
      </c>
      <c r="E110" s="436">
        <f>'Matriz de Pesos e Notas'!L109</f>
        <v>0</v>
      </c>
      <c r="F110" s="435">
        <f>'Matriz de Pesos e Notas'!N109</f>
        <v>0</v>
      </c>
      <c r="G110" s="436">
        <f>'Matriz de Pesos e Notas'!O109</f>
        <v>0</v>
      </c>
      <c r="H110" s="435">
        <f>'Matriz de Pesos e Notas'!Q109</f>
        <v>0</v>
      </c>
      <c r="I110" s="436">
        <f>'Matriz de Pesos e Notas'!R109</f>
        <v>0</v>
      </c>
      <c r="J110" s="435">
        <f>'Matriz de Pesos e Notas'!T109</f>
        <v>0</v>
      </c>
      <c r="K110" s="436">
        <f>'Matriz de Pesos e Notas'!U109</f>
        <v>0</v>
      </c>
      <c r="L110" s="435">
        <f>'Matriz de Pesos e Notas'!W109</f>
        <v>0</v>
      </c>
      <c r="M110" s="436">
        <f>'Matriz de Pesos e Notas'!X109</f>
        <v>0</v>
      </c>
      <c r="N110" s="435">
        <f>'Matriz de Pesos e Notas'!Z109</f>
        <v>0</v>
      </c>
      <c r="O110" s="436">
        <f>'Matriz de Pesos e Notas'!AA109</f>
        <v>0</v>
      </c>
      <c r="P110" s="435">
        <f>'Matriz de Pesos e Notas'!AC109</f>
        <v>0</v>
      </c>
      <c r="Q110" s="436">
        <f>'Matriz de Pesos e Notas'!AD109</f>
        <v>0</v>
      </c>
      <c r="R110" s="435">
        <f>'Matriz de Pesos e Notas'!AF109</f>
        <v>0</v>
      </c>
      <c r="S110" s="436">
        <f>'Matriz de Pesos e Notas'!AG109</f>
        <v>0</v>
      </c>
      <c r="T110" s="422" t="str">
        <f>'Matriz de Pesos e Notas'!AI109</f>
        <v>Não Imprime</v>
      </c>
      <c r="U110" s="429"/>
    </row>
    <row r="111" spans="1:21" ht="35.25" hidden="1" x14ac:dyDescent="0.45">
      <c r="A111" s="437"/>
      <c r="B111" s="435"/>
      <c r="C111" s="436"/>
      <c r="D111" s="435"/>
      <c r="E111" s="436"/>
      <c r="F111" s="435"/>
      <c r="G111" s="436"/>
      <c r="H111" s="435"/>
      <c r="I111" s="436"/>
      <c r="J111" s="435"/>
      <c r="K111" s="436"/>
      <c r="L111" s="435"/>
      <c r="M111" s="436"/>
      <c r="N111" s="435"/>
      <c r="O111" s="436"/>
      <c r="P111" s="435"/>
      <c r="Q111" s="436"/>
      <c r="R111" s="435"/>
      <c r="S111" s="436"/>
      <c r="T111" s="433"/>
      <c r="U111" s="429"/>
    </row>
    <row r="112" spans="1:21" ht="35.25" hidden="1" x14ac:dyDescent="0.45">
      <c r="A112" s="437" t="str">
        <f>'Matriz de Pesos e Notas'!A111</f>
        <v>Nome da Atividade 5 da Unidade 6</v>
      </c>
      <c r="B112" s="435">
        <f>'Matriz de Pesos e Notas'!G111</f>
        <v>0</v>
      </c>
      <c r="C112" s="436">
        <f>'Matriz de Pesos e Notas'!H111</f>
        <v>0</v>
      </c>
      <c r="D112" s="435">
        <f>'Matriz de Pesos e Notas'!K111</f>
        <v>0</v>
      </c>
      <c r="E112" s="436">
        <f>'Matriz de Pesos e Notas'!L111</f>
        <v>0</v>
      </c>
      <c r="F112" s="435">
        <f>'Matriz de Pesos e Notas'!N111</f>
        <v>0</v>
      </c>
      <c r="G112" s="436">
        <f>'Matriz de Pesos e Notas'!O111</f>
        <v>0</v>
      </c>
      <c r="H112" s="435">
        <f>'Matriz de Pesos e Notas'!Q111</f>
        <v>0</v>
      </c>
      <c r="I112" s="436">
        <f>'Matriz de Pesos e Notas'!R111</f>
        <v>0</v>
      </c>
      <c r="J112" s="435">
        <f>'Matriz de Pesos e Notas'!T111</f>
        <v>0</v>
      </c>
      <c r="K112" s="436">
        <f>'Matriz de Pesos e Notas'!U111</f>
        <v>0</v>
      </c>
      <c r="L112" s="435">
        <f>'Matriz de Pesos e Notas'!W111</f>
        <v>0</v>
      </c>
      <c r="M112" s="436">
        <f>'Matriz de Pesos e Notas'!X111</f>
        <v>0</v>
      </c>
      <c r="N112" s="435">
        <f>'Matriz de Pesos e Notas'!Z111</f>
        <v>0</v>
      </c>
      <c r="O112" s="436">
        <f>'Matriz de Pesos e Notas'!AA111</f>
        <v>0</v>
      </c>
      <c r="P112" s="435">
        <f>'Matriz de Pesos e Notas'!AC111</f>
        <v>0</v>
      </c>
      <c r="Q112" s="436">
        <f>'Matriz de Pesos e Notas'!AD111</f>
        <v>0</v>
      </c>
      <c r="R112" s="435">
        <f>'Matriz de Pesos e Notas'!AF111</f>
        <v>0</v>
      </c>
      <c r="S112" s="436">
        <f>'Matriz de Pesos e Notas'!AG111</f>
        <v>0</v>
      </c>
      <c r="T112" s="422" t="str">
        <f>'Matriz de Pesos e Notas'!AI111</f>
        <v>Não Imprime</v>
      </c>
      <c r="U112" s="429"/>
    </row>
    <row r="113" spans="1:21" ht="35.25" hidden="1" x14ac:dyDescent="0.45">
      <c r="A113" s="437"/>
      <c r="B113" s="435"/>
      <c r="C113" s="436"/>
      <c r="D113" s="435"/>
      <c r="E113" s="436"/>
      <c r="F113" s="435"/>
      <c r="G113" s="436"/>
      <c r="H113" s="435"/>
      <c r="I113" s="436"/>
      <c r="J113" s="435"/>
      <c r="K113" s="436"/>
      <c r="L113" s="435"/>
      <c r="M113" s="436"/>
      <c r="N113" s="435"/>
      <c r="O113" s="436"/>
      <c r="P113" s="435"/>
      <c r="Q113" s="436"/>
      <c r="R113" s="435"/>
      <c r="S113" s="436"/>
      <c r="T113" s="433"/>
      <c r="U113" s="429"/>
    </row>
    <row r="114" spans="1:21" ht="35.25" hidden="1" x14ac:dyDescent="0.45">
      <c r="A114" s="437" t="str">
        <f>'Matriz de Pesos e Notas'!A113</f>
        <v>Nome da Atividade 6 da Unidade 6</v>
      </c>
      <c r="B114" s="435">
        <f>'Matriz de Pesos e Notas'!G113</f>
        <v>0</v>
      </c>
      <c r="C114" s="436">
        <f>'Matriz de Pesos e Notas'!H113</f>
        <v>0</v>
      </c>
      <c r="D114" s="435">
        <f>'Matriz de Pesos e Notas'!K113</f>
        <v>0</v>
      </c>
      <c r="E114" s="436">
        <f>'Matriz de Pesos e Notas'!L113</f>
        <v>0</v>
      </c>
      <c r="F114" s="435">
        <f>'Matriz de Pesos e Notas'!N113</f>
        <v>0</v>
      </c>
      <c r="G114" s="436">
        <f>'Matriz de Pesos e Notas'!O113</f>
        <v>0</v>
      </c>
      <c r="H114" s="435">
        <f>'Matriz de Pesos e Notas'!Q113</f>
        <v>0</v>
      </c>
      <c r="I114" s="436">
        <f>'Matriz de Pesos e Notas'!R113</f>
        <v>0</v>
      </c>
      <c r="J114" s="435">
        <f>'Matriz de Pesos e Notas'!T113</f>
        <v>0</v>
      </c>
      <c r="K114" s="436">
        <f>'Matriz de Pesos e Notas'!U113</f>
        <v>0</v>
      </c>
      <c r="L114" s="435">
        <f>'Matriz de Pesos e Notas'!W113</f>
        <v>0</v>
      </c>
      <c r="M114" s="436">
        <f>'Matriz de Pesos e Notas'!X113</f>
        <v>0</v>
      </c>
      <c r="N114" s="435">
        <f>'Matriz de Pesos e Notas'!Z113</f>
        <v>0</v>
      </c>
      <c r="O114" s="436">
        <f>'Matriz de Pesos e Notas'!AA113</f>
        <v>0</v>
      </c>
      <c r="P114" s="435">
        <f>'Matriz de Pesos e Notas'!AC113</f>
        <v>0</v>
      </c>
      <c r="Q114" s="436">
        <f>'Matriz de Pesos e Notas'!AD113</f>
        <v>0</v>
      </c>
      <c r="R114" s="435">
        <f>'Matriz de Pesos e Notas'!AF113</f>
        <v>0</v>
      </c>
      <c r="S114" s="436">
        <f>'Matriz de Pesos e Notas'!AG113</f>
        <v>0</v>
      </c>
      <c r="T114" s="422" t="str">
        <f>'Matriz de Pesos e Notas'!AI113</f>
        <v>Não Imprime</v>
      </c>
      <c r="U114" s="429"/>
    </row>
    <row r="115" spans="1:21" ht="35.25" hidden="1" x14ac:dyDescent="0.45">
      <c r="A115" s="437"/>
      <c r="B115" s="435"/>
      <c r="C115" s="436"/>
      <c r="D115" s="435"/>
      <c r="E115" s="436"/>
      <c r="F115" s="435"/>
      <c r="G115" s="436"/>
      <c r="H115" s="435"/>
      <c r="I115" s="436"/>
      <c r="J115" s="435"/>
      <c r="K115" s="436"/>
      <c r="L115" s="435"/>
      <c r="M115" s="436"/>
      <c r="N115" s="435"/>
      <c r="O115" s="436"/>
      <c r="P115" s="435"/>
      <c r="Q115" s="436"/>
      <c r="R115" s="435"/>
      <c r="S115" s="436"/>
      <c r="T115" s="433"/>
      <c r="U115" s="429"/>
    </row>
    <row r="116" spans="1:21" ht="35.25" hidden="1" x14ac:dyDescent="0.45">
      <c r="A116" s="437" t="str">
        <f>'Matriz de Pesos e Notas'!A115</f>
        <v>Nome da Atividade 7 da Unidade 6</v>
      </c>
      <c r="B116" s="435">
        <f>'Matriz de Pesos e Notas'!G115</f>
        <v>0</v>
      </c>
      <c r="C116" s="436">
        <f>'Matriz de Pesos e Notas'!H115</f>
        <v>0</v>
      </c>
      <c r="D116" s="435">
        <f>'Matriz de Pesos e Notas'!K115</f>
        <v>0</v>
      </c>
      <c r="E116" s="436">
        <f>'Matriz de Pesos e Notas'!L115</f>
        <v>0</v>
      </c>
      <c r="F116" s="435">
        <f>'Matriz de Pesos e Notas'!N115</f>
        <v>0</v>
      </c>
      <c r="G116" s="436">
        <f>'Matriz de Pesos e Notas'!O115</f>
        <v>0</v>
      </c>
      <c r="H116" s="435">
        <f>'Matriz de Pesos e Notas'!Q115</f>
        <v>0</v>
      </c>
      <c r="I116" s="436">
        <f>'Matriz de Pesos e Notas'!R115</f>
        <v>0</v>
      </c>
      <c r="J116" s="435">
        <f>'Matriz de Pesos e Notas'!T115</f>
        <v>0</v>
      </c>
      <c r="K116" s="436">
        <f>'Matriz de Pesos e Notas'!U115</f>
        <v>0</v>
      </c>
      <c r="L116" s="435">
        <f>'Matriz de Pesos e Notas'!W115</f>
        <v>0</v>
      </c>
      <c r="M116" s="436">
        <f>'Matriz de Pesos e Notas'!X115</f>
        <v>0</v>
      </c>
      <c r="N116" s="435">
        <f>'Matriz de Pesos e Notas'!Z115</f>
        <v>0</v>
      </c>
      <c r="O116" s="436">
        <f>'Matriz de Pesos e Notas'!AA115</f>
        <v>0</v>
      </c>
      <c r="P116" s="435">
        <f>'Matriz de Pesos e Notas'!AC115</f>
        <v>0</v>
      </c>
      <c r="Q116" s="436">
        <f>'Matriz de Pesos e Notas'!AD115</f>
        <v>0</v>
      </c>
      <c r="R116" s="435">
        <f>'Matriz de Pesos e Notas'!AF115</f>
        <v>0</v>
      </c>
      <c r="S116" s="436">
        <f>'Matriz de Pesos e Notas'!AG115</f>
        <v>0</v>
      </c>
      <c r="T116" s="422" t="str">
        <f>'Matriz de Pesos e Notas'!AI115</f>
        <v>Não Imprime</v>
      </c>
      <c r="U116" s="429"/>
    </row>
    <row r="117" spans="1:21" ht="35.25" hidden="1" x14ac:dyDescent="0.45">
      <c r="A117" s="438"/>
      <c r="B117" s="439"/>
      <c r="C117" s="440"/>
      <c r="D117" s="439"/>
      <c r="E117" s="440"/>
      <c r="F117" s="439"/>
      <c r="G117" s="440"/>
      <c r="H117" s="439"/>
      <c r="I117" s="440"/>
      <c r="J117" s="439"/>
      <c r="K117" s="440"/>
      <c r="L117" s="439"/>
      <c r="M117" s="440"/>
      <c r="N117" s="439"/>
      <c r="O117" s="440"/>
      <c r="P117" s="439"/>
      <c r="Q117" s="440"/>
      <c r="R117" s="439"/>
      <c r="S117" s="440"/>
      <c r="T117" s="433"/>
      <c r="U117" s="429"/>
    </row>
    <row r="118" spans="1:21" ht="35.25" hidden="1" x14ac:dyDescent="0.45">
      <c r="A118" s="453" t="str">
        <f>'Matriz de Pesos e Notas'!A117</f>
        <v>Nome da Unidade 8</v>
      </c>
      <c r="B118" s="427"/>
      <c r="C118" s="428"/>
      <c r="D118" s="427"/>
      <c r="E118" s="428"/>
      <c r="F118" s="427"/>
      <c r="G118" s="428"/>
      <c r="H118" s="427"/>
      <c r="I118" s="428"/>
      <c r="J118" s="427"/>
      <c r="K118" s="428"/>
      <c r="L118" s="427"/>
      <c r="M118" s="428"/>
      <c r="N118" s="427"/>
      <c r="O118" s="428"/>
      <c r="P118" s="427"/>
      <c r="Q118" s="428"/>
      <c r="R118" s="427"/>
      <c r="S118" s="428"/>
      <c r="T118" s="422" t="str">
        <f>IF('Digitar aqui Notas e Pesos'!C121,"Imprime","")</f>
        <v/>
      </c>
      <c r="U118" s="429"/>
    </row>
    <row r="119" spans="1:21" ht="35.25" hidden="1" x14ac:dyDescent="0.45">
      <c r="A119" s="430"/>
      <c r="B119" s="431"/>
      <c r="C119" s="432"/>
      <c r="D119" s="431"/>
      <c r="E119" s="432"/>
      <c r="F119" s="431"/>
      <c r="G119" s="432"/>
      <c r="H119" s="431"/>
      <c r="I119" s="432"/>
      <c r="J119" s="431"/>
      <c r="K119" s="432"/>
      <c r="L119" s="431"/>
      <c r="M119" s="432"/>
      <c r="N119" s="431"/>
      <c r="O119" s="432"/>
      <c r="P119" s="431"/>
      <c r="Q119" s="432"/>
      <c r="R119" s="431"/>
      <c r="S119" s="432"/>
      <c r="T119" s="433"/>
      <c r="U119" s="429"/>
    </row>
    <row r="120" spans="1:21" ht="35.25" hidden="1" x14ac:dyDescent="0.45">
      <c r="A120" s="434" t="str">
        <f>'Matriz de Pesos e Notas'!A119</f>
        <v>Nome da Atividade 1 da Unidade 8</v>
      </c>
      <c r="B120" s="435">
        <f>'Matriz de Pesos e Notas'!G119</f>
        <v>0</v>
      </c>
      <c r="C120" s="436">
        <f>'Matriz de Pesos e Notas'!H119</f>
        <v>0</v>
      </c>
      <c r="D120" s="435">
        <f>'Matriz de Pesos e Notas'!K119</f>
        <v>0</v>
      </c>
      <c r="E120" s="436">
        <f>'Matriz de Pesos e Notas'!L119</f>
        <v>0</v>
      </c>
      <c r="F120" s="435">
        <f>'Matriz de Pesos e Notas'!N119</f>
        <v>0</v>
      </c>
      <c r="G120" s="436">
        <f>'Matriz de Pesos e Notas'!O119</f>
        <v>0</v>
      </c>
      <c r="H120" s="435">
        <f>'Matriz de Pesos e Notas'!Q119</f>
        <v>0</v>
      </c>
      <c r="I120" s="436">
        <f>'Matriz de Pesos e Notas'!R119</f>
        <v>0</v>
      </c>
      <c r="J120" s="435">
        <f>'Matriz de Pesos e Notas'!T119</f>
        <v>0</v>
      </c>
      <c r="K120" s="436">
        <f>'Matriz de Pesos e Notas'!U119</f>
        <v>0</v>
      </c>
      <c r="L120" s="435">
        <f>'Matriz de Pesos e Notas'!W119</f>
        <v>0</v>
      </c>
      <c r="M120" s="436">
        <f>'Matriz de Pesos e Notas'!X119</f>
        <v>0</v>
      </c>
      <c r="N120" s="435">
        <f>'Matriz de Pesos e Notas'!Z119</f>
        <v>0</v>
      </c>
      <c r="O120" s="436">
        <f>'Matriz de Pesos e Notas'!AA119</f>
        <v>0</v>
      </c>
      <c r="P120" s="435">
        <f>'Matriz de Pesos e Notas'!AC119</f>
        <v>0</v>
      </c>
      <c r="Q120" s="436">
        <f>'Matriz de Pesos e Notas'!AD119</f>
        <v>0</v>
      </c>
      <c r="R120" s="435">
        <f>'Matriz de Pesos e Notas'!AF119</f>
        <v>0</v>
      </c>
      <c r="S120" s="436">
        <f>'Matriz de Pesos e Notas'!AG119</f>
        <v>0</v>
      </c>
      <c r="T120" s="422" t="str">
        <f>'Matriz de Pesos e Notas'!AI119</f>
        <v>Não Imprime</v>
      </c>
      <c r="U120" s="429"/>
    </row>
    <row r="121" spans="1:21" ht="35.25" hidden="1" x14ac:dyDescent="0.45">
      <c r="A121" s="437"/>
      <c r="B121" s="435"/>
      <c r="C121" s="436"/>
      <c r="D121" s="435"/>
      <c r="E121" s="436"/>
      <c r="F121" s="435"/>
      <c r="G121" s="436"/>
      <c r="H121" s="435"/>
      <c r="I121" s="436"/>
      <c r="J121" s="435"/>
      <c r="K121" s="436"/>
      <c r="L121" s="435"/>
      <c r="M121" s="436"/>
      <c r="N121" s="435"/>
      <c r="O121" s="436"/>
      <c r="P121" s="435"/>
      <c r="Q121" s="436"/>
      <c r="R121" s="435"/>
      <c r="S121" s="436"/>
      <c r="T121" s="433"/>
      <c r="U121" s="429"/>
    </row>
    <row r="122" spans="1:21" ht="35.25" hidden="1" x14ac:dyDescent="0.45">
      <c r="A122" s="437" t="str">
        <f>'Matriz de Pesos e Notas'!A121</f>
        <v>Nome da Atividade 2 da Unidade 7</v>
      </c>
      <c r="B122" s="435">
        <f>'Matriz de Pesos e Notas'!G121</f>
        <v>0</v>
      </c>
      <c r="C122" s="436">
        <f>'Matriz de Pesos e Notas'!H121</f>
        <v>0</v>
      </c>
      <c r="D122" s="435">
        <f>'Matriz de Pesos e Notas'!K121</f>
        <v>0</v>
      </c>
      <c r="E122" s="436">
        <f>'Matriz de Pesos e Notas'!L121</f>
        <v>0</v>
      </c>
      <c r="F122" s="435">
        <f>'Matriz de Pesos e Notas'!N121</f>
        <v>0</v>
      </c>
      <c r="G122" s="436">
        <f>'Matriz de Pesos e Notas'!O121</f>
        <v>0</v>
      </c>
      <c r="H122" s="435">
        <f>'Matriz de Pesos e Notas'!Q121</f>
        <v>0</v>
      </c>
      <c r="I122" s="436">
        <f>'Matriz de Pesos e Notas'!R121</f>
        <v>0</v>
      </c>
      <c r="J122" s="435">
        <f>'Matriz de Pesos e Notas'!T121</f>
        <v>0</v>
      </c>
      <c r="K122" s="436">
        <f>'Matriz de Pesos e Notas'!U121</f>
        <v>0</v>
      </c>
      <c r="L122" s="435">
        <f>'Matriz de Pesos e Notas'!W121</f>
        <v>0</v>
      </c>
      <c r="M122" s="436">
        <f>'Matriz de Pesos e Notas'!X121</f>
        <v>0</v>
      </c>
      <c r="N122" s="435">
        <f>'Matriz de Pesos e Notas'!Z121</f>
        <v>0</v>
      </c>
      <c r="O122" s="436">
        <f>'Matriz de Pesos e Notas'!AA121</f>
        <v>0</v>
      </c>
      <c r="P122" s="435">
        <f>'Matriz de Pesos e Notas'!AC121</f>
        <v>0</v>
      </c>
      <c r="Q122" s="436">
        <f>'Matriz de Pesos e Notas'!AD121</f>
        <v>0</v>
      </c>
      <c r="R122" s="435">
        <f>'Matriz de Pesos e Notas'!AF121</f>
        <v>0</v>
      </c>
      <c r="S122" s="436">
        <f>'Matriz de Pesos e Notas'!AG121</f>
        <v>0</v>
      </c>
      <c r="T122" s="422" t="str">
        <f>'Matriz de Pesos e Notas'!AI121</f>
        <v>Não Imprime</v>
      </c>
      <c r="U122" s="429"/>
    </row>
    <row r="123" spans="1:21" ht="35.25" hidden="1" x14ac:dyDescent="0.45">
      <c r="A123" s="437"/>
      <c r="B123" s="435"/>
      <c r="C123" s="436"/>
      <c r="D123" s="435"/>
      <c r="E123" s="436"/>
      <c r="F123" s="435"/>
      <c r="G123" s="436"/>
      <c r="H123" s="435"/>
      <c r="I123" s="436"/>
      <c r="J123" s="435"/>
      <c r="K123" s="436"/>
      <c r="L123" s="435"/>
      <c r="M123" s="436"/>
      <c r="N123" s="435"/>
      <c r="O123" s="436"/>
      <c r="P123" s="435"/>
      <c r="Q123" s="436"/>
      <c r="R123" s="435"/>
      <c r="S123" s="436"/>
      <c r="T123" s="433"/>
      <c r="U123" s="429"/>
    </row>
    <row r="124" spans="1:21" ht="35.25" hidden="1" x14ac:dyDescent="0.45">
      <c r="A124" s="437" t="str">
        <f>'Matriz de Pesos e Notas'!A123</f>
        <v>Nome da Atividade 3 da Unidade 7</v>
      </c>
      <c r="B124" s="435">
        <f>'Matriz de Pesos e Notas'!G123</f>
        <v>0</v>
      </c>
      <c r="C124" s="436">
        <f>'Matriz de Pesos e Notas'!H123</f>
        <v>0</v>
      </c>
      <c r="D124" s="435">
        <f>'Matriz de Pesos e Notas'!K123</f>
        <v>0</v>
      </c>
      <c r="E124" s="436">
        <f>'Matriz de Pesos e Notas'!L123</f>
        <v>0</v>
      </c>
      <c r="F124" s="435">
        <f>'Matriz de Pesos e Notas'!N123</f>
        <v>0</v>
      </c>
      <c r="G124" s="436">
        <f>'Matriz de Pesos e Notas'!O123</f>
        <v>0</v>
      </c>
      <c r="H124" s="435">
        <f>'Matriz de Pesos e Notas'!Q123</f>
        <v>0</v>
      </c>
      <c r="I124" s="436">
        <f>'Matriz de Pesos e Notas'!R123</f>
        <v>0</v>
      </c>
      <c r="J124" s="435">
        <f>'Matriz de Pesos e Notas'!T123</f>
        <v>0</v>
      </c>
      <c r="K124" s="436">
        <f>'Matriz de Pesos e Notas'!U123</f>
        <v>0</v>
      </c>
      <c r="L124" s="435">
        <f>'Matriz de Pesos e Notas'!W123</f>
        <v>0</v>
      </c>
      <c r="M124" s="436">
        <f>'Matriz de Pesos e Notas'!X123</f>
        <v>0</v>
      </c>
      <c r="N124" s="435">
        <f>'Matriz de Pesos e Notas'!Z123</f>
        <v>0</v>
      </c>
      <c r="O124" s="436">
        <f>'Matriz de Pesos e Notas'!AA123</f>
        <v>0</v>
      </c>
      <c r="P124" s="435">
        <f>'Matriz de Pesos e Notas'!AC123</f>
        <v>0</v>
      </c>
      <c r="Q124" s="436">
        <f>'Matriz de Pesos e Notas'!AD123</f>
        <v>0</v>
      </c>
      <c r="R124" s="435">
        <f>'Matriz de Pesos e Notas'!AF123</f>
        <v>0</v>
      </c>
      <c r="S124" s="436">
        <f>'Matriz de Pesos e Notas'!AG123</f>
        <v>0</v>
      </c>
      <c r="T124" s="422" t="str">
        <f>'Matriz de Pesos e Notas'!AI123</f>
        <v>Não Imprime</v>
      </c>
      <c r="U124" s="429"/>
    </row>
    <row r="125" spans="1:21" ht="35.25" hidden="1" x14ac:dyDescent="0.45">
      <c r="A125" s="437"/>
      <c r="B125" s="435"/>
      <c r="C125" s="436"/>
      <c r="D125" s="435"/>
      <c r="E125" s="436"/>
      <c r="F125" s="435"/>
      <c r="G125" s="436"/>
      <c r="H125" s="435"/>
      <c r="I125" s="436"/>
      <c r="J125" s="435"/>
      <c r="K125" s="436"/>
      <c r="L125" s="435"/>
      <c r="M125" s="436"/>
      <c r="N125" s="435"/>
      <c r="O125" s="436"/>
      <c r="P125" s="435"/>
      <c r="Q125" s="436"/>
      <c r="R125" s="435"/>
      <c r="S125" s="436"/>
      <c r="T125" s="433"/>
      <c r="U125" s="429"/>
    </row>
    <row r="126" spans="1:21" ht="35.25" hidden="1" x14ac:dyDescent="0.45">
      <c r="A126" s="437" t="str">
        <f>'Matriz de Pesos e Notas'!A125</f>
        <v>Nome da Atividade 4 da Unidade 7</v>
      </c>
      <c r="B126" s="435">
        <f>'Matriz de Pesos e Notas'!G125</f>
        <v>0</v>
      </c>
      <c r="C126" s="436">
        <f>'Matriz de Pesos e Notas'!H125</f>
        <v>0</v>
      </c>
      <c r="D126" s="435">
        <f>'Matriz de Pesos e Notas'!K125</f>
        <v>0</v>
      </c>
      <c r="E126" s="436">
        <f>'Matriz de Pesos e Notas'!L125</f>
        <v>0</v>
      </c>
      <c r="F126" s="435">
        <f>'Matriz de Pesos e Notas'!N125</f>
        <v>0</v>
      </c>
      <c r="G126" s="436">
        <f>'Matriz de Pesos e Notas'!O125</f>
        <v>0</v>
      </c>
      <c r="H126" s="435">
        <f>'Matriz de Pesos e Notas'!Q125</f>
        <v>0</v>
      </c>
      <c r="I126" s="436">
        <f>'Matriz de Pesos e Notas'!R125</f>
        <v>0</v>
      </c>
      <c r="J126" s="435">
        <f>'Matriz de Pesos e Notas'!T125</f>
        <v>0</v>
      </c>
      <c r="K126" s="436">
        <f>'Matriz de Pesos e Notas'!U125</f>
        <v>0</v>
      </c>
      <c r="L126" s="435">
        <f>'Matriz de Pesos e Notas'!W125</f>
        <v>0</v>
      </c>
      <c r="M126" s="436">
        <f>'Matriz de Pesos e Notas'!X125</f>
        <v>0</v>
      </c>
      <c r="N126" s="435">
        <f>'Matriz de Pesos e Notas'!Z125</f>
        <v>0</v>
      </c>
      <c r="O126" s="436">
        <f>'Matriz de Pesos e Notas'!AA125</f>
        <v>0</v>
      </c>
      <c r="P126" s="435">
        <f>'Matriz de Pesos e Notas'!AC125</f>
        <v>0</v>
      </c>
      <c r="Q126" s="436">
        <f>'Matriz de Pesos e Notas'!AD125</f>
        <v>0</v>
      </c>
      <c r="R126" s="435">
        <f>'Matriz de Pesos e Notas'!AF125</f>
        <v>0</v>
      </c>
      <c r="S126" s="436">
        <f>'Matriz de Pesos e Notas'!AG125</f>
        <v>0</v>
      </c>
      <c r="T126" s="422" t="str">
        <f>'Matriz de Pesos e Notas'!AI125</f>
        <v>Não Imprime</v>
      </c>
      <c r="U126" s="429"/>
    </row>
    <row r="127" spans="1:21" ht="35.25" hidden="1" x14ac:dyDescent="0.45">
      <c r="A127" s="437"/>
      <c r="B127" s="435"/>
      <c r="C127" s="436"/>
      <c r="D127" s="435"/>
      <c r="E127" s="436"/>
      <c r="F127" s="435"/>
      <c r="G127" s="436"/>
      <c r="H127" s="435"/>
      <c r="I127" s="436"/>
      <c r="J127" s="435"/>
      <c r="K127" s="436"/>
      <c r="L127" s="435"/>
      <c r="M127" s="436"/>
      <c r="N127" s="435"/>
      <c r="O127" s="436"/>
      <c r="P127" s="435"/>
      <c r="Q127" s="436"/>
      <c r="R127" s="435"/>
      <c r="S127" s="436"/>
      <c r="T127" s="433"/>
      <c r="U127" s="429"/>
    </row>
    <row r="128" spans="1:21" ht="35.25" hidden="1" x14ac:dyDescent="0.45">
      <c r="A128" s="437" t="str">
        <f>'Matriz de Pesos e Notas'!A127</f>
        <v>Nome da Atividade 5 da Unidade 7</v>
      </c>
      <c r="B128" s="435">
        <f>'Matriz de Pesos e Notas'!G127</f>
        <v>0</v>
      </c>
      <c r="C128" s="436">
        <f>'Matriz de Pesos e Notas'!H127</f>
        <v>0</v>
      </c>
      <c r="D128" s="435">
        <f>'Matriz de Pesos e Notas'!K127</f>
        <v>0</v>
      </c>
      <c r="E128" s="436">
        <f>'Matriz de Pesos e Notas'!L127</f>
        <v>0</v>
      </c>
      <c r="F128" s="435">
        <f>'Matriz de Pesos e Notas'!N127</f>
        <v>0</v>
      </c>
      <c r="G128" s="436">
        <f>'Matriz de Pesos e Notas'!O127</f>
        <v>0</v>
      </c>
      <c r="H128" s="435">
        <f>'Matriz de Pesos e Notas'!Q127</f>
        <v>0</v>
      </c>
      <c r="I128" s="436">
        <f>'Matriz de Pesos e Notas'!R127</f>
        <v>0</v>
      </c>
      <c r="J128" s="435">
        <f>'Matriz de Pesos e Notas'!T127</f>
        <v>0</v>
      </c>
      <c r="K128" s="436">
        <f>'Matriz de Pesos e Notas'!U127</f>
        <v>0</v>
      </c>
      <c r="L128" s="435">
        <f>'Matriz de Pesos e Notas'!W127</f>
        <v>0</v>
      </c>
      <c r="M128" s="436">
        <f>'Matriz de Pesos e Notas'!X127</f>
        <v>0</v>
      </c>
      <c r="N128" s="435">
        <f>'Matriz de Pesos e Notas'!Z127</f>
        <v>0</v>
      </c>
      <c r="O128" s="436">
        <f>'Matriz de Pesos e Notas'!AA127</f>
        <v>0</v>
      </c>
      <c r="P128" s="435">
        <f>'Matriz de Pesos e Notas'!AC127</f>
        <v>0</v>
      </c>
      <c r="Q128" s="436">
        <f>'Matriz de Pesos e Notas'!AD127</f>
        <v>0</v>
      </c>
      <c r="R128" s="435">
        <f>'Matriz de Pesos e Notas'!AF127</f>
        <v>0</v>
      </c>
      <c r="S128" s="436">
        <f>'Matriz de Pesos e Notas'!AG127</f>
        <v>0</v>
      </c>
      <c r="T128" s="422" t="str">
        <f>'Matriz de Pesos e Notas'!AI127</f>
        <v>Não Imprime</v>
      </c>
      <c r="U128" s="429"/>
    </row>
    <row r="129" spans="1:25" ht="35.25" hidden="1" x14ac:dyDescent="0.45">
      <c r="A129" s="437"/>
      <c r="B129" s="435"/>
      <c r="C129" s="436"/>
      <c r="D129" s="435"/>
      <c r="E129" s="436"/>
      <c r="F129" s="435"/>
      <c r="G129" s="436"/>
      <c r="H129" s="435"/>
      <c r="I129" s="436"/>
      <c r="J129" s="435"/>
      <c r="K129" s="436"/>
      <c r="L129" s="435"/>
      <c r="M129" s="436"/>
      <c r="N129" s="435"/>
      <c r="O129" s="436"/>
      <c r="P129" s="435"/>
      <c r="Q129" s="436"/>
      <c r="R129" s="435"/>
      <c r="S129" s="436"/>
      <c r="T129" s="433"/>
      <c r="U129" s="429"/>
    </row>
    <row r="130" spans="1:25" ht="35.25" hidden="1" x14ac:dyDescent="0.45">
      <c r="A130" s="437" t="str">
        <f>'Matriz de Pesos e Notas'!A129</f>
        <v>Nome da Atividade 6 da Unidade 7</v>
      </c>
      <c r="B130" s="435">
        <f>'Matriz de Pesos e Notas'!G129</f>
        <v>0</v>
      </c>
      <c r="C130" s="436">
        <f>'Matriz de Pesos e Notas'!H129</f>
        <v>0</v>
      </c>
      <c r="D130" s="435">
        <f>'Matriz de Pesos e Notas'!K129</f>
        <v>0</v>
      </c>
      <c r="E130" s="436">
        <f>'Matriz de Pesos e Notas'!L129</f>
        <v>0</v>
      </c>
      <c r="F130" s="435">
        <f>'Matriz de Pesos e Notas'!N129</f>
        <v>0</v>
      </c>
      <c r="G130" s="436">
        <f>'Matriz de Pesos e Notas'!O129</f>
        <v>0</v>
      </c>
      <c r="H130" s="435">
        <f>'Matriz de Pesos e Notas'!Q129</f>
        <v>0</v>
      </c>
      <c r="I130" s="436">
        <f>'Matriz de Pesos e Notas'!R129</f>
        <v>0</v>
      </c>
      <c r="J130" s="435">
        <f>'Matriz de Pesos e Notas'!T129</f>
        <v>0</v>
      </c>
      <c r="K130" s="436">
        <f>'Matriz de Pesos e Notas'!U129</f>
        <v>0</v>
      </c>
      <c r="L130" s="435">
        <f>'Matriz de Pesos e Notas'!W129</f>
        <v>0</v>
      </c>
      <c r="M130" s="436">
        <f>'Matriz de Pesos e Notas'!X129</f>
        <v>0</v>
      </c>
      <c r="N130" s="435">
        <f>'Matriz de Pesos e Notas'!Z129</f>
        <v>0</v>
      </c>
      <c r="O130" s="436">
        <f>'Matriz de Pesos e Notas'!AA129</f>
        <v>0</v>
      </c>
      <c r="P130" s="435">
        <f>'Matriz de Pesos e Notas'!AC129</f>
        <v>0</v>
      </c>
      <c r="Q130" s="436">
        <f>'Matriz de Pesos e Notas'!AD129</f>
        <v>0</v>
      </c>
      <c r="R130" s="435">
        <f>'Matriz de Pesos e Notas'!AF129</f>
        <v>0</v>
      </c>
      <c r="S130" s="436">
        <f>'Matriz de Pesos e Notas'!AG129</f>
        <v>0</v>
      </c>
      <c r="T130" s="422" t="str">
        <f>'Matriz de Pesos e Notas'!AI129</f>
        <v>Não Imprime</v>
      </c>
      <c r="U130" s="429"/>
    </row>
    <row r="131" spans="1:25" ht="35.25" hidden="1" x14ac:dyDescent="0.45">
      <c r="A131" s="437"/>
      <c r="B131" s="435"/>
      <c r="C131" s="436"/>
      <c r="D131" s="435"/>
      <c r="E131" s="436"/>
      <c r="F131" s="435"/>
      <c r="G131" s="436"/>
      <c r="H131" s="435"/>
      <c r="I131" s="436"/>
      <c r="J131" s="435"/>
      <c r="K131" s="436"/>
      <c r="L131" s="435"/>
      <c r="M131" s="436"/>
      <c r="N131" s="435"/>
      <c r="O131" s="436"/>
      <c r="P131" s="435"/>
      <c r="Q131" s="436"/>
      <c r="R131" s="435"/>
      <c r="S131" s="436"/>
      <c r="T131" s="433"/>
      <c r="U131" s="429"/>
    </row>
    <row r="132" spans="1:25" ht="35.25" hidden="1" x14ac:dyDescent="0.45">
      <c r="A132" s="437" t="str">
        <f>'Matriz de Pesos e Notas'!A131</f>
        <v>Nome da Atividade 7 da Unidade 7</v>
      </c>
      <c r="B132" s="435">
        <f>'Matriz de Pesos e Notas'!G131</f>
        <v>0</v>
      </c>
      <c r="C132" s="436">
        <f>'Matriz de Pesos e Notas'!H131</f>
        <v>0</v>
      </c>
      <c r="D132" s="435">
        <f>'Matriz de Pesos e Notas'!K131</f>
        <v>0</v>
      </c>
      <c r="E132" s="436">
        <f>'Matriz de Pesos e Notas'!L131</f>
        <v>0</v>
      </c>
      <c r="F132" s="435">
        <f>'Matriz de Pesos e Notas'!N131</f>
        <v>0</v>
      </c>
      <c r="G132" s="436">
        <f>'Matriz de Pesos e Notas'!O131</f>
        <v>0</v>
      </c>
      <c r="H132" s="435">
        <f>'Matriz de Pesos e Notas'!Q131</f>
        <v>0</v>
      </c>
      <c r="I132" s="436">
        <f>'Matriz de Pesos e Notas'!R131</f>
        <v>0</v>
      </c>
      <c r="J132" s="435">
        <f>'Matriz de Pesos e Notas'!T131</f>
        <v>0</v>
      </c>
      <c r="K132" s="436">
        <f>'Matriz de Pesos e Notas'!U131</f>
        <v>0</v>
      </c>
      <c r="L132" s="435">
        <f>'Matriz de Pesos e Notas'!W131</f>
        <v>0</v>
      </c>
      <c r="M132" s="436">
        <f>'Matriz de Pesos e Notas'!X131</f>
        <v>0</v>
      </c>
      <c r="N132" s="435">
        <f>'Matriz de Pesos e Notas'!Z131</f>
        <v>0</v>
      </c>
      <c r="O132" s="436">
        <f>'Matriz de Pesos e Notas'!AA131</f>
        <v>0</v>
      </c>
      <c r="P132" s="435">
        <f>'Matriz de Pesos e Notas'!AC131</f>
        <v>0</v>
      </c>
      <c r="Q132" s="436">
        <f>'Matriz de Pesos e Notas'!AD131</f>
        <v>0</v>
      </c>
      <c r="R132" s="435">
        <f>'Matriz de Pesos e Notas'!AF131</f>
        <v>0</v>
      </c>
      <c r="S132" s="436">
        <f>'Matriz de Pesos e Notas'!AG131</f>
        <v>0</v>
      </c>
      <c r="T132" s="422" t="str">
        <f>'Matriz de Pesos e Notas'!AI131</f>
        <v>Não Imprime</v>
      </c>
      <c r="U132" s="429"/>
    </row>
    <row r="133" spans="1:25" ht="35.25" hidden="1" x14ac:dyDescent="0.45">
      <c r="A133" s="441"/>
      <c r="B133" s="442"/>
      <c r="C133" s="443"/>
      <c r="D133" s="442"/>
      <c r="E133" s="443"/>
      <c r="F133" s="442"/>
      <c r="G133" s="443"/>
      <c r="H133" s="442"/>
      <c r="I133" s="443"/>
      <c r="J133" s="442"/>
      <c r="K133" s="443"/>
      <c r="L133" s="442"/>
      <c r="M133" s="443"/>
      <c r="N133" s="442"/>
      <c r="O133" s="443"/>
      <c r="P133" s="442"/>
      <c r="Q133" s="443"/>
      <c r="R133" s="442"/>
      <c r="S133" s="443"/>
      <c r="T133" s="433"/>
      <c r="U133" s="429"/>
    </row>
    <row r="134" spans="1:25" ht="35.25" x14ac:dyDescent="0.45">
      <c r="A134" s="444" t="s">
        <v>157</v>
      </c>
      <c r="B134" s="445">
        <f>'Digitar aqui Notas e Pesos'!D137</f>
        <v>0</v>
      </c>
      <c r="C134" s="446">
        <f>'Digitar aqui Notas e Pesos'!E137</f>
        <v>0</v>
      </c>
      <c r="D134" s="445">
        <f>'Matriz de Pesos e Notas'!K137</f>
        <v>0</v>
      </c>
      <c r="E134" s="446">
        <f>'Matriz de Pesos e Notas'!L137</f>
        <v>0</v>
      </c>
      <c r="F134" s="445">
        <f>'Matriz de Pesos e Notas'!N137</f>
        <v>0</v>
      </c>
      <c r="G134" s="446">
        <f>'Matriz de Pesos e Notas'!O137</f>
        <v>0</v>
      </c>
      <c r="H134" s="445">
        <f>'Matriz de Pesos e Notas'!Q137</f>
        <v>0</v>
      </c>
      <c r="I134" s="446">
        <f>'Matriz de Pesos e Notas'!R137</f>
        <v>0</v>
      </c>
      <c r="J134" s="445">
        <f>'Matriz de Pesos e Notas'!T137</f>
        <v>2</v>
      </c>
      <c r="K134" s="446">
        <f>'Matriz de Pesos e Notas'!U137</f>
        <v>2</v>
      </c>
      <c r="L134" s="445">
        <f>'Matriz de Pesos e Notas'!W137</f>
        <v>2</v>
      </c>
      <c r="M134" s="446">
        <f>'Matriz de Pesos e Notas'!X137</f>
        <v>2</v>
      </c>
      <c r="N134" s="445">
        <f>'Matriz de Pesos e Notas'!Z137</f>
        <v>1</v>
      </c>
      <c r="O134" s="446">
        <f>'Matriz de Pesos e Notas'!AA137</f>
        <v>2</v>
      </c>
      <c r="P134" s="445">
        <f>'Matriz de Pesos e Notas'!AC137</f>
        <v>4</v>
      </c>
      <c r="Q134" s="446">
        <f>'Matriz de Pesos e Notas'!AD137</f>
        <v>1</v>
      </c>
      <c r="R134" s="445">
        <f>'Matriz de Pesos e Notas'!AF137</f>
        <v>4</v>
      </c>
      <c r="S134" s="446">
        <f>'Matriz de Pesos e Notas'!AG137</f>
        <v>2</v>
      </c>
      <c r="T134" s="422" t="s">
        <v>10</v>
      </c>
      <c r="U134" s="429"/>
    </row>
    <row r="135" spans="1:25" ht="40.5" customHeight="1" x14ac:dyDescent="0.45">
      <c r="A135" s="517" t="s">
        <v>163</v>
      </c>
      <c r="B135" s="447">
        <f>'Matriz de Pesos e Notas'!G140</f>
        <v>2</v>
      </c>
      <c r="C135" s="448">
        <f>'Matriz de Pesos e Notas'!H140</f>
        <v>2.2222222222222223</v>
      </c>
      <c r="D135" s="448">
        <f>'Matriz de Pesos e Notas'!K140</f>
        <v>2</v>
      </c>
      <c r="E135" s="448">
        <f>'Matriz de Pesos e Notas'!L140</f>
        <v>2</v>
      </c>
      <c r="F135" s="448">
        <f>'Matriz de Pesos e Notas'!N140</f>
        <v>1</v>
      </c>
      <c r="G135" s="448">
        <f>'Matriz de Pesos e Notas'!O140</f>
        <v>2</v>
      </c>
      <c r="H135" s="448">
        <f>'Matriz de Pesos e Notas'!Q140</f>
        <v>2</v>
      </c>
      <c r="I135" s="448">
        <f>'Matriz de Pesos e Notas'!R140</f>
        <v>1.6666666666666667</v>
      </c>
      <c r="J135" s="448">
        <f>'Matriz de Pesos e Notas'!T140</f>
        <v>2</v>
      </c>
      <c r="K135" s="448">
        <f>'Matriz de Pesos e Notas'!U140</f>
        <v>2</v>
      </c>
      <c r="L135" s="448">
        <f>'Matriz de Pesos e Notas'!W140</f>
        <v>2</v>
      </c>
      <c r="M135" s="448">
        <f>'Matriz de Pesos e Notas'!X140</f>
        <v>2</v>
      </c>
      <c r="N135" s="448">
        <f>'Matriz de Pesos e Notas'!Z140</f>
        <v>1</v>
      </c>
      <c r="O135" s="448">
        <f>'Matriz de Pesos e Notas'!AA140</f>
        <v>2</v>
      </c>
      <c r="P135" s="448">
        <f>'Matriz de Pesos e Notas'!AC140</f>
        <v>4</v>
      </c>
      <c r="Q135" s="448">
        <f>'Matriz de Pesos e Notas'!AD140</f>
        <v>1</v>
      </c>
      <c r="R135" s="448">
        <f>'Matriz de Pesos e Notas'!AF140</f>
        <v>4</v>
      </c>
      <c r="S135" s="448">
        <f>'Matriz de Pesos e Notas'!AG140</f>
        <v>2</v>
      </c>
      <c r="T135" s="422" t="s">
        <v>10</v>
      </c>
      <c r="U135" s="429"/>
    </row>
    <row r="136" spans="1:25" ht="40.5" customHeight="1" x14ac:dyDescent="0.45">
      <c r="A136" s="518"/>
      <c r="B136" s="515">
        <f>'Matriz de Pesos e Notas'!H141</f>
        <v>2.1</v>
      </c>
      <c r="C136" s="516"/>
      <c r="D136" s="515">
        <f>'Matriz de Pesos e Notas'!L141</f>
        <v>2</v>
      </c>
      <c r="E136" s="516"/>
      <c r="F136" s="515">
        <f>'Matriz de Pesos e Notas'!O141</f>
        <v>1.4500000000000002</v>
      </c>
      <c r="G136" s="516"/>
      <c r="H136" s="515">
        <f>'Matriz de Pesos e Notas'!R141</f>
        <v>1.85</v>
      </c>
      <c r="I136" s="516"/>
      <c r="J136" s="515">
        <f>'Matriz de Pesos e Notas'!U141</f>
        <v>2</v>
      </c>
      <c r="K136" s="516"/>
      <c r="L136" s="515">
        <f>'Matriz de Pesos e Notas'!X141</f>
        <v>2</v>
      </c>
      <c r="M136" s="516"/>
      <c r="N136" s="515">
        <f>'Matriz de Pesos e Notas'!AA141</f>
        <v>1.4500000000000002</v>
      </c>
      <c r="O136" s="516"/>
      <c r="P136" s="515">
        <f>'Matriz de Pesos e Notas'!AD141</f>
        <v>2.6500000000000004</v>
      </c>
      <c r="Q136" s="516"/>
      <c r="R136" s="515">
        <f>'Matriz de Pesos e Notas'!AG141</f>
        <v>3.1</v>
      </c>
      <c r="S136" s="516"/>
      <c r="T136" s="422" t="s">
        <v>10</v>
      </c>
      <c r="U136" s="429"/>
    </row>
    <row r="137" spans="1:25" ht="29.25" customHeight="1" x14ac:dyDescent="0.45">
      <c r="D137" s="467" t="s">
        <v>203</v>
      </c>
      <c r="E137" s="467"/>
      <c r="F137" s="467"/>
      <c r="G137" s="467"/>
      <c r="H137" s="467"/>
      <c r="I137" s="467"/>
      <c r="J137" s="519">
        <f>'Matriz de Pesos e Notas'!E141</f>
        <v>2.0499999999999998</v>
      </c>
      <c r="K137" s="519"/>
      <c r="L137" s="519"/>
      <c r="M137" s="449"/>
      <c r="N137" s="449"/>
      <c r="O137" s="449"/>
      <c r="P137" s="449"/>
      <c r="Q137" s="449"/>
      <c r="R137" s="449"/>
      <c r="S137" s="449"/>
      <c r="T137" s="422" t="s">
        <v>10</v>
      </c>
      <c r="U137" s="429"/>
    </row>
    <row r="138" spans="1:25" ht="30" customHeight="1" x14ac:dyDescent="0.45">
      <c r="D138" s="468" t="s">
        <v>204</v>
      </c>
      <c r="E138" s="468"/>
      <c r="F138" s="468"/>
      <c r="G138" s="468"/>
      <c r="H138" s="468"/>
      <c r="I138" s="468"/>
      <c r="K138" s="450"/>
      <c r="L138" s="451">
        <f>refinarNota5(J137)</f>
        <v>2</v>
      </c>
      <c r="M138" s="449"/>
      <c r="N138" s="449"/>
      <c r="O138" s="449"/>
      <c r="P138" s="449"/>
      <c r="Q138" s="449"/>
      <c r="R138" s="449"/>
      <c r="S138" s="449"/>
      <c r="T138" s="422" t="s">
        <v>10</v>
      </c>
      <c r="U138" s="429"/>
    </row>
    <row r="139" spans="1:25" x14ac:dyDescent="0.2">
      <c r="A139" s="416"/>
      <c r="B139" s="416"/>
      <c r="C139" s="416"/>
      <c r="D139" s="416"/>
      <c r="E139" s="416"/>
      <c r="F139" s="416"/>
      <c r="G139" s="416"/>
      <c r="H139" s="416"/>
      <c r="I139" s="416"/>
      <c r="J139" s="416"/>
      <c r="K139" s="416"/>
      <c r="L139" s="416"/>
      <c r="M139" s="416"/>
      <c r="N139" s="416"/>
      <c r="O139" s="416"/>
      <c r="P139" s="416"/>
      <c r="Q139" s="416"/>
      <c r="R139" s="416"/>
      <c r="S139" s="416"/>
      <c r="T139" s="422"/>
    </row>
    <row r="140" spans="1:25" x14ac:dyDescent="0.2">
      <c r="A140" s="416"/>
      <c r="B140" s="416"/>
      <c r="C140" s="416"/>
      <c r="D140" s="416"/>
      <c r="E140" s="416"/>
      <c r="F140" s="416"/>
      <c r="G140" s="416"/>
      <c r="H140" s="416"/>
      <c r="I140" s="416"/>
      <c r="J140" s="416"/>
      <c r="K140" s="416"/>
      <c r="L140" s="416"/>
      <c r="M140" s="416"/>
      <c r="N140" s="416"/>
      <c r="O140" s="416"/>
      <c r="P140" s="416"/>
      <c r="Q140" s="416"/>
      <c r="R140" s="416"/>
      <c r="S140" s="416"/>
      <c r="T140" s="416"/>
    </row>
    <row r="142" spans="1:25" s="236" customFormat="1" ht="42" customHeight="1" x14ac:dyDescent="0.45">
      <c r="A142" s="473"/>
      <c r="B142" s="504" t="str">
        <f>IF(B136 = 0,"vazio",IF(B136 &lt; 1.5,"muito baixo",IF(B136 &lt; 2.5,"baixo",IF(B136 &lt; 3.5,"médio","alto"))))</f>
        <v>baixo</v>
      </c>
      <c r="C142" s="505"/>
      <c r="D142" s="504" t="str">
        <f>IF(D136 = 0,"vazio",IF(D136 &lt; 1.5,"muito baixo",IF(D136 &lt; 2.5,"baixo",IF(D136 &lt; 3.5,"médio","alto"))))</f>
        <v>baixo</v>
      </c>
      <c r="E142" s="505"/>
      <c r="F142" s="504" t="str">
        <f>IF(F136 = 0,"vazio",IF(F136 &lt; 1.5,"muito baixo",IF(F136 &lt; 2.5,"baixo",IF(F136 &lt; 3.5,"médio","alto"))))</f>
        <v>muito baixo</v>
      </c>
      <c r="G142" s="505"/>
      <c r="H142" s="504" t="str">
        <f>IF(H136 = 0,"vazio",IF(H136 &lt; 1.5,"muito baixo",IF(H136 &lt; 2.5,"baixo",IF(H136 &lt; 3.5,"médio","alto"))))</f>
        <v>baixo</v>
      </c>
      <c r="I142" s="505"/>
      <c r="J142" s="504" t="str">
        <f>IF(J136 = 0,"vazio",IF(J136 &lt; 1.5,"muito baixo",IF(J136 &lt; 2.5,"baixo",IF(J136 &lt; 3.5,"médio","alto"))))</f>
        <v>baixo</v>
      </c>
      <c r="K142" s="505"/>
      <c r="L142" s="504" t="str">
        <f>IF(L136 = 0,"vazio",IF(L136 &lt; 1.5,"muito baixo",IF(L136 &lt; 2.5,"baixo",IF(L136 &lt; 3.5,"médio","alto"))))</f>
        <v>baixo</v>
      </c>
      <c r="M142" s="505"/>
      <c r="N142" s="504" t="str">
        <f>IF(N136 = 0,"vazio",IF(N136 &lt; 1.5,"muito baixo",IF(N136 &lt; 2.5,"baixo",IF(N136 &lt; 3.5,"médio","alto"))))</f>
        <v>muito baixo</v>
      </c>
      <c r="O142" s="505"/>
      <c r="P142" s="504" t="str">
        <f>IF(P136 = 0,"vazio",IF(P136 &lt; 1.5,"muito baixo",IF(P136 &lt; 2.5,"baixo",IF(P136 &lt; 3.5,"médio","alto"))))</f>
        <v>médio</v>
      </c>
      <c r="Q142" s="505"/>
      <c r="R142" s="504" t="str">
        <f>IF(R136 = 0,"vazio",IF(R136 &lt; 1.5,"muito baixo",IF(R136 &lt; 2.5,"baixo",IF(R136 &lt; 3.5,"médio","alto"))))</f>
        <v>médio</v>
      </c>
      <c r="S142" s="505"/>
      <c r="T142" s="422" t="s">
        <v>10</v>
      </c>
      <c r="U142" s="422"/>
      <c r="V142" s="506"/>
      <c r="W142" s="506"/>
      <c r="X142" s="452"/>
      <c r="Y142" s="474"/>
    </row>
    <row r="143" spans="1:25" s="452" customFormat="1" ht="12.75" x14ac:dyDescent="0.2"/>
    <row r="144" spans="1:25" s="452" customFormat="1" ht="12.75" x14ac:dyDescent="0.2"/>
    <row r="145" s="452" customFormat="1" ht="12.75" x14ac:dyDescent="0.2"/>
    <row r="146" s="452" customFormat="1" ht="12.75" x14ac:dyDescent="0.2"/>
    <row r="147" s="452" customFormat="1" ht="12.75" x14ac:dyDescent="0.2"/>
    <row r="148" s="452" customFormat="1" ht="12.75" x14ac:dyDescent="0.2"/>
    <row r="149" s="452" customFormat="1" ht="12.75" x14ac:dyDescent="0.2"/>
    <row r="150" s="452" customFormat="1" ht="12.75" x14ac:dyDescent="0.2"/>
    <row r="151" s="452" customFormat="1" ht="12.75" x14ac:dyDescent="0.2"/>
    <row r="152" s="452" customFormat="1" ht="12.75" x14ac:dyDescent="0.2"/>
  </sheetData>
  <sheetProtection sheet="1" objects="1" scenarios="1"/>
  <autoFilter ref="A3:T138">
    <filterColumn colId="1" showButton="0"/>
    <filterColumn colId="3" showButton="0"/>
    <filterColumn colId="5" showButton="0"/>
    <filterColumn colId="7" showButton="0"/>
    <filterColumn colId="9" showButton="0"/>
    <filterColumn colId="11" showButton="0"/>
    <filterColumn colId="13" showButton="0"/>
    <filterColumn colId="15" showButton="0"/>
    <filterColumn colId="17" showButton="0"/>
    <filterColumn colId="19">
      <filters>
        <filter val="Imprime"/>
      </filters>
    </filterColumn>
  </autoFilter>
  <mergeCells count="39">
    <mergeCell ref="J137:L137"/>
    <mergeCell ref="J136:K136"/>
    <mergeCell ref="L136:M136"/>
    <mergeCell ref="N136:O136"/>
    <mergeCell ref="P136:Q136"/>
    <mergeCell ref="R136:S136"/>
    <mergeCell ref="A135:A136"/>
    <mergeCell ref="B136:C136"/>
    <mergeCell ref="D136:E136"/>
    <mergeCell ref="F136:G136"/>
    <mergeCell ref="H136:I136"/>
    <mergeCell ref="P4:Q4"/>
    <mergeCell ref="R4:S4"/>
    <mergeCell ref="J3:K3"/>
    <mergeCell ref="L3:M3"/>
    <mergeCell ref="N3:O3"/>
    <mergeCell ref="P3:Q3"/>
    <mergeCell ref="R3:S3"/>
    <mergeCell ref="N4:O4"/>
    <mergeCell ref="J4:K4"/>
    <mergeCell ref="B3:C3"/>
    <mergeCell ref="D3:E3"/>
    <mergeCell ref="F3:G3"/>
    <mergeCell ref="H3:I3"/>
    <mergeCell ref="L4:M4"/>
    <mergeCell ref="B4:C4"/>
    <mergeCell ref="D4:E4"/>
    <mergeCell ref="F4:G4"/>
    <mergeCell ref="H4:I4"/>
    <mergeCell ref="N142:O142"/>
    <mergeCell ref="P142:Q142"/>
    <mergeCell ref="R142:S142"/>
    <mergeCell ref="V142:W142"/>
    <mergeCell ref="B142:C142"/>
    <mergeCell ref="D142:E142"/>
    <mergeCell ref="F142:G142"/>
    <mergeCell ref="H142:I142"/>
    <mergeCell ref="J142:K142"/>
    <mergeCell ref="L142:M142"/>
  </mergeCells>
  <conditionalFormatting sqref="B8:S134">
    <cfRule type="cellIs" dxfId="210" priority="47" stopIfTrue="1" operator="equal">
      <formula>4</formula>
    </cfRule>
    <cfRule type="cellIs" dxfId="209" priority="48" stopIfTrue="1" operator="equal">
      <formula>3</formula>
    </cfRule>
    <cfRule type="cellIs" dxfId="208" priority="49" stopIfTrue="1" operator="equal">
      <formula>2</formula>
    </cfRule>
    <cfRule type="cellIs" dxfId="207" priority="50" stopIfTrue="1" operator="equal">
      <formula>1</formula>
    </cfRule>
  </conditionalFormatting>
  <conditionalFormatting sqref="A134:A135">
    <cfRule type="cellIs" dxfId="206" priority="46" stopIfTrue="1" operator="equal">
      <formula>A132</formula>
    </cfRule>
  </conditionalFormatting>
  <conditionalFormatting sqref="A134:A135 A10">
    <cfRule type="cellIs" dxfId="205" priority="45" stopIfTrue="1" operator="equal">
      <formula>$A$6</formula>
    </cfRule>
  </conditionalFormatting>
  <conditionalFormatting sqref="A135">
    <cfRule type="cellIs" dxfId="204" priority="44" stopIfTrue="1" operator="equal">
      <formula>A133</formula>
    </cfRule>
  </conditionalFormatting>
  <conditionalFormatting sqref="A135">
    <cfRule type="cellIs" dxfId="203" priority="43" stopIfTrue="1" operator="equal">
      <formula>$C$6</formula>
    </cfRule>
  </conditionalFormatting>
  <conditionalFormatting sqref="B136:M136 B135:R135">
    <cfRule type="cellIs" dxfId="202" priority="39" stopIfTrue="1" operator="greaterThanOrEqual">
      <formula>3.5</formula>
    </cfRule>
    <cfRule type="cellIs" dxfId="201" priority="40" stopIfTrue="1" operator="between">
      <formula>2.5</formula>
      <formula>3.49</formula>
    </cfRule>
    <cfRule type="cellIs" dxfId="200" priority="41" stopIfTrue="1" operator="between">
      <formula>1.5</formula>
      <formula>2.49</formula>
    </cfRule>
    <cfRule type="cellIs" dxfId="199" priority="42" stopIfTrue="1" operator="lessThan">
      <formula>1.5</formula>
    </cfRule>
  </conditionalFormatting>
  <conditionalFormatting sqref="L138">
    <cfRule type="cellIs" dxfId="198" priority="35" stopIfTrue="1" operator="equal">
      <formula>4</formula>
    </cfRule>
    <cfRule type="cellIs" dxfId="197" priority="36" stopIfTrue="1" operator="equal">
      <formula>3</formula>
    </cfRule>
    <cfRule type="cellIs" dxfId="196" priority="37" stopIfTrue="1" operator="equal">
      <formula>2</formula>
    </cfRule>
    <cfRule type="cellIs" dxfId="195" priority="38" stopIfTrue="1" operator="equal">
      <formula>1</formula>
    </cfRule>
  </conditionalFormatting>
  <conditionalFormatting sqref="N136:S136">
    <cfRule type="cellIs" dxfId="194" priority="27" stopIfTrue="1" operator="greaterThanOrEqual">
      <formula>3.5</formula>
    </cfRule>
    <cfRule type="cellIs" dxfId="193" priority="28" stopIfTrue="1" operator="between">
      <formula>2.5</formula>
      <formula>3.49</formula>
    </cfRule>
    <cfRule type="cellIs" dxfId="192" priority="29" stopIfTrue="1" operator="between">
      <formula>1.5</formula>
      <formula>2.49</formula>
    </cfRule>
    <cfRule type="cellIs" dxfId="191" priority="30" stopIfTrue="1" operator="lessThan">
      <formula>1.5</formula>
    </cfRule>
  </conditionalFormatting>
  <conditionalFormatting sqref="S135">
    <cfRule type="cellIs" dxfId="190" priority="11" stopIfTrue="1" operator="greaterThanOrEqual">
      <formula>3.5</formula>
    </cfRule>
    <cfRule type="cellIs" dxfId="189" priority="12" stopIfTrue="1" operator="between">
      <formula>2.5</formula>
      <formula>3.49</formula>
    </cfRule>
    <cfRule type="cellIs" dxfId="188" priority="13" stopIfTrue="1" operator="between">
      <formula>1.5</formula>
      <formula>2.49</formula>
    </cfRule>
    <cfRule type="cellIs" dxfId="187" priority="14" stopIfTrue="1" operator="lessThan">
      <formula>1.5</formula>
    </cfRule>
  </conditionalFormatting>
  <conditionalFormatting sqref="A8">
    <cfRule type="cellIs" dxfId="186" priority="10" stopIfTrue="1" operator="equal">
      <formula>$A6</formula>
    </cfRule>
  </conditionalFormatting>
  <conditionalFormatting sqref="A24">
    <cfRule type="cellIs" dxfId="185" priority="8" stopIfTrue="1" operator="equal">
      <formula>$A22</formula>
    </cfRule>
  </conditionalFormatting>
  <conditionalFormatting sqref="A40">
    <cfRule type="cellIs" dxfId="184" priority="6" stopIfTrue="1" operator="equal">
      <formula>$A38</formula>
    </cfRule>
  </conditionalFormatting>
  <conditionalFormatting sqref="A56">
    <cfRule type="cellIs" dxfId="183" priority="5" stopIfTrue="1" operator="equal">
      <formula>$A54</formula>
    </cfRule>
  </conditionalFormatting>
  <conditionalFormatting sqref="A72">
    <cfRule type="cellIs" dxfId="182" priority="4" stopIfTrue="1" operator="equal">
      <formula>$A70</formula>
    </cfRule>
  </conditionalFormatting>
  <conditionalFormatting sqref="A88">
    <cfRule type="cellIs" dxfId="181" priority="3" stopIfTrue="1" operator="equal">
      <formula>$A86</formula>
    </cfRule>
  </conditionalFormatting>
  <conditionalFormatting sqref="A104">
    <cfRule type="cellIs" dxfId="180" priority="2" stopIfTrue="1" operator="equal">
      <formula>$A102</formula>
    </cfRule>
  </conditionalFormatting>
  <conditionalFormatting sqref="A120">
    <cfRule type="cellIs" dxfId="179" priority="1" stopIfTrue="1" operator="equal">
      <formula>$A118</formula>
    </cfRule>
  </conditionalFormatting>
  <pageMargins left="0.51181102362204722" right="0.51181102362204722" top="0.78740157480314965" bottom="0.78740157480314965" header="0.31496062992125984" footer="0.31496062992125984"/>
  <pageSetup paperSize="9" scale="70" orientation="landscape" horizontalDpi="2400" verticalDpi="2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2529" r:id="rId4" name="Button 1">
              <controlPr defaultSize="0" print="0" autoFill="0" autoPict="0" macro="[0]!EsconderLinhasMatriz">
                <anchor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1162050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30" r:id="rId5" name="Button 2">
              <controlPr defaultSize="0" print="0" autoFill="0" autoPict="0" macro="[0]!MostrarLinhasMatriz">
                <anchor>
                  <from>
                    <xdr:col>0</xdr:col>
                    <xdr:colOff>923925</xdr:colOff>
                    <xdr:row>1</xdr:row>
                    <xdr:rowOff>152400</xdr:rowOff>
                  </from>
                  <to>
                    <xdr:col>0</xdr:col>
                    <xdr:colOff>1895475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G15"/>
  <sheetViews>
    <sheetView zoomScale="80" zoomScaleNormal="80" workbookViewId="0">
      <selection activeCell="H12" sqref="H12"/>
    </sheetView>
  </sheetViews>
  <sheetFormatPr defaultRowHeight="12.75" x14ac:dyDescent="0.2"/>
  <cols>
    <col min="1" max="1" width="29.7109375" style="237" customWidth="1"/>
    <col min="2" max="2" width="9.5703125" style="237" bestFit="1" customWidth="1"/>
    <col min="3" max="6" width="16" style="237" customWidth="1"/>
    <col min="7" max="7" width="13.7109375" style="237" customWidth="1"/>
    <col min="8" max="8" width="23.42578125" style="237" customWidth="1"/>
    <col min="9" max="16384" width="9.140625" style="237"/>
  </cols>
  <sheetData>
    <row r="1" spans="1:7" ht="22.5" customHeight="1" x14ac:dyDescent="0.2">
      <c r="A1" s="520" t="s">
        <v>207</v>
      </c>
      <c r="B1" s="522" t="s">
        <v>37</v>
      </c>
      <c r="C1" s="475">
        <v>2</v>
      </c>
      <c r="D1" s="475">
        <f>+C2</f>
        <v>2.5</v>
      </c>
      <c r="E1" s="475">
        <f>+D2</f>
        <v>3</v>
      </c>
      <c r="F1" s="524">
        <f>+E2</f>
        <v>3.5</v>
      </c>
      <c r="G1" s="526" t="s">
        <v>208</v>
      </c>
    </row>
    <row r="2" spans="1:7" ht="22.5" x14ac:dyDescent="0.2">
      <c r="A2" s="521"/>
      <c r="B2" s="523"/>
      <c r="C2" s="476">
        <f>+C1+0.5</f>
        <v>2.5</v>
      </c>
      <c r="D2" s="476">
        <f>+C2+0.5</f>
        <v>3</v>
      </c>
      <c r="E2" s="476">
        <f>+D2+0.5</f>
        <v>3.5</v>
      </c>
      <c r="F2" s="525"/>
      <c r="G2" s="527"/>
    </row>
    <row r="3" spans="1:7" ht="19.5" x14ac:dyDescent="0.25">
      <c r="A3" s="477" t="s">
        <v>209</v>
      </c>
      <c r="B3" s="478">
        <f>'Matriz de Pesos e Notas'!J135</f>
        <v>1</v>
      </c>
      <c r="C3" s="479">
        <f>ROUND(F3*0.15,2)</f>
        <v>7.0000000000000007E-2</v>
      </c>
      <c r="D3" s="479">
        <f t="shared" ref="D3:D11" si="0">ROUND(F3*0.35,2)</f>
        <v>0.15</v>
      </c>
      <c r="E3" s="479">
        <f t="shared" ref="E3:E11" si="1">ROUND(F3*0.65,2)</f>
        <v>0.28999999999999998</v>
      </c>
      <c r="F3" s="479">
        <v>0.44</v>
      </c>
      <c r="G3" s="480">
        <f>ROUND(IF(B3&lt;C$1,0,IF(AND(B3&gt;=C$1,B3&lt;=C$2),C3,IF(AND(B3&gt;D$1,B3&lt;=D$2),D3,IF(AND(B3&gt;E$1,B3&lt;=E$2),E3,F3)))),2)</f>
        <v>0</v>
      </c>
    </row>
    <row r="4" spans="1:7" ht="19.5" x14ac:dyDescent="0.25">
      <c r="A4" s="477" t="s">
        <v>1</v>
      </c>
      <c r="B4" s="478">
        <f>'Matriz de Pesos e Notas'!AA141</f>
        <v>1.4500000000000002</v>
      </c>
      <c r="C4" s="479">
        <f>ROUND(F4*0.15,2)</f>
        <v>7.0000000000000007E-2</v>
      </c>
      <c r="D4" s="479">
        <f t="shared" si="0"/>
        <v>0.15</v>
      </c>
      <c r="E4" s="479">
        <f t="shared" si="1"/>
        <v>0.28999999999999998</v>
      </c>
      <c r="F4" s="479">
        <v>0.44</v>
      </c>
      <c r="G4" s="480">
        <f t="shared" ref="G4:G11" si="2">ROUND(IF(B4&lt;=C$1,0,IF(AND(B4&gt;C$1,B4&lt;=C$2),C4,IF(AND(B4&gt;D$1,B4&lt;=D$2),D4,IF(AND(B4&gt;E$1,B4&lt;=E$2),E4,F4)))),2)</f>
        <v>0</v>
      </c>
    </row>
    <row r="5" spans="1:7" ht="19.5" x14ac:dyDescent="0.25">
      <c r="A5" s="477" t="s">
        <v>3</v>
      </c>
      <c r="B5" s="478">
        <f>'Matriz de Pesos e Notas'!O141</f>
        <v>1.4500000000000002</v>
      </c>
      <c r="C5" s="479">
        <f t="shared" ref="C5:C11" si="3">ROUND(F5*0.15,2)</f>
        <v>7.0000000000000007E-2</v>
      </c>
      <c r="D5" s="479">
        <f t="shared" si="0"/>
        <v>0.15</v>
      </c>
      <c r="E5" s="479">
        <f t="shared" si="1"/>
        <v>0.28999999999999998</v>
      </c>
      <c r="F5" s="479">
        <v>0.44</v>
      </c>
      <c r="G5" s="480">
        <f t="shared" si="2"/>
        <v>0</v>
      </c>
    </row>
    <row r="6" spans="1:7" ht="19.5" x14ac:dyDescent="0.25">
      <c r="A6" s="477" t="s">
        <v>0</v>
      </c>
      <c r="B6" s="478">
        <f>'Matriz de Pesos e Notas'!X141</f>
        <v>2</v>
      </c>
      <c r="C6" s="479">
        <f t="shared" si="3"/>
        <v>7.0000000000000007E-2</v>
      </c>
      <c r="D6" s="479">
        <f t="shared" si="0"/>
        <v>0.15</v>
      </c>
      <c r="E6" s="479">
        <f t="shared" si="1"/>
        <v>0.28999999999999998</v>
      </c>
      <c r="F6" s="479">
        <v>0.44</v>
      </c>
      <c r="G6" s="480">
        <f t="shared" si="2"/>
        <v>0</v>
      </c>
    </row>
    <row r="7" spans="1:7" ht="19.5" x14ac:dyDescent="0.25">
      <c r="A7" s="477" t="s">
        <v>11</v>
      </c>
      <c r="B7" s="478">
        <f>'Matriz de Pesos e Notas'!R141</f>
        <v>1.85</v>
      </c>
      <c r="C7" s="479">
        <f t="shared" si="3"/>
        <v>0.03</v>
      </c>
      <c r="D7" s="479">
        <f t="shared" si="0"/>
        <v>7.0000000000000007E-2</v>
      </c>
      <c r="E7" s="479">
        <f t="shared" si="1"/>
        <v>0.12</v>
      </c>
      <c r="F7" s="479">
        <v>0.19</v>
      </c>
      <c r="G7" s="480">
        <f t="shared" si="2"/>
        <v>0</v>
      </c>
    </row>
    <row r="8" spans="1:7" ht="19.5" x14ac:dyDescent="0.25">
      <c r="A8" s="477" t="s">
        <v>210</v>
      </c>
      <c r="B8" s="478">
        <f>'Matriz de Pesos e Notas'!H140</f>
        <v>2.2222222222222223</v>
      </c>
      <c r="C8" s="479">
        <f t="shared" si="3"/>
        <v>0.02</v>
      </c>
      <c r="D8" s="479">
        <f t="shared" si="0"/>
        <v>0.04</v>
      </c>
      <c r="E8" s="479">
        <f t="shared" si="1"/>
        <v>7.0000000000000007E-2</v>
      </c>
      <c r="F8" s="479">
        <v>0.1</v>
      </c>
      <c r="G8" s="480">
        <f t="shared" si="2"/>
        <v>0.02</v>
      </c>
    </row>
    <row r="9" spans="1:7" ht="19.5" x14ac:dyDescent="0.25">
      <c r="A9" s="477" t="s">
        <v>211</v>
      </c>
      <c r="B9" s="478">
        <f>'Matriz de Pesos e Notas'!L140</f>
        <v>2</v>
      </c>
      <c r="C9" s="479">
        <f t="shared" si="3"/>
        <v>0.02</v>
      </c>
      <c r="D9" s="479">
        <f t="shared" si="0"/>
        <v>0.04</v>
      </c>
      <c r="E9" s="479">
        <f t="shared" si="1"/>
        <v>7.0000000000000007E-2</v>
      </c>
      <c r="F9" s="479">
        <v>0.1</v>
      </c>
      <c r="G9" s="480">
        <f t="shared" si="2"/>
        <v>0</v>
      </c>
    </row>
    <row r="10" spans="1:7" ht="19.5" x14ac:dyDescent="0.25">
      <c r="A10" s="477" t="s">
        <v>7</v>
      </c>
      <c r="B10" s="478">
        <f>'Matriz de Pesos e Notas'!AD141</f>
        <v>2.6500000000000004</v>
      </c>
      <c r="C10" s="479">
        <f t="shared" si="3"/>
        <v>0.02</v>
      </c>
      <c r="D10" s="479">
        <f t="shared" si="0"/>
        <v>0.04</v>
      </c>
      <c r="E10" s="479">
        <f t="shared" si="1"/>
        <v>7.0000000000000007E-2</v>
      </c>
      <c r="F10" s="479">
        <v>0.1</v>
      </c>
      <c r="G10" s="480">
        <f t="shared" si="2"/>
        <v>0.04</v>
      </c>
    </row>
    <row r="11" spans="1:7" ht="19.5" x14ac:dyDescent="0.25">
      <c r="A11" s="477" t="s">
        <v>202</v>
      </c>
      <c r="B11" s="478">
        <f>'Matriz de Pesos e Notas'!U141</f>
        <v>2</v>
      </c>
      <c r="C11" s="479">
        <f t="shared" si="3"/>
        <v>0.04</v>
      </c>
      <c r="D11" s="479">
        <f t="shared" si="0"/>
        <v>0.09</v>
      </c>
      <c r="E11" s="479">
        <f t="shared" si="1"/>
        <v>0.16</v>
      </c>
      <c r="F11" s="479">
        <v>0.25</v>
      </c>
      <c r="G11" s="480">
        <f t="shared" si="2"/>
        <v>0</v>
      </c>
    </row>
    <row r="12" spans="1:7" ht="19.5" x14ac:dyDescent="0.25">
      <c r="A12" s="481"/>
      <c r="B12" s="482"/>
      <c r="C12" s="482"/>
      <c r="D12" s="482"/>
      <c r="E12" s="482"/>
      <c r="F12" s="483">
        <f>SUM(F3:F11)</f>
        <v>2.5</v>
      </c>
      <c r="G12" s="484">
        <f>SUM(G3:G11)</f>
        <v>0.06</v>
      </c>
    </row>
    <row r="13" spans="1:7" ht="42" customHeight="1" thickBot="1" x14ac:dyDescent="0.25">
      <c r="A13" s="528" t="s">
        <v>212</v>
      </c>
      <c r="B13" s="529"/>
      <c r="C13" s="530">
        <f>IF(G12&lt;0.51,0,MROUND(G12,0.5))</f>
        <v>0</v>
      </c>
      <c r="D13" s="530"/>
      <c r="E13" s="530"/>
      <c r="F13" s="530"/>
      <c r="G13" s="531"/>
    </row>
    <row r="15" spans="1:7" x14ac:dyDescent="0.2">
      <c r="A15" s="237" t="s">
        <v>213</v>
      </c>
    </row>
  </sheetData>
  <mergeCells count="6">
    <mergeCell ref="A1:A2"/>
    <mergeCell ref="B1:B2"/>
    <mergeCell ref="F1:F2"/>
    <mergeCell ref="G1:G2"/>
    <mergeCell ref="A13:B13"/>
    <mergeCell ref="C13:G13"/>
  </mergeCells>
  <conditionalFormatting sqref="C3:F3">
    <cfRule type="cellIs" dxfId="178" priority="22" operator="equal">
      <formula>$G$3</formula>
    </cfRule>
    <cfRule type="cellIs" dxfId="177" priority="23" operator="equal">
      <formula>"$G$3"</formula>
    </cfRule>
  </conditionalFormatting>
  <conditionalFormatting sqref="D3:F3">
    <cfRule type="cellIs" dxfId="176" priority="21" stopIfTrue="1" operator="equal">
      <formula>$G$3</formula>
    </cfRule>
  </conditionalFormatting>
  <conditionalFormatting sqref="C4:F4">
    <cfRule type="cellIs" dxfId="175" priority="20" operator="equal">
      <formula>$G$4</formula>
    </cfRule>
  </conditionalFormatting>
  <conditionalFormatting sqref="C5:F5">
    <cfRule type="cellIs" dxfId="174" priority="19" operator="equal">
      <formula>$G$5</formula>
    </cfRule>
  </conditionalFormatting>
  <conditionalFormatting sqref="C6:F6">
    <cfRule type="cellIs" dxfId="173" priority="18" operator="equal">
      <formula>$G$6</formula>
    </cfRule>
  </conditionalFormatting>
  <conditionalFormatting sqref="C7:F7">
    <cfRule type="cellIs" dxfId="172" priority="17" operator="equal">
      <formula>$G$7</formula>
    </cfRule>
  </conditionalFormatting>
  <conditionalFormatting sqref="C8:F8">
    <cfRule type="cellIs" dxfId="171" priority="16" operator="equal">
      <formula>$G$8</formula>
    </cfRule>
  </conditionalFormatting>
  <conditionalFormatting sqref="C9:F9">
    <cfRule type="cellIs" dxfId="170" priority="15" operator="equal">
      <formula>$G$9</formula>
    </cfRule>
  </conditionalFormatting>
  <conditionalFormatting sqref="C10:F10">
    <cfRule type="cellIs" dxfId="169" priority="14" operator="equal">
      <formula>$G$10</formula>
    </cfRule>
  </conditionalFormatting>
  <conditionalFormatting sqref="C11:F11">
    <cfRule type="cellIs" dxfId="168" priority="13" operator="equal">
      <formula>$G$11</formula>
    </cfRule>
  </conditionalFormatting>
  <conditionalFormatting sqref="F11">
    <cfRule type="cellIs" dxfId="167" priority="12" operator="equal">
      <formula>$G$9</formula>
    </cfRule>
  </conditionalFormatting>
  <conditionalFormatting sqref="F6">
    <cfRule type="cellIs" dxfId="166" priority="4" operator="equal">
      <formula>$G$3</formula>
    </cfRule>
    <cfRule type="cellIs" dxfId="165" priority="5" operator="equal">
      <formula>"$G$3"</formula>
    </cfRule>
  </conditionalFormatting>
  <conditionalFormatting sqref="F6">
    <cfRule type="cellIs" dxfId="164" priority="3" stopIfTrue="1" operator="equal">
      <formula>$G$3</formula>
    </cfRule>
  </conditionalFormatting>
  <conditionalFormatting sqref="F9">
    <cfRule type="cellIs" dxfId="163" priority="2" operator="equal">
      <formula>$G$8</formula>
    </cfRule>
  </conditionalFormatting>
  <conditionalFormatting sqref="F10">
    <cfRule type="cellIs" dxfId="162" priority="1" operator="equal">
      <formula>$G$8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 filterMode="1">
    <pageSetUpPr fitToPage="1"/>
  </sheetPr>
  <dimension ref="A1:CN152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G1" sqref="G1:AE1"/>
    </sheetView>
  </sheetViews>
  <sheetFormatPr defaultRowHeight="15" x14ac:dyDescent="0.2"/>
  <cols>
    <col min="1" max="1" width="5.28515625" style="29" customWidth="1"/>
    <col min="2" max="2" width="31.7109375" style="29" customWidth="1"/>
    <col min="3" max="3" width="10.28515625" style="64" customWidth="1"/>
    <col min="4" max="4" width="12.5703125" style="56" hidden="1" customWidth="1"/>
    <col min="5" max="6" width="12.85546875" style="56" hidden="1" customWidth="1"/>
    <col min="7" max="9" width="7.85546875" style="29" customWidth="1"/>
    <col min="10" max="10" width="10.5703125" style="29" customWidth="1"/>
    <col min="11" max="34" width="7.85546875" style="29" customWidth="1"/>
    <col min="35" max="35" width="16.5703125" style="29" customWidth="1"/>
    <col min="36" max="36" width="35.28515625" style="29" customWidth="1"/>
    <col min="37" max="38" width="7.42578125" style="28" customWidth="1"/>
    <col min="39" max="39" width="8.42578125" style="28" bestFit="1" customWidth="1"/>
    <col min="40" max="42" width="7.42578125" style="28" customWidth="1"/>
    <col min="43" max="48" width="7.42578125" style="29" customWidth="1"/>
    <col min="49" max="50" width="6.7109375" style="29" customWidth="1"/>
    <col min="51" max="63" width="7.42578125" style="29" customWidth="1"/>
    <col min="64" max="65" width="5.7109375" style="29" customWidth="1"/>
    <col min="66" max="66" width="9.140625" style="29"/>
    <col min="67" max="68" width="5.7109375" style="29" customWidth="1"/>
    <col min="69" max="69" width="9.140625" style="29"/>
    <col min="70" max="71" width="5.7109375" style="29" customWidth="1"/>
    <col min="72" max="72" width="9.140625" style="29"/>
    <col min="73" max="74" width="5.7109375" style="29" customWidth="1"/>
    <col min="75" max="75" width="9.140625" style="29"/>
    <col min="76" max="77" width="5.7109375" style="29" customWidth="1"/>
    <col min="78" max="78" width="9.140625" style="29"/>
    <col min="79" max="80" width="5.7109375" style="29" customWidth="1"/>
    <col min="81" max="81" width="9.140625" style="29"/>
    <col min="82" max="83" width="5.7109375" style="29" customWidth="1"/>
    <col min="84" max="84" width="9.140625" style="29"/>
    <col min="85" max="86" width="5.7109375" style="29" customWidth="1"/>
    <col min="87" max="87" width="9.140625" style="29"/>
    <col min="88" max="89" width="5.7109375" style="29" customWidth="1"/>
    <col min="90" max="90" width="9.140625" style="29"/>
    <col min="91" max="92" width="12.140625" style="29" customWidth="1"/>
    <col min="93" max="16384" width="9.140625" style="29"/>
  </cols>
  <sheetData>
    <row r="1" spans="1:92" ht="23.25" thickTop="1" x14ac:dyDescent="0.2">
      <c r="A1" s="22"/>
      <c r="B1" s="23" t="s">
        <v>30</v>
      </c>
      <c r="C1" s="119"/>
      <c r="D1" s="583" t="s">
        <v>52</v>
      </c>
      <c r="E1" s="584"/>
      <c r="F1" s="585"/>
      <c r="G1" s="575" t="str">
        <f>'Digitar aqui Notas e Pesos'!D1</f>
        <v>Nome do Banco</v>
      </c>
      <c r="H1" s="576"/>
      <c r="I1" s="576"/>
      <c r="J1" s="576"/>
      <c r="K1" s="576"/>
      <c r="L1" s="576"/>
      <c r="M1" s="576"/>
      <c r="N1" s="576"/>
      <c r="O1" s="576"/>
      <c r="P1" s="576"/>
      <c r="Q1" s="576"/>
      <c r="R1" s="576"/>
      <c r="S1" s="576"/>
      <c r="T1" s="576"/>
      <c r="U1" s="576"/>
      <c r="V1" s="576"/>
      <c r="W1" s="576"/>
      <c r="X1" s="576"/>
      <c r="Y1" s="576"/>
      <c r="Z1" s="576"/>
      <c r="AA1" s="576"/>
      <c r="AB1" s="576"/>
      <c r="AC1" s="576"/>
      <c r="AD1" s="576"/>
      <c r="AE1" s="576"/>
      <c r="AF1" s="577">
        <f ca="1">TODAY()</f>
        <v>41739</v>
      </c>
      <c r="AG1" s="578"/>
      <c r="AH1" s="579"/>
      <c r="AI1" s="120">
        <f>COLUMNS(A1:AH1)+1</f>
        <v>35</v>
      </c>
      <c r="AJ1" s="121" t="s">
        <v>21</v>
      </c>
      <c r="AM1" s="122"/>
    </row>
    <row r="2" spans="1:92" ht="20.25" thickBot="1" x14ac:dyDescent="0.25">
      <c r="A2" s="30"/>
      <c r="B2" s="406">
        <f>'Digitar aqui Notas e Pesos'!B2</f>
        <v>0</v>
      </c>
      <c r="C2" s="123"/>
      <c r="D2" s="586" t="s">
        <v>53</v>
      </c>
      <c r="E2" s="587"/>
      <c r="F2" s="588"/>
      <c r="G2" s="580" t="s">
        <v>17</v>
      </c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581"/>
      <c r="AA2" s="581"/>
      <c r="AB2" s="581"/>
      <c r="AC2" s="581"/>
      <c r="AD2" s="581"/>
      <c r="AE2" s="581"/>
      <c r="AF2" s="581"/>
      <c r="AG2" s="581"/>
      <c r="AH2" s="582"/>
      <c r="AI2" s="1" t="s">
        <v>10</v>
      </c>
      <c r="AJ2" s="16" t="s">
        <v>22</v>
      </c>
      <c r="AK2" s="124" t="s">
        <v>15</v>
      </c>
      <c r="AL2" s="125"/>
      <c r="AM2" s="125"/>
    </row>
    <row r="3" spans="1:92" ht="16.5" thickTop="1" x14ac:dyDescent="0.2">
      <c r="A3" s="35"/>
      <c r="B3" s="36" t="s">
        <v>36</v>
      </c>
      <c r="C3" s="37"/>
      <c r="D3" s="571" t="s">
        <v>18</v>
      </c>
      <c r="E3" s="570" t="s">
        <v>19</v>
      </c>
      <c r="F3" s="569" t="s">
        <v>20</v>
      </c>
      <c r="G3" s="503" t="s">
        <v>12</v>
      </c>
      <c r="H3" s="502"/>
      <c r="I3" s="552"/>
      <c r="J3" s="471" t="s">
        <v>214</v>
      </c>
      <c r="K3" s="503" t="s">
        <v>2</v>
      </c>
      <c r="L3" s="502"/>
      <c r="M3" s="552"/>
      <c r="N3" s="503" t="s">
        <v>3</v>
      </c>
      <c r="O3" s="502"/>
      <c r="P3" s="552"/>
      <c r="Q3" s="503" t="s">
        <v>11</v>
      </c>
      <c r="R3" s="502"/>
      <c r="S3" s="564"/>
      <c r="T3" s="503" t="s">
        <v>202</v>
      </c>
      <c r="U3" s="502"/>
      <c r="V3" s="552"/>
      <c r="W3" s="503" t="s">
        <v>0</v>
      </c>
      <c r="X3" s="502"/>
      <c r="Y3" s="552"/>
      <c r="Z3" s="503" t="s">
        <v>1</v>
      </c>
      <c r="AA3" s="502"/>
      <c r="AB3" s="552"/>
      <c r="AC3" s="503" t="s">
        <v>7</v>
      </c>
      <c r="AD3" s="502"/>
      <c r="AE3" s="552"/>
      <c r="AF3" s="503" t="s">
        <v>8</v>
      </c>
      <c r="AG3" s="502"/>
      <c r="AH3" s="552"/>
      <c r="AI3" s="1" t="s">
        <v>10</v>
      </c>
      <c r="AJ3" s="17" t="s">
        <v>23</v>
      </c>
      <c r="AK3" s="572" t="s">
        <v>12</v>
      </c>
      <c r="AL3" s="572"/>
      <c r="AM3" s="572"/>
      <c r="AN3" s="572" t="s">
        <v>2</v>
      </c>
      <c r="AO3" s="572"/>
      <c r="AP3" s="572"/>
      <c r="AQ3" s="572" t="s">
        <v>3</v>
      </c>
      <c r="AR3" s="572"/>
      <c r="AS3" s="572"/>
      <c r="AT3" s="572" t="s">
        <v>11</v>
      </c>
      <c r="AU3" s="572"/>
      <c r="AV3" s="572"/>
      <c r="AW3" s="572" t="s">
        <v>202</v>
      </c>
      <c r="AX3" s="572"/>
      <c r="AY3" s="572"/>
      <c r="AZ3" s="572" t="s">
        <v>0</v>
      </c>
      <c r="BA3" s="572"/>
      <c r="BB3" s="572"/>
      <c r="BC3" s="572" t="s">
        <v>1</v>
      </c>
      <c r="BD3" s="572"/>
      <c r="BE3" s="572"/>
      <c r="BF3" s="572" t="s">
        <v>7</v>
      </c>
      <c r="BG3" s="572"/>
      <c r="BH3" s="572"/>
      <c r="BI3" s="572" t="s">
        <v>8</v>
      </c>
      <c r="BJ3" s="572"/>
      <c r="BK3" s="572"/>
      <c r="BL3" s="234" t="s">
        <v>12</v>
      </c>
      <c r="BM3" s="234"/>
      <c r="BN3" s="234"/>
      <c r="BO3" s="234" t="s">
        <v>2</v>
      </c>
      <c r="BP3" s="234"/>
      <c r="BQ3" s="234"/>
      <c r="BR3" s="234" t="s">
        <v>3</v>
      </c>
      <c r="BS3" s="234"/>
      <c r="BT3" s="234"/>
      <c r="BU3" s="234" t="s">
        <v>11</v>
      </c>
      <c r="BV3" s="234"/>
      <c r="BW3" s="234"/>
      <c r="BX3" s="234" t="s">
        <v>202</v>
      </c>
      <c r="BY3" s="234"/>
      <c r="BZ3" s="234"/>
      <c r="CA3" s="234" t="s">
        <v>0</v>
      </c>
      <c r="CB3" s="234"/>
      <c r="CC3" s="234"/>
      <c r="CD3" s="234" t="s">
        <v>1</v>
      </c>
      <c r="CE3" s="234"/>
      <c r="CF3" s="234"/>
      <c r="CG3" s="234" t="s">
        <v>7</v>
      </c>
      <c r="CH3" s="234"/>
      <c r="CI3" s="234"/>
      <c r="CJ3" s="234" t="s">
        <v>8</v>
      </c>
      <c r="CK3" s="234"/>
      <c r="CL3" s="234"/>
      <c r="CM3" s="201"/>
      <c r="CN3" s="201"/>
    </row>
    <row r="4" spans="1:92" s="40" customFormat="1" ht="24" thickBot="1" x14ac:dyDescent="0.25">
      <c r="A4" s="184" t="s">
        <v>34</v>
      </c>
      <c r="B4" s="185" t="s">
        <v>16</v>
      </c>
      <c r="C4" s="186" t="s">
        <v>51</v>
      </c>
      <c r="D4" s="571"/>
      <c r="E4" s="570"/>
      <c r="F4" s="569"/>
      <c r="G4" s="187" t="s">
        <v>31</v>
      </c>
      <c r="H4" s="188" t="s">
        <v>32</v>
      </c>
      <c r="I4" s="189" t="s">
        <v>6</v>
      </c>
      <c r="J4" s="495" t="s">
        <v>216</v>
      </c>
      <c r="K4" s="187" t="s">
        <v>31</v>
      </c>
      <c r="L4" s="188" t="s">
        <v>32</v>
      </c>
      <c r="M4" s="189" t="s">
        <v>6</v>
      </c>
      <c r="N4" s="187" t="s">
        <v>31</v>
      </c>
      <c r="O4" s="188" t="s">
        <v>32</v>
      </c>
      <c r="P4" s="189" t="s">
        <v>6</v>
      </c>
      <c r="Q4" s="187" t="s">
        <v>31</v>
      </c>
      <c r="R4" s="188" t="s">
        <v>32</v>
      </c>
      <c r="S4" s="189" t="s">
        <v>6</v>
      </c>
      <c r="T4" s="187" t="s">
        <v>31</v>
      </c>
      <c r="U4" s="188" t="s">
        <v>32</v>
      </c>
      <c r="V4" s="189" t="s">
        <v>6</v>
      </c>
      <c r="W4" s="187" t="s">
        <v>31</v>
      </c>
      <c r="X4" s="188" t="s">
        <v>32</v>
      </c>
      <c r="Y4" s="189" t="s">
        <v>6</v>
      </c>
      <c r="Z4" s="187" t="s">
        <v>31</v>
      </c>
      <c r="AA4" s="188" t="s">
        <v>32</v>
      </c>
      <c r="AB4" s="189" t="s">
        <v>6</v>
      </c>
      <c r="AC4" s="187" t="s">
        <v>31</v>
      </c>
      <c r="AD4" s="188" t="s">
        <v>32</v>
      </c>
      <c r="AE4" s="189" t="s">
        <v>6</v>
      </c>
      <c r="AF4" s="187" t="s">
        <v>31</v>
      </c>
      <c r="AG4" s="188" t="s">
        <v>32</v>
      </c>
      <c r="AH4" s="190" t="s">
        <v>6</v>
      </c>
      <c r="AI4" s="1" t="s">
        <v>10</v>
      </c>
      <c r="AJ4" s="16" t="s">
        <v>38</v>
      </c>
      <c r="AK4" s="126" t="s">
        <v>4</v>
      </c>
      <c r="AL4" s="126" t="s">
        <v>5</v>
      </c>
      <c r="AM4" s="126"/>
      <c r="AN4" s="126" t="s">
        <v>4</v>
      </c>
      <c r="AO4" s="126" t="s">
        <v>5</v>
      </c>
      <c r="AP4" s="125"/>
      <c r="AQ4" s="126" t="s">
        <v>4</v>
      </c>
      <c r="AR4" s="126" t="s">
        <v>5</v>
      </c>
      <c r="AT4" s="126" t="s">
        <v>4</v>
      </c>
      <c r="AU4" s="126" t="s">
        <v>5</v>
      </c>
      <c r="AW4" s="126" t="s">
        <v>4</v>
      </c>
      <c r="AX4" s="126" t="s">
        <v>5</v>
      </c>
      <c r="AZ4" s="126" t="s">
        <v>4</v>
      </c>
      <c r="BA4" s="126" t="s">
        <v>5</v>
      </c>
      <c r="BC4" s="126" t="s">
        <v>4</v>
      </c>
      <c r="BD4" s="126" t="s">
        <v>5</v>
      </c>
      <c r="BF4" s="126" t="s">
        <v>4</v>
      </c>
      <c r="BG4" s="126" t="s">
        <v>5</v>
      </c>
      <c r="BI4" s="126" t="s">
        <v>4</v>
      </c>
      <c r="BJ4" s="126" t="s">
        <v>5</v>
      </c>
    </row>
    <row r="5" spans="1:92" x14ac:dyDescent="0.2">
      <c r="A5" s="191" t="str">
        <f>'Digitar aqui Notas e Pesos'!A5</f>
        <v>Varejo e Prime</v>
      </c>
      <c r="B5" s="192"/>
      <c r="C5" s="193" t="str">
        <f>IF('Digitar aqui Notas e Pesos'!C5,PEsoLetra('Digitar aqui Notas e Pesos'!C5),0)</f>
        <v>a</v>
      </c>
      <c r="D5" s="213">
        <f>IF(letrapeso(C5),(letrapeso($C7)*D7+letrapeso($C9)*D9+letrapeso($C11)*D11+letrapeso($C13)*D13+letrapeso($C15)*D15+letrapeso($C17)*D17+letrapeso($C19)*D19)/(letrapeso($C7)+letrapeso($C9)+letrapeso($C11)+letrapeso($C13)+letrapeso($C15)+letrapeso($C17)+letrapeso($C19)),0)</f>
        <v>2</v>
      </c>
      <c r="E5" s="214">
        <f>IF(letrapeso(C5),(letrapeso($C7)*E7+letrapeso($C9)*E9+letrapeso($C11)*E11+letrapeso($C13)*E13+letrapeso($C15)*E15+letrapeso($C17)*E17+letrapeso($C19)*E19)/(letrapeso($C7)+letrapeso($C9)+letrapeso($C11)+letrapeso($C13)+letrapeso($C15)+letrapeso($C17)+letrapeso($C19)),0)</f>
        <v>2</v>
      </c>
      <c r="F5" s="215">
        <f>IF(letrapeso(C5),(letrapeso($C7)*F7+letrapeso($C9)*F9+letrapeso($C11)*F11+letrapeso($C13)*F13+letrapeso($C15)*F15+letrapeso($C17)*F17+letrapeso($C19)*F19)/(letrapeso($C7)+letrapeso($C9)+letrapeso($C11)+letrapeso($C13)+letrapeso($C15)+letrapeso($C17)+letrapeso($C19)),0)</f>
        <v>2</v>
      </c>
      <c r="G5" s="220"/>
      <c r="H5" s="221"/>
      <c r="I5" s="222"/>
      <c r="J5" s="489"/>
      <c r="K5" s="220"/>
      <c r="L5" s="221"/>
      <c r="M5" s="222"/>
      <c r="N5" s="220"/>
      <c r="O5" s="221"/>
      <c r="P5" s="222"/>
      <c r="Q5" s="220"/>
      <c r="R5" s="221"/>
      <c r="S5" s="222"/>
      <c r="T5" s="220"/>
      <c r="U5" s="221"/>
      <c r="V5" s="222"/>
      <c r="W5" s="220"/>
      <c r="X5" s="221"/>
      <c r="Y5" s="222"/>
      <c r="Z5" s="220"/>
      <c r="AA5" s="221"/>
      <c r="AB5" s="222"/>
      <c r="AC5" s="220"/>
      <c r="AD5" s="221"/>
      <c r="AE5" s="222"/>
      <c r="AF5" s="220"/>
      <c r="AG5" s="221"/>
      <c r="AH5" s="223"/>
      <c r="AI5" s="8" t="str">
        <f>IF(letrapeso(C5),"Imprime","Não Imprime")</f>
        <v>Imprime</v>
      </c>
      <c r="AJ5" s="15" t="s">
        <v>27</v>
      </c>
      <c r="AK5" s="127">
        <f>IF(SUM(AK6+AK22+AK38+AK54+AK70+AK86+AK102+AK118),(AK6*letrapeso($C5)+AK22*letrapeso($C21)+AK38*letrapeso($C37)+AK54*letrapeso($C53)+AK70*letrapeso($C69)+AK86*letrapeso($C85)+AK102*letrapeso($C101)+AK118*letrapeso($C117))/(IF(AK6,letrapeso($C5),0)+IF(AK22,letrapeso($C21),0)+IF(AK38,letrapeso($C37),0)+IF(AK54,letrapeso($C53),0)+IF(AK70,letrapeso($C69),0)+IF(AK86,letrapeso($C85),0)+IF(AK102,letrapeso($C101),0)+IF(AK118,letrapeso($C117),0)),0)</f>
        <v>2</v>
      </c>
      <c r="AL5" s="127">
        <f>IF(SUM(AL6+AL22+AL38+AL54+AL70+AL86+AL102+AL118),(AL6*letrapeso($C5)+AL22*letrapeso($C21)+AL38*letrapeso($C37)+AL54*letrapeso($C53)+AL70*letrapeso($C69)+AL86*letrapeso($C85)+AL102*letrapeso($C101)+AL118*letrapeso($C117))/(IF(AL6,letrapeso($C5),0)+IF(AL22,letrapeso($C21),0)+IF(AL38,letrapeso($C37),0)+IF(AL54,letrapeso($C53),0)+IF(AL70,letrapeso($C69),0)+IF(AL86,letrapeso($C85),0)+IF(AL102,letrapeso($C101),0)+IF(AL118,letrapeso($C117),0)),0)</f>
        <v>2.2222222222222223</v>
      </c>
      <c r="AM5" s="127">
        <f>IF(SUM(AM6+AM22+AM38+AM54+AM70+AM86+AM102+AM118),(AM6*letrapeso($C5)+AM22*letrapeso($C21)+AM38*letrapeso($C37)+AM54*letrapeso($C53)+AM70*letrapeso($C69)+AM86*letrapeso($C85)+AM102*letrapeso($C101)+AM118*letrapeso($C117))/(IF(AM6,letrapeso($C5),0)+IF(AM22,letrapeso($C21),0)+IF(AM38,letrapeso($C37),0)+IF(AM54,letrapeso($C53),0)+IF(AM70,letrapeso($C69),0)+IF(AM86,letrapeso($C85),0)+IF(AM102,letrapeso($C101),0)+IF(AM118,letrapeso($C117),0)),0)</f>
        <v>1</v>
      </c>
      <c r="AN5" s="127">
        <f>IF(SUM(AN6+AN22+AN38+AN54+AN70+AN86+AN102+AN118),(AN6*letrapeso($C5)+AN22*letrapeso($C21)+AN38*letrapeso($C37)+AN54*letrapeso($C53)+AN70*letrapeso($C69)+AN86*letrapeso($C85)+AN102*letrapeso($C101)+AN118*letrapeso($C117))/(IF(AN6,letrapeso($C5),0)+IF(AN22,letrapeso($C21),0)+IF(AN38,letrapeso($C37),0)+IF(AN54,letrapeso($C53),0)+IF(AN70,letrapeso($C69),0)+IF(AN86,letrapeso($C85),0)+IF(AN102,letrapeso($C101),0)+IF(AN118,letrapeso($C117),0)),0)</f>
        <v>2</v>
      </c>
      <c r="AO5" s="127">
        <f>IF(SUM(AO6+AO22+AO38+AO54+AO70+AO86+AO102+AO118),(AO6*letrapeso($C5)+AO22*letrapeso($C21)+AO38*letrapeso($C37)+AO54*letrapeso($C53)+AO70*letrapeso($C69)+AO86*letrapeso($C85)+AO102*letrapeso($C101)+AO118*letrapeso($C117))/(IF(AO6,letrapeso($C5),0)+IF(AO22,letrapeso($C21),0)+IF(AO38,letrapeso($C37),0)+IF(AO54,letrapeso($C53),0)+IF(AO70,letrapeso($C69),0)+IF(AO86,letrapeso($C85),0)+IF(AO102,letrapeso($C101),0)+IF(AO118,letrapeso($C117),0)),0)</f>
        <v>2</v>
      </c>
      <c r="AQ5" s="127">
        <f>IF(SUM(AQ6+AQ22+AQ38+AQ54+AQ70+AQ86+AQ102+AQ118),(AQ6*letrapeso($C5)+AQ22*letrapeso($C21)+AQ38*letrapeso($C37)+AQ54*letrapeso($C53)+AQ70*letrapeso($C69)+AQ86*letrapeso($C85)+AQ102*letrapeso($C101)+AQ118*letrapeso($C117))/(IF(AQ6,letrapeso($C5),0)+IF(AQ22,letrapeso($C21),0)+IF(AQ38,letrapeso($C37),0)+IF(AQ54,letrapeso($C53),0)+IF(AQ70,letrapeso($C69),0)+IF(AQ86,letrapeso($C85),0)+IF(AQ102,letrapeso($C101),0)+IF(AQ118,letrapeso($C117),0)),0)</f>
        <v>1</v>
      </c>
      <c r="AR5" s="127">
        <f>IF(SUM(AR6+AR22+AR38+AR54+AR70+AR86+AR102+AR118),(AR6*letrapeso($C5)+AR22*letrapeso($C21)+AR38*letrapeso($C37)+AR54*letrapeso($C53)+AR70*letrapeso($C69)+AR86*letrapeso($C85)+AR102*letrapeso($C101)+AR118*letrapeso($C117))/(IF(AR6,letrapeso($C5),0)+IF(AR22,letrapeso($C21),0)+IF(AR38,letrapeso($C37),0)+IF(AR54,letrapeso($C53),0)+IF(AR70,letrapeso($C69),0)+IF(AR86,letrapeso($C85),0)+IF(AR102,letrapeso($C101),0)+IF(AR118,letrapeso($C117),0)),0)</f>
        <v>2</v>
      </c>
      <c r="AS5" s="28"/>
      <c r="AT5" s="127">
        <f>IF(SUM(AT6+AT22+AT38+AT54+AT70+AT86+AT102+AT118),(AT6*letrapeso($C5)+AT22*letrapeso($C21)+AT38*letrapeso($C37)+AT54*letrapeso($C53)+AT70*letrapeso($C69)+AT86*letrapeso($C85)+AT102*letrapeso($C101)+AT118*letrapeso($C117))/(IF(AT6,letrapeso($C5),0)+IF(AT22,letrapeso($C21),0)+IF(AT38,letrapeso($C37),0)+IF(AT54,letrapeso($C53),0)+IF(AT70,letrapeso($C69),0)+IF(AT86,letrapeso($C85),0)+IF(AT102,letrapeso($C101),0)+IF(AT118,letrapeso($C117),0)),0)</f>
        <v>2</v>
      </c>
      <c r="AU5" s="127">
        <f>IF(SUM(AU6+AU22+AU38+AU54+AU70+AU86+AU102+AU118),(AU6*letrapeso($C5)+AU22*letrapeso($C21)+AU38*letrapeso($C37)+AU54*letrapeso($C53)+AU70*letrapeso($C69)+AU86*letrapeso($C85)+AU102*letrapeso($C101)+AU118*letrapeso($C117))/(IF(AU6,letrapeso($C5),0)+IF(AU22,letrapeso($C21),0)+IF(AU38,letrapeso($C37),0)+IF(AU54,letrapeso($C53),0)+IF(AU70,letrapeso($C69),0)+IF(AU86,letrapeso($C85),0)+IF(AU102,letrapeso($C101),0)+IF(AU118,letrapeso($C117),0)),0)</f>
        <v>1.6666666666666667</v>
      </c>
      <c r="AV5" s="28"/>
      <c r="AW5" s="127">
        <f>IF(SUM(AW6+AW22+AW38+AW54+AW70+AW86+AW102+AW118),(AW6*letrapeso($C5)+AW22*letrapeso($C21)+AW38*letrapeso($C37)+AW54*letrapeso($C53)+AW70*letrapeso($C69)+AW86*letrapeso($C85)+AW102*letrapeso($C101)+AW118*letrapeso($C117))/(IF(AW6,letrapeso($C5),0)+IF(AW22,letrapeso($C21),0)+IF(AW38,letrapeso($C37),0)+IF(AW54,letrapeso($C53),0)+IF(AW70,letrapeso($C69),0)+IF(AW86,letrapeso($C85),0)+IF(AW102,letrapeso($C101),0)+IF(AW118,letrapeso($C117),0)),0)</f>
        <v>0</v>
      </c>
      <c r="AX5" s="127">
        <f>IF(SUM(AX6+AX22+AX38+AX54+AX70+AX86+AX102+AX118),(AX6*letrapeso($C5)+AX22*letrapeso($C21)+AX38*letrapeso($C37)+AX54*letrapeso($C53)+AX70*letrapeso($C69)+AX86*letrapeso($C85)+AX102*letrapeso($C101)+AX118*letrapeso($C117))/(IF(AX6,letrapeso($C5),0)+IF(AX22,letrapeso($C21),0)+IF(AX38,letrapeso($C37),0)+IF(AX54,letrapeso($C53),0)+IF(AX70,letrapeso($C69),0)+IF(AX86,letrapeso($C85),0)+IF(AX102,letrapeso($C101),0)+IF(AX118,letrapeso($C117),0)),0)</f>
        <v>0</v>
      </c>
      <c r="AY5" s="28"/>
      <c r="AZ5" s="127">
        <f>IF(SUM(AZ6+AZ22+AZ38+AZ54+AZ70+AZ86+AZ102+AZ118),(AZ6*letrapeso($C5)+AZ22*letrapeso($C21)+AZ38*letrapeso($C37)+AZ54*letrapeso($C53)+AZ70*letrapeso($C69)+AZ86*letrapeso($C85)+AZ102*letrapeso($C101)+AZ118*letrapeso($C117))/(IF(AZ6,letrapeso($C5),0)+IF(AZ22,letrapeso($C21),0)+IF(AZ38,letrapeso($C37),0)+IF(AZ54,letrapeso($C53),0)+IF(AZ70,letrapeso($C69),0)+IF(AZ86,letrapeso($C85),0)+IF(AZ102,letrapeso($C101),0)+IF(AZ118,letrapeso($C117),0)),0)</f>
        <v>0</v>
      </c>
      <c r="BA5" s="127">
        <f>IF(SUM(BA6+BA22+BA38+BA54+BA70+BA86+BA102+BA118),(BA6*letrapeso($C5)+BA22*letrapeso($C21)+BA38*letrapeso($C37)+BA54*letrapeso($C53)+BA70*letrapeso($C69)+BA86*letrapeso($C85)+BA102*letrapeso($C101)+BA118*letrapeso($C117))/(IF(BA6,letrapeso($C5),0)+IF(BA22,letrapeso($C21),0)+IF(BA38,letrapeso($C37),0)+IF(BA54,letrapeso($C53),0)+IF(BA70,letrapeso($C69),0)+IF(BA86,letrapeso($C85),0)+IF(BA102,letrapeso($C101),0)+IF(BA118,letrapeso($C117),0)),0)</f>
        <v>0</v>
      </c>
      <c r="BB5" s="28"/>
      <c r="BC5" s="127">
        <f>IF(SUM(BC6+BC22+BC38+BC54+BC70+BC86+BC102+BC118),(BC6*letrapeso($C5)+BC22*letrapeso($C21)+BC38*letrapeso($C37)+BC54*letrapeso($C53)+BC70*letrapeso($C69)+BC86*letrapeso($C85)+BC102*letrapeso($C101)+BC118*letrapeso($C117))/(IF(BC6,letrapeso($C5),0)+IF(BC22,letrapeso($C21),0)+IF(BC38,letrapeso($C37),0)+IF(BC54,letrapeso($C53),0)+IF(BC70,letrapeso($C69),0)+IF(BC86,letrapeso($C85),0)+IF(BC102,letrapeso($C101),0)+IF(BC118,letrapeso($C117),0)),0)</f>
        <v>0</v>
      </c>
      <c r="BD5" s="127">
        <f>IF(SUM(BD6+BD22+BD38+BD54+BD70+BD86+BD102+BD118),(BD6*letrapeso($C5)+BD22*letrapeso($C21)+BD38*letrapeso($C37)+BD54*letrapeso($C53)+BD70*letrapeso($C69)+BD86*letrapeso($C85)+BD102*letrapeso($C101)+BD118*letrapeso($C117))/(IF(BD6,letrapeso($C5),0)+IF(BD22,letrapeso($C21),0)+IF(BD38,letrapeso($C37),0)+IF(BD54,letrapeso($C53),0)+IF(BD70,letrapeso($C69),0)+IF(BD86,letrapeso($C85),0)+IF(BD102,letrapeso($C101),0)+IF(BD118,letrapeso($C117),0)),0)</f>
        <v>0</v>
      </c>
      <c r="BE5" s="28"/>
      <c r="BF5" s="127">
        <f>IF(SUM(BF6+BF22+BF38+BF54+BF70+BF86+BF102+BF118),(BF6*letrapeso($C5)+BF22*letrapeso($C21)+BF38*letrapeso($C37)+BF54*letrapeso($C53)+BF70*letrapeso($C69)+BF86*letrapeso($C85)+BF102*letrapeso($C101)+BF118*letrapeso($C117))/(IF(BF6,letrapeso($C5),0)+IF(BF22,letrapeso($C21),0)+IF(BF38,letrapeso($C37),0)+IF(BF54,letrapeso($C53),0)+IF(BF70,letrapeso($C69),0)+IF(BF86,letrapeso($C85),0)+IF(BF102,letrapeso($C101),0)+IF(BF118,letrapeso($C117),0)),0)</f>
        <v>0</v>
      </c>
      <c r="BG5" s="127">
        <f>IF(SUM(BG6+BG22+BG38+BG54+BG70+BG86+BG102+BG118),(BG6*letrapeso($C5)+BG22*letrapeso($C21)+BG38*letrapeso($C37)+BG54*letrapeso($C53)+BG70*letrapeso($C69)+BG86*letrapeso($C85)+BG102*letrapeso($C101)+BG118*letrapeso($C117))/(IF(BG6,letrapeso($C5),0)+IF(BG22,letrapeso($C21),0)+IF(BG38,letrapeso($C37),0)+IF(BG54,letrapeso($C53),0)+IF(BG70,letrapeso($C69),0)+IF(BG86,letrapeso($C85),0)+IF(BG102,letrapeso($C101),0)+IF(BG118,letrapeso($C117),0)),0)</f>
        <v>0</v>
      </c>
      <c r="BH5" s="28"/>
      <c r="BI5" s="127">
        <f>IF(SUM(BI6+BI22+BI38+BI54+BI70+BI86+BI102+BI118),(BI6*letrapeso($C5)+BI22*letrapeso($C21)+BI38*letrapeso($C37)+BI54*letrapeso($C53)+BI70*letrapeso($C69)+BI86*letrapeso($C85)+BI102*letrapeso($C101)+BI118*letrapeso($C117))/(IF(BI6,letrapeso($C5),0)+IF(BI22,letrapeso($C21),0)+IF(BI38,letrapeso($C37),0)+IF(BI54,letrapeso($C53),0)+IF(BI70,letrapeso($C69),0)+IF(BI86,letrapeso($C85),0)+IF(BI102,letrapeso($C101),0)+IF(BI118,letrapeso($C117),0)),0)</f>
        <v>0</v>
      </c>
      <c r="BJ5" s="127">
        <f>IF(SUM(BJ6+BJ22+BJ38+BJ54+BJ70+BJ86+BJ102+BJ118),(BJ6*letrapeso($C5)+BJ22*letrapeso($C21)+BJ38*letrapeso($C37)+BJ54*letrapeso($C53)+BJ70*letrapeso($C69)+BJ86*letrapeso($C85)+BJ102*letrapeso($C101)+BJ118*letrapeso($C117))/(IF(BJ6,letrapeso($C5),0)+IF(BJ22,letrapeso($C21),0)+IF(BJ38,letrapeso($C37),0)+IF(BJ54,letrapeso($C53),0)+IF(BJ70,letrapeso($C69),0)+IF(BJ86,letrapeso($C85),0)+IF(BJ102,letrapeso($C101),0)+IF(BJ118,letrapeso($C117),0)),0)</f>
        <v>0</v>
      </c>
      <c r="BK5" s="28"/>
    </row>
    <row r="6" spans="1:92" x14ac:dyDescent="0.2">
      <c r="A6" s="567"/>
      <c r="B6" s="568"/>
      <c r="C6" s="228"/>
      <c r="D6" s="214"/>
      <c r="E6" s="214"/>
      <c r="F6" s="215"/>
      <c r="G6" s="224"/>
      <c r="H6" s="225"/>
      <c r="I6" s="226"/>
      <c r="J6" s="490"/>
      <c r="K6" s="224"/>
      <c r="L6" s="225"/>
      <c r="M6" s="226"/>
      <c r="N6" s="224"/>
      <c r="O6" s="225"/>
      <c r="P6" s="226"/>
      <c r="Q6" s="224"/>
      <c r="R6" s="225"/>
      <c r="S6" s="226"/>
      <c r="T6" s="224"/>
      <c r="U6" s="225"/>
      <c r="V6" s="226"/>
      <c r="W6" s="224"/>
      <c r="X6" s="225"/>
      <c r="Y6" s="226"/>
      <c r="Z6" s="224"/>
      <c r="AA6" s="225"/>
      <c r="AB6" s="226"/>
      <c r="AC6" s="224"/>
      <c r="AD6" s="225"/>
      <c r="AE6" s="226"/>
      <c r="AF6" s="224"/>
      <c r="AG6" s="225"/>
      <c r="AH6" s="227"/>
      <c r="AI6" s="19" t="str">
        <f>+AI5</f>
        <v>Imprime</v>
      </c>
      <c r="AJ6" s="15" t="s">
        <v>26</v>
      </c>
      <c r="AK6" s="128">
        <f>IF(SUM(AK7:AK19),SUM(AK7:AK19)/(letrapeso(G8)*letrapeso($C7)+letrapeso(G10)*letrapeso($C9)+letrapeso(G12)*letrapeso($C11)+letrapeso(G14)*letrapeso($C13)+letrapeso(G16)*letrapeso($C15)+letrapeso(G18)*letrapeso($C17)+letrapeso(G20)*letrapeso($C19)),0)</f>
        <v>2</v>
      </c>
      <c r="AL6" s="128">
        <f>IF(SUM(AL7:AL19),SUM(AL7:AL19)/(letrapeso(H8)*letrapeso($C7)+letrapeso(H10)*letrapeso($C9)+letrapeso(H12)*letrapeso($C11)+letrapeso(H14)*letrapeso($C13)+letrapeso(H16)*letrapeso($C15)+letrapeso(H18)*letrapeso($C17)+letrapeso(H20)*letrapeso($C19)),0)</f>
        <v>2</v>
      </c>
      <c r="AM6" s="128">
        <f>IF(SUM(AM7:AM19),SUM(AM7:AM19)/(letrapeso(G8)*letrapeso($C7)+letrapeso(G10)*letrapeso($C9)+letrapeso(G12)*letrapeso($C11)+letrapeso(G14)*letrapeso($C13)+letrapeso(G16)*letrapeso($C15)+letrapeso(G18)*letrapeso($C17)+letrapeso(G20)*letrapeso($C19)),0)</f>
        <v>1</v>
      </c>
      <c r="AN6" s="128">
        <f>IF(SUM(AN7:AN19),SUM(AN7:AN19)/(letrapeso(K8)*letrapeso($C7)+letrapeso(K10)*letrapeso($C9)+letrapeso(K12)*letrapeso($C11)+letrapeso(K14)*letrapeso($C13)+letrapeso(K16)*letrapeso($C15)+letrapeso(K18)*letrapeso($C17)+letrapeso(K20)*letrapeso($C19)),0)</f>
        <v>0</v>
      </c>
      <c r="AO6" s="128">
        <f>IF(SUM(AO7:AO19),SUM(AO7:AO19)/(letrapeso(L8)*letrapeso($C7)+letrapeso(L10)*letrapeso($C9)+letrapeso(L12)*letrapeso($C11)+letrapeso(L14)*letrapeso($C13)+letrapeso(L16)*letrapeso($C15)+letrapeso(L18)*letrapeso($C17)+letrapeso(L20)*letrapeso($C19)),0)</f>
        <v>0</v>
      </c>
      <c r="AQ6" s="128">
        <f>IF(SUM(AQ7:AQ19),SUM(AQ7:AQ19)/(letrapeso(N8)*letrapeso($C7)+letrapeso(N10)*letrapeso($C9)+letrapeso(N12)*letrapeso($C11)+letrapeso(N14)*letrapeso($C13)+letrapeso(N16)*letrapeso($C15)+letrapeso(N18)*letrapeso($C17)+letrapeso(N20)*letrapeso($C19)),0)</f>
        <v>0</v>
      </c>
      <c r="AR6" s="128">
        <f>IF(SUM(AR7:AR19),SUM(AR7:AR19)/(letrapeso(O8)*letrapeso($C7)+letrapeso(O10)*letrapeso($C9)+letrapeso(O12)*letrapeso($C11)+letrapeso(O14)*letrapeso($C13)+letrapeso(O16)*letrapeso($C15)+letrapeso(O18)*letrapeso($C17)+letrapeso(O20)*letrapeso($C19)),0)</f>
        <v>0</v>
      </c>
      <c r="AS6" s="28"/>
      <c r="AT6" s="128">
        <f>IF(SUM(AT7:AT19),SUM(AT7:AT19)/(letrapeso(Q8)*letrapeso($C7)+letrapeso(Q10)*letrapeso($C9)+letrapeso(Q12)*letrapeso($C11)+letrapeso(Q14)*letrapeso($C13)+letrapeso(Q16)*letrapeso($C15)+letrapeso(Q18)*letrapeso($C17)+letrapeso(Q20)*letrapeso($C19)),0)</f>
        <v>0</v>
      </c>
      <c r="AU6" s="128">
        <f>IF(SUM(AU7:AU19),SUM(AU7:AU19)/(letrapeso(R8)*letrapeso($C7)+letrapeso(R10)*letrapeso($C9)+letrapeso(R12)*letrapeso($C11)+letrapeso(R14)*letrapeso($C13)+letrapeso(R16)*letrapeso($C15)+letrapeso(R18)*letrapeso($C17)+letrapeso(R20)*letrapeso($C19)),0)</f>
        <v>0</v>
      </c>
      <c r="AV6" s="28"/>
      <c r="AW6" s="128">
        <f>IF(SUM(AW7:AW19),SUM(AW7:AW19)/(letrapeso(T8)*letrapeso($C7)+letrapeso(T10)*letrapeso($C9)+letrapeso(T12)*letrapeso($C11)+letrapeso(T14)*letrapeso($C13)+letrapeso(T16)*letrapeso($C15)+letrapeso(T18)*letrapeso($C17)+letrapeso(T20)*letrapeso($C19)),0)</f>
        <v>0</v>
      </c>
      <c r="AX6" s="128">
        <f>IF(SUM(AX7:AX19),SUM(AX7:AX19)/(letrapeso(U8)*letrapeso($C7)+letrapeso(U10)*letrapeso($C9)+letrapeso(U12)*letrapeso($C11)+letrapeso(U14)*letrapeso($C13)+letrapeso(U16)*letrapeso($C15)+letrapeso(U18)*letrapeso($C17)+letrapeso(U20)*letrapeso($C19)),0)</f>
        <v>0</v>
      </c>
      <c r="AY6" s="28"/>
      <c r="AZ6" s="128">
        <f>IF(SUM(AZ7:AZ19),SUM(AZ7:AZ19)/(letrapeso(W8)*letrapeso($C7)+letrapeso(W10)*letrapeso($C9)+letrapeso(W12)*letrapeso($C11)+letrapeso(W14)*letrapeso($C13)+letrapeso(W16)*letrapeso($C15)+letrapeso(W18)*letrapeso($C17)+letrapeso(W20)*letrapeso($C19)),0)</f>
        <v>0</v>
      </c>
      <c r="BA6" s="128">
        <f>IF(SUM(BA7:BA19),SUM(BA7:BA19)/(letrapeso(X8)*letrapeso($C7)+letrapeso(X10)*letrapeso($C9)+letrapeso(X12)*letrapeso($C11)+letrapeso(X14)*letrapeso($C13)+letrapeso(X16)*letrapeso($C15)+letrapeso(X18)*letrapeso($C17)+letrapeso(X20)*letrapeso($C19)),0)</f>
        <v>0</v>
      </c>
      <c r="BB6" s="28"/>
      <c r="BC6" s="128">
        <f>IF(SUM(BC7:BC19),SUM(BC7:BC19)/(letrapeso(Z8)*letrapeso($C7)+letrapeso(Z10)*letrapeso($C9)+letrapeso(Z12)*letrapeso($C11)+letrapeso(Z14)*letrapeso($C13)+letrapeso(Z16)*letrapeso($C15)+letrapeso(Z18)*letrapeso($C17)+letrapeso(Z20)*letrapeso($C19)),0)</f>
        <v>0</v>
      </c>
      <c r="BD6" s="128">
        <f>IF(SUM(BD7:BD19),SUM(BD7:BD19)/(letrapeso(AA8)*letrapeso($C7)+letrapeso(AA10)*letrapeso($C9)+letrapeso(AA12)*letrapeso($C11)+letrapeso(AA14)*letrapeso($C13)+letrapeso(AA16)*letrapeso($C15)+letrapeso(AA18)*letrapeso($C17)+letrapeso(AA20)*letrapeso($C19)),0)</f>
        <v>0</v>
      </c>
      <c r="BE6" s="28"/>
      <c r="BF6" s="128">
        <f>IF(SUM(BF7:BF19),SUM(BF7:BF19)/(letrapeso(AC8)*letrapeso($C7)+letrapeso(AC10)*letrapeso($C9)+letrapeso(AC12)*letrapeso($C11)+letrapeso(AC14)*letrapeso($C13)+letrapeso(AC16)*letrapeso($C15)+letrapeso(AC18)*letrapeso($C17)+letrapeso(AC20)*letrapeso($C19)),0)</f>
        <v>0</v>
      </c>
      <c r="BG6" s="128">
        <f>IF(SUM(BG7:BG19),SUM(BG7:BG19)/(letrapeso(AD8)*letrapeso($C7)+letrapeso(AD10)*letrapeso($C9)+letrapeso(AD12)*letrapeso($C11)+letrapeso(AD14)*letrapeso($C13)+letrapeso(AD16)*letrapeso($C15)+letrapeso(AD18)*letrapeso($C17)+letrapeso(AD20)*letrapeso($C19)),0)</f>
        <v>0</v>
      </c>
      <c r="BH6" s="28"/>
      <c r="BI6" s="128">
        <f>IF(SUM(BI7:BI19),SUM(BI7:BI19)/(letrapeso(AF8)*letrapeso($C7)+letrapeso(AF10)*letrapeso($C9)+letrapeso(AF12)*letrapeso($C11)+letrapeso(AF14)*letrapeso($C13)+letrapeso(AF16)*letrapeso($C15)+letrapeso(AF18)*letrapeso($C17)+letrapeso(AF20)*letrapeso($C19)),0)</f>
        <v>0</v>
      </c>
      <c r="BJ6" s="128">
        <f>IF(SUM(BJ7:BJ19),SUM(BJ7:BJ19)/(letrapeso(AG8)*letrapeso($C7)+letrapeso(AG10)*letrapeso($C9)+letrapeso(AG12)*letrapeso($C11)+letrapeso(AG14)*letrapeso($C13)+letrapeso(AG16)*letrapeso($C15)+letrapeso(AG18)*letrapeso($C17)+letrapeso(AG20)*letrapeso($C19)),0)</f>
        <v>0</v>
      </c>
      <c r="BK6" s="28"/>
    </row>
    <row r="7" spans="1:92" s="41" customFormat="1" x14ac:dyDescent="0.2">
      <c r="A7" s="546" t="str">
        <f>'Digitar aqui Notas e Pesos'!A7</f>
        <v>Varejo e Prime</v>
      </c>
      <c r="B7" s="547"/>
      <c r="C7" s="229" t="str">
        <f>IF('Digitar aqui Notas e Pesos'!C7,PEsoLetra('Digitar aqui Notas e Pesos'!C7),0)</f>
        <v>a</v>
      </c>
      <c r="D7" s="208">
        <f>IF(ISTEXT($C7),(G7*letrapeso(G8)+K7*letrapeso(K8)+N7*letrapeso(N8)+Q7*letrapeso(Q8)+T7*letrapeso(T8)+W7*letrapeso(W8)+Z7*letrapeso(Z8)+AC7*letrapeso(AC8)+AF7*letrapeso(AF8))/(letrapeso(G8)+letrapeso(K8)+letrapeso(N8)+letrapeso(Q8)+letrapeso(T8)+letrapeso(W8)+letrapeso(Z8)+letrapeso(AC8)+letrapeso(AF8)),0)</f>
        <v>2</v>
      </c>
      <c r="E7" s="208">
        <f>IF(ISTEXT($C7),(H7*letrapeso(H8)+L7*letrapeso(L8)+O7*letrapeso(O8)+R7*letrapeso(R8)+U7*letrapeso(U8)+X7*letrapeso(X8)+AA7*letrapeso(AA8)+AD7*letrapeso(AD8)+AG7*letrapeso(AG8))/(letrapeso(H8)+letrapeso(L8)+letrapeso(O8)+letrapeso(R8)+letrapeso(U8)+letrapeso(X8)+letrapeso(AA8)+letrapeso(AD8)+letrapeso(AG8)),0)</f>
        <v>2</v>
      </c>
      <c r="F7" s="209">
        <f>IF(ISTEXT($C7),(D7*$A$145+E7*$A$146),0)</f>
        <v>2</v>
      </c>
      <c r="G7" s="259">
        <f>'Digitar aqui Notas e Pesos'!D7</f>
        <v>2</v>
      </c>
      <c r="H7" s="116">
        <f>'Digitar aqui Notas e Pesos'!E7</f>
        <v>2</v>
      </c>
      <c r="I7" s="565">
        <f>IF(AND(G7&lt;&gt;0,H7&lt;&gt;0,$C7&lt;&gt;0),(G7*letrapeso(G8)*$A$145+H7*letrapeso(H8)*$A$146)/(letrapeso(G8)*$A$145+letrapeso(H8)*$A$146),0)</f>
        <v>2</v>
      </c>
      <c r="J7" s="259">
        <f>'Digitar aqui Notas e Pesos'!F7</f>
        <v>1</v>
      </c>
      <c r="K7" s="259">
        <f>'Digitar aqui Notas e Pesos'!G7</f>
        <v>0</v>
      </c>
      <c r="L7" s="116">
        <f>'Digitar aqui Notas e Pesos'!H7</f>
        <v>0</v>
      </c>
      <c r="M7" s="553">
        <f>IF(AND(K7&lt;&gt;0,L7&lt;&gt;0,$C7&lt;&gt;0),(K7*letrapeso(K8)*$A$145+L7*letrapeso(L8)*$A$146)/(letrapeso(K8)*$A$145+letrapeso(L8)*$A$146),0)</f>
        <v>0</v>
      </c>
      <c r="N7" s="259">
        <f>'Digitar aqui Notas e Pesos'!J7</f>
        <v>0</v>
      </c>
      <c r="O7" s="116">
        <f>'Digitar aqui Notas e Pesos'!K7</f>
        <v>0</v>
      </c>
      <c r="P7" s="553">
        <f>IF(AND(N7&lt;&gt;0,O7&lt;&gt;0,$C7&lt;&gt;0),(N7*letrapeso(N8)*$A$145+O7*letrapeso(O8)*$A$146)/(letrapeso(N8)*$A$145+letrapeso(O8)*$A$146),0)</f>
        <v>0</v>
      </c>
      <c r="Q7" s="259">
        <f>'Digitar aqui Notas e Pesos'!M7</f>
        <v>0</v>
      </c>
      <c r="R7" s="116">
        <f>'Digitar aqui Notas e Pesos'!N7</f>
        <v>0</v>
      </c>
      <c r="S7" s="553">
        <f>IF(AND(Q7&lt;&gt;0,R7&lt;&gt;0,$C7&lt;&gt;0),(Q7*letrapeso(Q8)*$A$145+R7*letrapeso(R8)*$A$146)/(letrapeso(Q8)*$A$145+letrapeso(R8)*$A$146),0)</f>
        <v>0</v>
      </c>
      <c r="T7" s="259">
        <f>'Digitar aqui Notas e Pesos'!P7</f>
        <v>0</v>
      </c>
      <c r="U7" s="116">
        <f>'Digitar aqui Notas e Pesos'!Q7</f>
        <v>0</v>
      </c>
      <c r="V7" s="553">
        <f>IF(AND(T7&lt;&gt;0,U7&lt;&gt;0,$C7&lt;&gt;0),(T7*letrapeso(T8)*$A$145+U7*letrapeso(U8)*$A$146)/(letrapeso(T8)*$A$145+letrapeso(U8)*$A$146),0)</f>
        <v>0</v>
      </c>
      <c r="W7" s="259">
        <f>'Digitar aqui Notas e Pesos'!S7</f>
        <v>0</v>
      </c>
      <c r="X7" s="116">
        <f>'Digitar aqui Notas e Pesos'!T7</f>
        <v>0</v>
      </c>
      <c r="Y7" s="553">
        <f>IF(AND(W7&lt;&gt;0,X7&lt;&gt;0,$C7&lt;&gt;0),(W7*letrapeso(W8)*$A$145+X7*letrapeso(X8)*$A$146)/(letrapeso(W8)*$A$145+letrapeso(X8)*$A$146),0)</f>
        <v>0</v>
      </c>
      <c r="Z7" s="259">
        <f>'Digitar aqui Notas e Pesos'!V7</f>
        <v>0</v>
      </c>
      <c r="AA7" s="116">
        <f>'Digitar aqui Notas e Pesos'!W7</f>
        <v>0</v>
      </c>
      <c r="AB7" s="553">
        <f>IF(AND(Z7&lt;&gt;0,AA7&lt;&gt;0,$C7&lt;&gt;0),(Z7*letrapeso(Z8)*$A$145+AA7*letrapeso(AA8)*$A$146)/(letrapeso(Z8)*$A$145+letrapeso(AA8)*$A$146),0)</f>
        <v>0</v>
      </c>
      <c r="AC7" s="259">
        <f>'Digitar aqui Notas e Pesos'!Y7</f>
        <v>0</v>
      </c>
      <c r="AD7" s="116">
        <f>'Digitar aqui Notas e Pesos'!Z7</f>
        <v>0</v>
      </c>
      <c r="AE7" s="553">
        <f>IF(AND(AC7&lt;&gt;0,AD7&lt;&gt;0,$C7&lt;&gt;0),(AC7*letrapeso(AC8)*$A$145+AD7*letrapeso(AD8)*$A$146)/(letrapeso(AC8)*$A$145+letrapeso(AD8)*$A$146),0)</f>
        <v>0</v>
      </c>
      <c r="AF7" s="259">
        <f>'Digitar aqui Notas e Pesos'!AB7</f>
        <v>0</v>
      </c>
      <c r="AG7" s="116">
        <f>'Digitar aqui Notas e Pesos'!AC7</f>
        <v>0</v>
      </c>
      <c r="AH7" s="573">
        <f>IF(AND(AF7&lt;&gt;0,AG7&lt;&gt;0,$C7&lt;&gt;0),(AF7*letrapeso(AF8)*$A$145+AG7*letrapeso(AG8)*$A$146)/(letrapeso(AF8)*$A$145+letrapeso(AG8)*$A$146),0)</f>
        <v>0</v>
      </c>
      <c r="AI7" s="8" t="str">
        <f>IF(letrapeso(C7),"Imprime","Não Imprime")</f>
        <v>Imprime</v>
      </c>
      <c r="AJ7" s="14" t="s">
        <v>39</v>
      </c>
      <c r="AK7" s="129">
        <f>G7*letrapeso(G8)*letrapeso($C7)</f>
        <v>128</v>
      </c>
      <c r="AL7" s="129">
        <f>H7*letrapeso(H8)*letrapeso($C7)</f>
        <v>128</v>
      </c>
      <c r="AM7" s="129">
        <f>J7*letrapeso(G8)*letrapeso($C7)</f>
        <v>64</v>
      </c>
      <c r="AN7" s="129">
        <f>K7*letrapeso(K8)*letrapeso($C7)</f>
        <v>0</v>
      </c>
      <c r="AO7" s="129">
        <f>L7*letrapeso(L8)*letrapeso($C7)</f>
        <v>0</v>
      </c>
      <c r="AQ7" s="129">
        <f>N7*letrapeso(N8)*letrapeso($C7)</f>
        <v>0</v>
      </c>
      <c r="AR7" s="129">
        <f>O7*letrapeso(O8)*letrapeso($C7)</f>
        <v>0</v>
      </c>
      <c r="AT7" s="129">
        <f>Q7*letrapeso(Q8)*letrapeso($C7)</f>
        <v>0</v>
      </c>
      <c r="AU7" s="129">
        <f>R7*letrapeso(R8)*letrapeso($C7)</f>
        <v>0</v>
      </c>
      <c r="AW7" s="129">
        <f>T7*letrapeso(T8)*letrapeso($C7)</f>
        <v>0</v>
      </c>
      <c r="AX7" s="129">
        <f>U7*letrapeso(U8)*letrapeso($C7)</f>
        <v>0</v>
      </c>
      <c r="AZ7" s="129">
        <f>W7*letrapeso(W8)*letrapeso($C7)</f>
        <v>0</v>
      </c>
      <c r="BA7" s="129">
        <f>X7*letrapeso(X8)*letrapeso($C7)</f>
        <v>0</v>
      </c>
      <c r="BC7" s="129">
        <f>Z7*letrapeso(Z8)*letrapeso($C7)</f>
        <v>0</v>
      </c>
      <c r="BD7" s="129">
        <f>AA7*letrapeso(AA8)*letrapeso($C7)</f>
        <v>0</v>
      </c>
      <c r="BF7" s="129">
        <f>AC7*letrapeso(AC8)*letrapeso($C7)</f>
        <v>0</v>
      </c>
      <c r="BG7" s="129">
        <f>AD7*letrapeso(AD8)*letrapeso($C7)</f>
        <v>0</v>
      </c>
      <c r="BI7" s="129">
        <f>AF7*letrapeso(AF8)*letrapeso($C7)</f>
        <v>0</v>
      </c>
      <c r="BJ7" s="129">
        <f>AG7*letrapeso(AG8)*letrapeso($C7)</f>
        <v>0</v>
      </c>
      <c r="BL7" s="171">
        <f>letrapeso(G8)</f>
        <v>8</v>
      </c>
      <c r="BM7" s="171">
        <f>letrapeso(H8)</f>
        <v>8</v>
      </c>
      <c r="BO7" s="171">
        <f>letrapeso(K8)</f>
        <v>0</v>
      </c>
      <c r="BP7" s="171">
        <f>letrapeso(L8)</f>
        <v>0</v>
      </c>
      <c r="BR7" s="171">
        <f>letrapeso(N8)</f>
        <v>0</v>
      </c>
      <c r="BS7" s="171">
        <f>letrapeso(O8)</f>
        <v>0</v>
      </c>
      <c r="BU7" s="171">
        <f>letrapeso(Q8)</f>
        <v>0</v>
      </c>
      <c r="BV7" s="171">
        <f>letrapeso(R8)</f>
        <v>0</v>
      </c>
      <c r="BX7" s="171">
        <f>letrapeso(T8)</f>
        <v>0</v>
      </c>
      <c r="BY7" s="171">
        <f>letrapeso(U8)</f>
        <v>0</v>
      </c>
      <c r="CA7" s="171">
        <f>letrapeso(W8)</f>
        <v>0</v>
      </c>
      <c r="CB7" s="171">
        <f>letrapeso(X8)</f>
        <v>0</v>
      </c>
      <c r="CD7" s="171">
        <f>letrapeso(Z8)</f>
        <v>0</v>
      </c>
      <c r="CE7" s="171">
        <f>letrapeso(AA8)</f>
        <v>0</v>
      </c>
      <c r="CG7" s="171">
        <f>letrapeso(AC8)</f>
        <v>0</v>
      </c>
      <c r="CH7" s="171">
        <f>letrapeso(AD8)</f>
        <v>0</v>
      </c>
      <c r="CJ7" s="171">
        <f>letrapeso(AF8)</f>
        <v>0</v>
      </c>
      <c r="CK7" s="171">
        <f>letrapeso(AG8)</f>
        <v>0</v>
      </c>
      <c r="CM7" s="41">
        <f>IF(ISTEXT($C7),(BL7+BO7+BR7+BU7+BX7+CA7+CD7+CG7+CJ7),0)</f>
        <v>8</v>
      </c>
      <c r="CN7" s="41">
        <f>IF(ISTEXT($C7),(BM7+BP7+BS7+BV7+BY7+CB7+CE7+CH7+CK7),0)</f>
        <v>8</v>
      </c>
    </row>
    <row r="8" spans="1:92" s="171" customFormat="1" ht="13.5" thickBot="1" x14ac:dyDescent="0.25">
      <c r="A8" s="537" t="str">
        <f>TEXT(D7,"0,00")&amp;"       "&amp;TEXT(E7,"0,00")&amp;"       "&amp;TEXT(F7,"0,00")</f>
        <v>2,00       2,00       2,00</v>
      </c>
      <c r="B8" s="538"/>
      <c r="C8" s="230"/>
      <c r="D8" s="210"/>
      <c r="E8" s="208">
        <f>IF(ISTEXT($C8),(H8*letrapeso(H9)+#REF!*letrapeso(#REF!)+L8*letrapeso(L9)+O8*letrapeso(O9)+R8*letrapeso(R9)+#REF!*letrapeso(#REF!)+U8*letrapeso(U9)+X8*letrapeso(X9)+AA8*letrapeso(AA9)+AD8*letrapeso(AD9)+AG8*letrapeso(AG9))/(letrapeso(H9)+letrapeso(#REF!)+letrapeso(L9)+letrapeso(O9)+letrapeso(R9)+letrapeso(#REF!)+letrapeso(U9)+letrapeso(X9)+letrapeso(AA9)+letrapeso(AD9)+letrapeso(AG9)),0)</f>
        <v>0</v>
      </c>
      <c r="F8" s="209"/>
      <c r="G8" s="231" t="str">
        <f>PEsoLetra('Digitar aqui Notas e Pesos'!D8)</f>
        <v>a</v>
      </c>
      <c r="H8" s="232" t="str">
        <f>PEsoLetra('Digitar aqui Notas e Pesos'!E8)</f>
        <v>a</v>
      </c>
      <c r="I8" s="566"/>
      <c r="J8" s="490"/>
      <c r="K8" s="231" t="str">
        <f>PEsoLetra('Digitar aqui Notas e Pesos'!G8)</f>
        <v/>
      </c>
      <c r="L8" s="232" t="str">
        <f>PEsoLetra('Digitar aqui Notas e Pesos'!H8)</f>
        <v/>
      </c>
      <c r="M8" s="554"/>
      <c r="N8" s="231" t="str">
        <f>PEsoLetra('Digitar aqui Notas e Pesos'!J8)</f>
        <v/>
      </c>
      <c r="O8" s="232" t="str">
        <f>PEsoLetra('Digitar aqui Notas e Pesos'!K8)</f>
        <v/>
      </c>
      <c r="P8" s="554"/>
      <c r="Q8" s="231" t="str">
        <f>PEsoLetra('Digitar aqui Notas e Pesos'!M8)</f>
        <v/>
      </c>
      <c r="R8" s="232" t="str">
        <f>PEsoLetra('Digitar aqui Notas e Pesos'!N8)</f>
        <v/>
      </c>
      <c r="S8" s="554"/>
      <c r="T8" s="231" t="str">
        <f>PEsoLetra('Digitar aqui Notas e Pesos'!P8)</f>
        <v/>
      </c>
      <c r="U8" s="232" t="str">
        <f>PEsoLetra('Digitar aqui Notas e Pesos'!Q8)</f>
        <v/>
      </c>
      <c r="V8" s="554"/>
      <c r="W8" s="231" t="str">
        <f>PEsoLetra('Digitar aqui Notas e Pesos'!S8)</f>
        <v/>
      </c>
      <c r="X8" s="232" t="str">
        <f>PEsoLetra('Digitar aqui Notas e Pesos'!T8)</f>
        <v/>
      </c>
      <c r="Y8" s="554"/>
      <c r="Z8" s="231" t="str">
        <f>PEsoLetra('Digitar aqui Notas e Pesos'!V8)</f>
        <v/>
      </c>
      <c r="AA8" s="232" t="str">
        <f>PEsoLetra('Digitar aqui Notas e Pesos'!W8)</f>
        <v/>
      </c>
      <c r="AB8" s="554"/>
      <c r="AC8" s="231" t="str">
        <f>PEsoLetra('Digitar aqui Notas e Pesos'!Y8)</f>
        <v/>
      </c>
      <c r="AD8" s="232" t="str">
        <f>PEsoLetra('Digitar aqui Notas e Pesos'!Z8)</f>
        <v/>
      </c>
      <c r="AE8" s="554"/>
      <c r="AF8" s="231" t="str">
        <f>PEsoLetra('Digitar aqui Notas e Pesos'!AB8)</f>
        <v/>
      </c>
      <c r="AG8" s="232" t="str">
        <f>PEsoLetra('Digitar aqui Notas e Pesos'!AC8)</f>
        <v/>
      </c>
      <c r="AH8" s="574"/>
      <c r="AI8" s="19" t="str">
        <f>+AI7</f>
        <v>Imprime</v>
      </c>
      <c r="AJ8" s="19"/>
      <c r="AK8" s="130"/>
      <c r="AL8" s="130"/>
      <c r="AM8" s="127"/>
      <c r="AN8" s="130"/>
      <c r="AO8" s="130"/>
      <c r="AQ8" s="130"/>
      <c r="AR8" s="130"/>
      <c r="AT8" s="130"/>
      <c r="AU8" s="130"/>
      <c r="AW8" s="130"/>
      <c r="AX8" s="130"/>
      <c r="AZ8" s="130"/>
      <c r="BA8" s="130"/>
      <c r="BC8" s="130"/>
      <c r="BD8" s="130"/>
      <c r="BF8" s="130"/>
      <c r="BG8" s="130"/>
      <c r="BI8" s="130"/>
      <c r="BJ8" s="130"/>
    </row>
    <row r="9" spans="1:92" ht="15.75" hidden="1" thickBot="1" x14ac:dyDescent="0.25">
      <c r="A9" s="546" t="str">
        <f>'Digitar aqui Notas e Pesos'!A9</f>
        <v>Nome da Atividade 2 da Unidade 1</v>
      </c>
      <c r="B9" s="547"/>
      <c r="C9" s="229">
        <f>IF('Digitar aqui Notas e Pesos'!C9,PEsoLetra('Digitar aqui Notas e Pesos'!C9),0)</f>
        <v>0</v>
      </c>
      <c r="D9" s="208">
        <f>IF(ISTEXT($C9),(G9*letrapeso(G10)+K9*letrapeso(K10)+N9*letrapeso(N10)+Q9*letrapeso(Q10)+T9*letrapeso(T10)+W9*letrapeso(W10)+Z9*letrapeso(Z10)+AC9*letrapeso(AC10)+AF9*letrapeso(AF10))/(letrapeso(G10)+letrapeso(K10)+letrapeso(N10)+letrapeso(Q10)+letrapeso(T10)+letrapeso(W10)+letrapeso(Z10)+letrapeso(AC10)+letrapeso(AF10)),0)</f>
        <v>0</v>
      </c>
      <c r="E9" s="208">
        <f>IF(ISTEXT($C9),(H9*letrapeso(H10)+L9*letrapeso(L10)+O9*letrapeso(O10)+R9*letrapeso(R10)+U9*letrapeso(U10)+X9*letrapeso(X10)+AA9*letrapeso(AA10)+AD9*letrapeso(AD10)+AG9*letrapeso(AG10))/(letrapeso(H10)+letrapeso(L10)+letrapeso(O10)+letrapeso(R10)+letrapeso(U10)+letrapeso(X10)+letrapeso(AA10)+letrapeso(AD10)+letrapeso(AG10)),0)</f>
        <v>0</v>
      </c>
      <c r="F9" s="209">
        <f>IF(ISTEXT($C9),(D9*$A$145+E9*$A$146),0)</f>
        <v>0</v>
      </c>
      <c r="G9" s="259">
        <f>'Digitar aqui Notas e Pesos'!D9</f>
        <v>0</v>
      </c>
      <c r="H9" s="116">
        <f>'Digitar aqui Notas e Pesos'!E9</f>
        <v>0</v>
      </c>
      <c r="I9" s="565">
        <f>IF(AND(G9&lt;&gt;0,H9&lt;&gt;0,$C9&lt;&gt;0),(G9*letrapeso(G10)*$A$145+H9*letrapeso(H10)*$A$146)/(letrapeso(G10)*$A$145+letrapeso(H10)*$A$146),0)</f>
        <v>0</v>
      </c>
      <c r="J9" s="259">
        <f>'Digitar aqui Notas e Pesos'!F9</f>
        <v>0</v>
      </c>
      <c r="K9" s="259">
        <f>'Digitar aqui Notas e Pesos'!G9</f>
        <v>0</v>
      </c>
      <c r="L9" s="116">
        <f>'Digitar aqui Notas e Pesos'!H9</f>
        <v>0</v>
      </c>
      <c r="M9" s="553">
        <f>IF(AND(K9&lt;&gt;0,L9&lt;&gt;0,$C9&lt;&gt;0),(K9*letrapeso(K10)*$A$145+L9*letrapeso(L10)*$A$146)/(letrapeso(K10)*$A$145+letrapeso(L10)*$A$146),0)</f>
        <v>0</v>
      </c>
      <c r="N9" s="259">
        <f>'Digitar aqui Notas e Pesos'!J9</f>
        <v>0</v>
      </c>
      <c r="O9" s="116">
        <f>'Digitar aqui Notas e Pesos'!K9</f>
        <v>0</v>
      </c>
      <c r="P9" s="553">
        <f>IF(AND(N9&lt;&gt;0,O9&lt;&gt;0,$C9&lt;&gt;0),(N9*letrapeso(N10)*$A$145+O9*letrapeso(O10)*$A$146)/(letrapeso(N10)*$A$145+letrapeso(O10)*$A$146),0)</f>
        <v>0</v>
      </c>
      <c r="Q9" s="259">
        <f>'Digitar aqui Notas e Pesos'!M9</f>
        <v>0</v>
      </c>
      <c r="R9" s="116">
        <f>'Digitar aqui Notas e Pesos'!N9</f>
        <v>0</v>
      </c>
      <c r="S9" s="553">
        <f>IF(AND(Q9&lt;&gt;0,R9&lt;&gt;0,$C9&lt;&gt;0),(Q9*letrapeso(Q10)*$A$145+R9*letrapeso(R10)*$A$146)/(letrapeso(Q10)*$A$145+letrapeso(R10)*$A$146),0)</f>
        <v>0</v>
      </c>
      <c r="T9" s="259">
        <f>'Digitar aqui Notas e Pesos'!P9</f>
        <v>0</v>
      </c>
      <c r="U9" s="116">
        <f>'Digitar aqui Notas e Pesos'!Q9</f>
        <v>0</v>
      </c>
      <c r="V9" s="553">
        <f>IF(AND(T9&lt;&gt;0,U9&lt;&gt;0,$C9&lt;&gt;0),(T9*letrapeso(T10)*$A$145+U9*letrapeso(U10)*$A$146)/(letrapeso(T10)*$A$145+letrapeso(U10)*$A$146),0)</f>
        <v>0</v>
      </c>
      <c r="W9" s="259">
        <f>'Digitar aqui Notas e Pesos'!S9</f>
        <v>0</v>
      </c>
      <c r="X9" s="116">
        <f>'Digitar aqui Notas e Pesos'!T9</f>
        <v>0</v>
      </c>
      <c r="Y9" s="553">
        <f>IF(AND(W9&lt;&gt;0,X9&lt;&gt;0,$C9&lt;&gt;0),(W9*letrapeso(W10)*$A$145+X9*letrapeso(X10)*$A$146)/(letrapeso(W10)*$A$145+letrapeso(X10)*$A$146),0)</f>
        <v>0</v>
      </c>
      <c r="Z9" s="259">
        <f>'Digitar aqui Notas e Pesos'!V9</f>
        <v>0</v>
      </c>
      <c r="AA9" s="116">
        <f>'Digitar aqui Notas e Pesos'!W9</f>
        <v>0</v>
      </c>
      <c r="AB9" s="553">
        <f>IF(AND(Z9&lt;&gt;0,AA9&lt;&gt;0,$C9&lt;&gt;0),(Z9*letrapeso(Z10)*$A$145+AA9*letrapeso(AA10)*$A$146)/(letrapeso(Z10)*$A$145+letrapeso(AA10)*$A$146),0)</f>
        <v>0</v>
      </c>
      <c r="AC9" s="259">
        <f>'Digitar aqui Notas e Pesos'!Y9</f>
        <v>0</v>
      </c>
      <c r="AD9" s="116">
        <f>'Digitar aqui Notas e Pesos'!Z9</f>
        <v>0</v>
      </c>
      <c r="AE9" s="553">
        <f>IF(AND(AC9&lt;&gt;0,AD9&lt;&gt;0,$C9&lt;&gt;0),(AC9*letrapeso(AC10)*$A$145+AD9*letrapeso(AD10)*$A$146)/(letrapeso(AC10)*$A$145+letrapeso(AD10)*$A$146),0)</f>
        <v>0</v>
      </c>
      <c r="AF9" s="259">
        <f>'Digitar aqui Notas e Pesos'!AB9</f>
        <v>0</v>
      </c>
      <c r="AG9" s="116">
        <f>'Digitar aqui Notas e Pesos'!AC9</f>
        <v>0</v>
      </c>
      <c r="AH9" s="573">
        <f>IF(AND(AF9&lt;&gt;0,AG9&lt;&gt;0,$C9&lt;&gt;0),(AF9*letrapeso(AF10)*$A$145+AG9*letrapeso(AG10)*$A$146)/(letrapeso(AF10)*$A$145+letrapeso(AG10)*$A$146),0)</f>
        <v>0</v>
      </c>
      <c r="AI9" s="8" t="str">
        <f>IF(letrapeso(C9),"Imprime","Não Imprime")</f>
        <v>Não Imprime</v>
      </c>
      <c r="AJ9" s="14" t="s">
        <v>39</v>
      </c>
      <c r="AK9" s="129">
        <f>G9*letrapeso(G10)*letrapeso($C9)</f>
        <v>0</v>
      </c>
      <c r="AL9" s="129">
        <f>H9*letrapeso(H10)*letrapeso($C9)</f>
        <v>0</v>
      </c>
      <c r="AM9" s="129">
        <f>J9*letrapeso(G10)*letrapeso($C9)</f>
        <v>0</v>
      </c>
      <c r="AN9" s="129">
        <f>K9*letrapeso(K10)*letrapeso($C9)</f>
        <v>0</v>
      </c>
      <c r="AO9" s="129">
        <f>L9*letrapeso(L10)*letrapeso($C9)</f>
        <v>0</v>
      </c>
      <c r="AP9" s="131"/>
      <c r="AQ9" s="129">
        <f>N9*letrapeso(N10)*letrapeso($C9)</f>
        <v>0</v>
      </c>
      <c r="AR9" s="129">
        <f>O9*letrapeso(O10)*letrapeso($C9)</f>
        <v>0</v>
      </c>
      <c r="AS9" s="131"/>
      <c r="AT9" s="129">
        <f>Q9*letrapeso(Q10)*letrapeso($C9)</f>
        <v>0</v>
      </c>
      <c r="AU9" s="129">
        <f>R9*letrapeso(R10)*letrapeso($C9)</f>
        <v>0</v>
      </c>
      <c r="AV9" s="131"/>
      <c r="AW9" s="129">
        <f>T9*letrapeso(T10)*letrapeso($C9)</f>
        <v>0</v>
      </c>
      <c r="AX9" s="129">
        <f>U9*letrapeso(U10)*letrapeso($C9)</f>
        <v>0</v>
      </c>
      <c r="AY9" s="131"/>
      <c r="AZ9" s="129">
        <f>W9*letrapeso(W10)*letrapeso($C9)</f>
        <v>0</v>
      </c>
      <c r="BA9" s="129">
        <f>X9*letrapeso(X10)*letrapeso($C9)</f>
        <v>0</v>
      </c>
      <c r="BB9" s="131"/>
      <c r="BC9" s="129">
        <f>Z9*letrapeso(Z10)*letrapeso($C9)</f>
        <v>0</v>
      </c>
      <c r="BD9" s="129">
        <f>AA9*letrapeso(AA10)*letrapeso($C9)</f>
        <v>0</v>
      </c>
      <c r="BE9" s="131"/>
      <c r="BF9" s="129">
        <f>AC9*letrapeso(AC10)*letrapeso($C9)</f>
        <v>0</v>
      </c>
      <c r="BG9" s="129">
        <f>AD9*letrapeso(AD10)*letrapeso($C9)</f>
        <v>0</v>
      </c>
      <c r="BH9" s="131"/>
      <c r="BI9" s="129">
        <f>AF9*letrapeso(AF10)*letrapeso($C9)</f>
        <v>0</v>
      </c>
      <c r="BJ9" s="129">
        <f>AG9*letrapeso(AG10)*letrapeso($C9)</f>
        <v>0</v>
      </c>
      <c r="BK9" s="131"/>
      <c r="BL9" s="171">
        <f>letrapeso(G10)</f>
        <v>0</v>
      </c>
      <c r="BM9" s="171">
        <f>letrapeso(H10)</f>
        <v>0</v>
      </c>
      <c r="BN9" s="41"/>
      <c r="BO9" s="171">
        <f>letrapeso(K10)</f>
        <v>0</v>
      </c>
      <c r="BP9" s="171">
        <f>letrapeso(L10)</f>
        <v>0</v>
      </c>
      <c r="BQ9" s="41"/>
      <c r="BR9" s="171">
        <f>letrapeso(N10)</f>
        <v>0</v>
      </c>
      <c r="BS9" s="171">
        <f>letrapeso(O10)</f>
        <v>0</v>
      </c>
      <c r="BT9" s="41"/>
      <c r="BU9" s="171">
        <f>letrapeso(Q10)</f>
        <v>0</v>
      </c>
      <c r="BV9" s="171">
        <f>letrapeso(R10)</f>
        <v>0</v>
      </c>
      <c r="BW9" s="41"/>
      <c r="BX9" s="171">
        <f>letrapeso(T10)</f>
        <v>0</v>
      </c>
      <c r="BY9" s="171">
        <f>letrapeso(U10)</f>
        <v>0</v>
      </c>
      <c r="BZ9" s="41"/>
      <c r="CA9" s="171">
        <f>letrapeso(W10)</f>
        <v>0</v>
      </c>
      <c r="CB9" s="171">
        <f>letrapeso(X10)</f>
        <v>0</v>
      </c>
      <c r="CC9" s="41"/>
      <c r="CD9" s="171">
        <f>letrapeso(Z10)</f>
        <v>0</v>
      </c>
      <c r="CE9" s="171">
        <f>letrapeso(AA10)</f>
        <v>0</v>
      </c>
      <c r="CF9" s="41"/>
      <c r="CG9" s="171">
        <f>letrapeso(AC10)</f>
        <v>0</v>
      </c>
      <c r="CH9" s="171">
        <f>letrapeso(AD10)</f>
        <v>0</v>
      </c>
      <c r="CI9" s="41"/>
      <c r="CJ9" s="171">
        <f>letrapeso(AF10)</f>
        <v>0</v>
      </c>
      <c r="CK9" s="171">
        <f>letrapeso(AG10)</f>
        <v>0</v>
      </c>
      <c r="CL9" s="41"/>
      <c r="CM9" s="41">
        <f>IF(ISTEXT($C9),(BL9+BO9+BR9+BU9+BX9+CA9+CD9+CG9+CJ9),0)</f>
        <v>0</v>
      </c>
      <c r="CN9" s="41">
        <f>IF(ISTEXT($C9),(BM9+BP9+BS9+BV9+BY9+CB9+CE9+CH9+CK9),0)</f>
        <v>0</v>
      </c>
    </row>
    <row r="10" spans="1:92" s="28" customFormat="1" ht="13.5" hidden="1" thickBot="1" x14ac:dyDescent="0.25">
      <c r="A10" s="537" t="str">
        <f>TEXT(D9,"0,00")&amp;"       "&amp;TEXT(E9,"0,00")&amp;"       "&amp;TEXT(F9,"0,00")</f>
        <v>0,00       0,00       0,00</v>
      </c>
      <c r="B10" s="538"/>
      <c r="C10" s="230"/>
      <c r="D10" s="210"/>
      <c r="E10" s="208">
        <f>IF(ISTEXT($C10),(H10*letrapeso(H11)+#REF!*letrapeso(#REF!)+L10*letrapeso(L11)+O10*letrapeso(O11)+R10*letrapeso(R11)+#REF!*letrapeso(#REF!)+U10*letrapeso(U11)+X10*letrapeso(X11)+AA10*letrapeso(AA11)+AD10*letrapeso(AD11)+AG10*letrapeso(AG11))/(letrapeso(H11)+letrapeso(#REF!)+letrapeso(L11)+letrapeso(O11)+letrapeso(R11)+letrapeso(#REF!)+letrapeso(U11)+letrapeso(X11)+letrapeso(AA11)+letrapeso(AD11)+letrapeso(AG11)),0)</f>
        <v>0</v>
      </c>
      <c r="F10" s="209"/>
      <c r="G10" s="231" t="str">
        <f>PEsoLetra('Digitar aqui Notas e Pesos'!D10)</f>
        <v/>
      </c>
      <c r="H10" s="232" t="str">
        <f>PEsoLetra('Digitar aqui Notas e Pesos'!E10)</f>
        <v/>
      </c>
      <c r="I10" s="566"/>
      <c r="J10" s="490"/>
      <c r="K10" s="231" t="str">
        <f>PEsoLetra('Digitar aqui Notas e Pesos'!G10)</f>
        <v/>
      </c>
      <c r="L10" s="232" t="str">
        <f>PEsoLetra('Digitar aqui Notas e Pesos'!H10)</f>
        <v/>
      </c>
      <c r="M10" s="554"/>
      <c r="N10" s="231" t="str">
        <f>PEsoLetra('Digitar aqui Notas e Pesos'!J10)</f>
        <v/>
      </c>
      <c r="O10" s="232" t="str">
        <f>PEsoLetra('Digitar aqui Notas e Pesos'!K10)</f>
        <v/>
      </c>
      <c r="P10" s="554"/>
      <c r="Q10" s="231" t="str">
        <f>PEsoLetra('Digitar aqui Notas e Pesos'!M10)</f>
        <v/>
      </c>
      <c r="R10" s="232" t="str">
        <f>PEsoLetra('Digitar aqui Notas e Pesos'!N10)</f>
        <v/>
      </c>
      <c r="S10" s="554"/>
      <c r="T10" s="231" t="str">
        <f>PEsoLetra('Digitar aqui Notas e Pesos'!P10)</f>
        <v/>
      </c>
      <c r="U10" s="232" t="str">
        <f>PEsoLetra('Digitar aqui Notas e Pesos'!Q10)</f>
        <v/>
      </c>
      <c r="V10" s="554"/>
      <c r="W10" s="231" t="str">
        <f>PEsoLetra('Digitar aqui Notas e Pesos'!S10)</f>
        <v/>
      </c>
      <c r="X10" s="232" t="str">
        <f>PEsoLetra('Digitar aqui Notas e Pesos'!T10)</f>
        <v/>
      </c>
      <c r="Y10" s="554"/>
      <c r="Z10" s="231" t="str">
        <f>PEsoLetra('Digitar aqui Notas e Pesos'!V10)</f>
        <v/>
      </c>
      <c r="AA10" s="232" t="str">
        <f>PEsoLetra('Digitar aqui Notas e Pesos'!W10)</f>
        <v/>
      </c>
      <c r="AB10" s="554"/>
      <c r="AC10" s="231" t="str">
        <f>PEsoLetra('Digitar aqui Notas e Pesos'!Y10)</f>
        <v/>
      </c>
      <c r="AD10" s="232" t="str">
        <f>PEsoLetra('Digitar aqui Notas e Pesos'!Z10)</f>
        <v/>
      </c>
      <c r="AE10" s="554"/>
      <c r="AF10" s="231" t="str">
        <f>PEsoLetra('Digitar aqui Notas e Pesos'!AB10)</f>
        <v/>
      </c>
      <c r="AG10" s="232" t="str">
        <f>PEsoLetra('Digitar aqui Notas e Pesos'!AC10)</f>
        <v/>
      </c>
      <c r="AH10" s="574"/>
      <c r="AI10" s="19" t="str">
        <f>+AI9</f>
        <v>Não Imprime</v>
      </c>
      <c r="AJ10" s="19"/>
      <c r="AK10" s="130"/>
      <c r="AL10" s="130"/>
      <c r="AM10" s="130"/>
      <c r="AN10" s="130"/>
      <c r="AO10" s="130"/>
      <c r="AP10" s="131"/>
      <c r="AQ10" s="130"/>
      <c r="AR10" s="130"/>
      <c r="AS10" s="131"/>
      <c r="AT10" s="130"/>
      <c r="AU10" s="130"/>
      <c r="AV10" s="131"/>
      <c r="AW10" s="130"/>
      <c r="AX10" s="130"/>
      <c r="AY10" s="131"/>
      <c r="AZ10" s="130"/>
      <c r="BA10" s="130"/>
      <c r="BB10" s="131"/>
      <c r="BC10" s="130"/>
      <c r="BD10" s="130"/>
      <c r="BE10" s="131"/>
      <c r="BF10" s="130"/>
      <c r="BG10" s="130"/>
      <c r="BH10" s="131"/>
      <c r="BI10" s="130"/>
      <c r="BJ10" s="130"/>
      <c r="BK10" s="131"/>
    </row>
    <row r="11" spans="1:92" ht="15.75" hidden="1" thickBot="1" x14ac:dyDescent="0.25">
      <c r="A11" s="546" t="str">
        <f>'Digitar aqui Notas e Pesos'!A11</f>
        <v>Nome da Atividade 3 da Unidade 1</v>
      </c>
      <c r="B11" s="547"/>
      <c r="C11" s="229">
        <f>IF('Digitar aqui Notas e Pesos'!C11,PEsoLetra('Digitar aqui Notas e Pesos'!C11),0)</f>
        <v>0</v>
      </c>
      <c r="D11" s="208">
        <f>IF(ISTEXT($C11),(G11*letrapeso(G12)+K11*letrapeso(K12)+N11*letrapeso(N12)+Q11*letrapeso(Q12)+T11*letrapeso(T12)+W11*letrapeso(W12)+Z11*letrapeso(Z12)+AC11*letrapeso(AC12)+AF11*letrapeso(AF12))/(letrapeso(G12)+letrapeso(K12)+letrapeso(N12)+letrapeso(Q12)+letrapeso(T12)+letrapeso(W12)+letrapeso(Z12)+letrapeso(AC12)+letrapeso(AF12)),0)</f>
        <v>0</v>
      </c>
      <c r="E11" s="208">
        <f>IF(ISTEXT($C11),(H11*letrapeso(H12)+L11*letrapeso(L12)+O11*letrapeso(O12)+R11*letrapeso(R12)+U11*letrapeso(U12)+X11*letrapeso(X12)+AA11*letrapeso(AA12)+AD11*letrapeso(AD12)+AG11*letrapeso(AG12))/(letrapeso(H12)+letrapeso(L12)+letrapeso(O12)+letrapeso(R12)+letrapeso(U12)+letrapeso(X12)+letrapeso(AA12)+letrapeso(AD12)+letrapeso(AG12)),0)</f>
        <v>0</v>
      </c>
      <c r="F11" s="209">
        <f>IF(ISTEXT($C11),(D11*$A$145+E11*$A$146),0)</f>
        <v>0</v>
      </c>
      <c r="G11" s="259">
        <f>'Digitar aqui Notas e Pesos'!D11</f>
        <v>0</v>
      </c>
      <c r="H11" s="116">
        <f>'Digitar aqui Notas e Pesos'!E11</f>
        <v>0</v>
      </c>
      <c r="I11" s="565">
        <f>IF(AND(G11&lt;&gt;0,H11&lt;&gt;0,$C11&lt;&gt;0),(G11*letrapeso(G12)*$A$145+H11*letrapeso(H12)*$A$146)/(letrapeso(G12)*$A$145+letrapeso(H12)*$A$146),0)</f>
        <v>0</v>
      </c>
      <c r="J11" s="259">
        <f>'Digitar aqui Notas e Pesos'!F11</f>
        <v>0</v>
      </c>
      <c r="K11" s="259">
        <f>'Digitar aqui Notas e Pesos'!G11</f>
        <v>0</v>
      </c>
      <c r="L11" s="116">
        <f>'Digitar aqui Notas e Pesos'!H11</f>
        <v>0</v>
      </c>
      <c r="M11" s="553">
        <f>IF(AND(K11&lt;&gt;0,L11&lt;&gt;0,$C11&lt;&gt;0),(K11*letrapeso(K12)*$A$145+L11*letrapeso(L12)*$A$146)/(letrapeso(K12)*$A$145+letrapeso(L12)*$A$146),0)</f>
        <v>0</v>
      </c>
      <c r="N11" s="259">
        <f>'Digitar aqui Notas e Pesos'!J11</f>
        <v>0</v>
      </c>
      <c r="O11" s="116">
        <f>'Digitar aqui Notas e Pesos'!K11</f>
        <v>0</v>
      </c>
      <c r="P11" s="553">
        <f>IF(AND(N11&lt;&gt;0,O11&lt;&gt;0,$C11&lt;&gt;0),(N11*letrapeso(N12)*$A$145+O11*letrapeso(O12)*$A$146)/(letrapeso(N12)*$A$145+letrapeso(O12)*$A$146),0)</f>
        <v>0</v>
      </c>
      <c r="Q11" s="259">
        <f>'Digitar aqui Notas e Pesos'!M11</f>
        <v>0</v>
      </c>
      <c r="R11" s="116">
        <f>'Digitar aqui Notas e Pesos'!N11</f>
        <v>0</v>
      </c>
      <c r="S11" s="553">
        <f>IF(AND(Q11&lt;&gt;0,R11&lt;&gt;0,$C11&lt;&gt;0),(Q11*letrapeso(Q12)*$A$145+R11*letrapeso(R12)*$A$146)/(letrapeso(Q12)*$A$145+letrapeso(R12)*$A$146),0)</f>
        <v>0</v>
      </c>
      <c r="T11" s="259">
        <f>'Digitar aqui Notas e Pesos'!P11</f>
        <v>0</v>
      </c>
      <c r="U11" s="116">
        <f>'Digitar aqui Notas e Pesos'!Q11</f>
        <v>0</v>
      </c>
      <c r="V11" s="553">
        <f>IF(AND(T11&lt;&gt;0,U11&lt;&gt;0,$C11&lt;&gt;0),(T11*letrapeso(T12)*$A$145+U11*letrapeso(U12)*$A$146)/(letrapeso(T12)*$A$145+letrapeso(U12)*$A$146),0)</f>
        <v>0</v>
      </c>
      <c r="W11" s="259">
        <f>'Digitar aqui Notas e Pesos'!S11</f>
        <v>0</v>
      </c>
      <c r="X11" s="116">
        <f>'Digitar aqui Notas e Pesos'!T11</f>
        <v>0</v>
      </c>
      <c r="Y11" s="553">
        <f>IF(AND(W11&lt;&gt;0,X11&lt;&gt;0,$C11&lt;&gt;0),(W11*letrapeso(W12)*$A$145+X11*letrapeso(X12)*$A$146)/(letrapeso(W12)*$A$145+letrapeso(X12)*$A$146),0)</f>
        <v>0</v>
      </c>
      <c r="Z11" s="259">
        <f>'Digitar aqui Notas e Pesos'!V11</f>
        <v>0</v>
      </c>
      <c r="AA11" s="116">
        <f>'Digitar aqui Notas e Pesos'!W11</f>
        <v>0</v>
      </c>
      <c r="AB11" s="553">
        <f>IF(AND(Z11&lt;&gt;0,AA11&lt;&gt;0,$C11&lt;&gt;0),(Z11*letrapeso(Z12)*$A$145+AA11*letrapeso(AA12)*$A$146)/(letrapeso(Z12)*$A$145+letrapeso(AA12)*$A$146),0)</f>
        <v>0</v>
      </c>
      <c r="AC11" s="259">
        <f>'Digitar aqui Notas e Pesos'!Y11</f>
        <v>0</v>
      </c>
      <c r="AD11" s="116">
        <f>'Digitar aqui Notas e Pesos'!Z11</f>
        <v>0</v>
      </c>
      <c r="AE11" s="553">
        <f>IF(AND(AC11&lt;&gt;0,AD11&lt;&gt;0,$C11&lt;&gt;0),(AC11*letrapeso(AC12)*$A$145+AD11*letrapeso(AD12)*$A$146)/(letrapeso(AC12)*$A$145+letrapeso(AD12)*$A$146),0)</f>
        <v>0</v>
      </c>
      <c r="AF11" s="259">
        <f>'Digitar aqui Notas e Pesos'!AB11</f>
        <v>0</v>
      </c>
      <c r="AG11" s="116">
        <f>'Digitar aqui Notas e Pesos'!AC11</f>
        <v>0</v>
      </c>
      <c r="AH11" s="573">
        <f>IF(AND(AF11&lt;&gt;0,AG11&lt;&gt;0,$C11&lt;&gt;0),(AF11*letrapeso(AF12)*$A$145+AG11*letrapeso(AG12)*$A$146)/(letrapeso(AF12)*$A$145+letrapeso(AG12)*$A$146),0)</f>
        <v>0</v>
      </c>
      <c r="AI11" s="8" t="str">
        <f>IF(letrapeso(C11),"Imprime","Não Imprime")</f>
        <v>Não Imprime</v>
      </c>
      <c r="AJ11" s="14" t="s">
        <v>39</v>
      </c>
      <c r="AK11" s="129">
        <f>G11*letrapeso(G12)*letrapeso($C11)</f>
        <v>0</v>
      </c>
      <c r="AL11" s="129">
        <f>H11*letrapeso(H12)*letrapeso($C11)</f>
        <v>0</v>
      </c>
      <c r="AM11" s="129">
        <f>J11*letrapeso(G12)*letrapeso($C11)</f>
        <v>0</v>
      </c>
      <c r="AN11" s="129">
        <f>K11*letrapeso(K12)*letrapeso($C11)</f>
        <v>0</v>
      </c>
      <c r="AO11" s="129">
        <f>L11*letrapeso(L12)*letrapeso($C11)</f>
        <v>0</v>
      </c>
      <c r="AP11" s="131"/>
      <c r="AQ11" s="129">
        <f>N11*letrapeso(N12)*letrapeso($C11)</f>
        <v>0</v>
      </c>
      <c r="AR11" s="129">
        <f>O11*letrapeso(O12)*letrapeso($C11)</f>
        <v>0</v>
      </c>
      <c r="AS11" s="131"/>
      <c r="AT11" s="129">
        <f>Q11*letrapeso(Q12)*letrapeso($C11)</f>
        <v>0</v>
      </c>
      <c r="AU11" s="129">
        <f>R11*letrapeso(R12)*letrapeso($C11)</f>
        <v>0</v>
      </c>
      <c r="AV11" s="131"/>
      <c r="AW11" s="129">
        <f>T11*letrapeso(T12)*letrapeso($C11)</f>
        <v>0</v>
      </c>
      <c r="AX11" s="129">
        <f>U11*letrapeso(U12)*letrapeso($C11)</f>
        <v>0</v>
      </c>
      <c r="AY11" s="131"/>
      <c r="AZ11" s="129">
        <f>W11*letrapeso(W12)*letrapeso($C11)</f>
        <v>0</v>
      </c>
      <c r="BA11" s="129">
        <f>X11*letrapeso(X12)*letrapeso($C11)</f>
        <v>0</v>
      </c>
      <c r="BB11" s="131"/>
      <c r="BC11" s="129">
        <f>Z11*letrapeso(Z12)*letrapeso($C11)</f>
        <v>0</v>
      </c>
      <c r="BD11" s="129">
        <f>AA11*letrapeso(AA12)*letrapeso($C11)</f>
        <v>0</v>
      </c>
      <c r="BE11" s="131"/>
      <c r="BF11" s="129">
        <f>AC11*letrapeso(AC12)*letrapeso($C11)</f>
        <v>0</v>
      </c>
      <c r="BG11" s="129">
        <f>AD11*letrapeso(AD12)*letrapeso($C11)</f>
        <v>0</v>
      </c>
      <c r="BH11" s="131"/>
      <c r="BI11" s="129">
        <f>AF11*letrapeso(AF12)*letrapeso($C11)</f>
        <v>0</v>
      </c>
      <c r="BJ11" s="129">
        <f>AG11*letrapeso(AG12)*letrapeso($C11)</f>
        <v>0</v>
      </c>
      <c r="BK11" s="131"/>
      <c r="BL11" s="171">
        <f>letrapeso(G12)</f>
        <v>0</v>
      </c>
      <c r="BM11" s="171">
        <f>letrapeso(H12)</f>
        <v>0</v>
      </c>
      <c r="BN11" s="41"/>
      <c r="BO11" s="171">
        <f>letrapeso(K12)</f>
        <v>0</v>
      </c>
      <c r="BP11" s="171">
        <f>letrapeso(L12)</f>
        <v>0</v>
      </c>
      <c r="BQ11" s="41"/>
      <c r="BR11" s="171">
        <f>letrapeso(N12)</f>
        <v>0</v>
      </c>
      <c r="BS11" s="171">
        <f>letrapeso(O12)</f>
        <v>0</v>
      </c>
      <c r="BT11" s="41"/>
      <c r="BU11" s="171">
        <f>letrapeso(Q12)</f>
        <v>0</v>
      </c>
      <c r="BV11" s="171">
        <f>letrapeso(R12)</f>
        <v>0</v>
      </c>
      <c r="BW11" s="41"/>
      <c r="BX11" s="171">
        <f>letrapeso(T12)</f>
        <v>0</v>
      </c>
      <c r="BY11" s="171">
        <f>letrapeso(U12)</f>
        <v>0</v>
      </c>
      <c r="BZ11" s="41"/>
      <c r="CA11" s="171">
        <f>letrapeso(W12)</f>
        <v>0</v>
      </c>
      <c r="CB11" s="171">
        <f>letrapeso(X12)</f>
        <v>0</v>
      </c>
      <c r="CC11" s="41"/>
      <c r="CD11" s="171">
        <f>letrapeso(Z12)</f>
        <v>0</v>
      </c>
      <c r="CE11" s="171">
        <f>letrapeso(AA12)</f>
        <v>0</v>
      </c>
      <c r="CF11" s="41"/>
      <c r="CG11" s="171">
        <f>letrapeso(AC12)</f>
        <v>0</v>
      </c>
      <c r="CH11" s="171">
        <f>letrapeso(AD12)</f>
        <v>0</v>
      </c>
      <c r="CI11" s="41"/>
      <c r="CJ11" s="171">
        <f>letrapeso(AF12)</f>
        <v>0</v>
      </c>
      <c r="CK11" s="171">
        <f>letrapeso(AG12)</f>
        <v>0</v>
      </c>
      <c r="CL11" s="41"/>
      <c r="CM11" s="41">
        <f>IF(ISTEXT($C11),(BL11+BO11+BR11+BU11+BX11+CA11+CD11+CG11+CJ11),0)</f>
        <v>0</v>
      </c>
      <c r="CN11" s="41">
        <f>IF(ISTEXT($C11),(BM11+BP11+BS11+BV11+BY11+CB11+CE11+CH11+CK11),0)</f>
        <v>0</v>
      </c>
    </row>
    <row r="12" spans="1:92" s="28" customFormat="1" ht="13.5" hidden="1" thickBot="1" x14ac:dyDescent="0.25">
      <c r="A12" s="537" t="str">
        <f>TEXT(D11,"0,00")&amp;"       "&amp;TEXT(E11,"0,00")&amp;"       "&amp;TEXT(F11,"0,00")</f>
        <v>0,00       0,00       0,00</v>
      </c>
      <c r="B12" s="538"/>
      <c r="C12" s="230"/>
      <c r="D12" s="210"/>
      <c r="E12" s="208">
        <f>IF(ISTEXT($C12),(H12*letrapeso(H13)+#REF!*letrapeso(#REF!)+L12*letrapeso(L13)+O12*letrapeso(O13)+R12*letrapeso(R13)+#REF!*letrapeso(#REF!)+U12*letrapeso(U13)+X12*letrapeso(X13)+AA12*letrapeso(AA13)+AD12*letrapeso(AD13)+AG12*letrapeso(AG13))/(letrapeso(H13)+letrapeso(#REF!)+letrapeso(L13)+letrapeso(O13)+letrapeso(R13)+letrapeso(#REF!)+letrapeso(U13)+letrapeso(X13)+letrapeso(AA13)+letrapeso(AD13)+letrapeso(AG13)),0)</f>
        <v>0</v>
      </c>
      <c r="F12" s="209"/>
      <c r="G12" s="231" t="str">
        <f>PEsoLetra('Digitar aqui Notas e Pesos'!D12)</f>
        <v/>
      </c>
      <c r="H12" s="232" t="str">
        <f>PEsoLetra('Digitar aqui Notas e Pesos'!E12)</f>
        <v/>
      </c>
      <c r="I12" s="566"/>
      <c r="J12" s="490"/>
      <c r="K12" s="231" t="str">
        <f>PEsoLetra('Digitar aqui Notas e Pesos'!G12)</f>
        <v/>
      </c>
      <c r="L12" s="232" t="str">
        <f>PEsoLetra('Digitar aqui Notas e Pesos'!H12)</f>
        <v/>
      </c>
      <c r="M12" s="554"/>
      <c r="N12" s="231" t="str">
        <f>PEsoLetra('Digitar aqui Notas e Pesos'!J12)</f>
        <v/>
      </c>
      <c r="O12" s="232" t="str">
        <f>PEsoLetra('Digitar aqui Notas e Pesos'!K12)</f>
        <v/>
      </c>
      <c r="P12" s="554"/>
      <c r="Q12" s="231" t="str">
        <f>PEsoLetra('Digitar aqui Notas e Pesos'!M12)</f>
        <v/>
      </c>
      <c r="R12" s="232" t="str">
        <f>PEsoLetra('Digitar aqui Notas e Pesos'!N12)</f>
        <v/>
      </c>
      <c r="S12" s="554"/>
      <c r="T12" s="231" t="str">
        <f>PEsoLetra('Digitar aqui Notas e Pesos'!P12)</f>
        <v/>
      </c>
      <c r="U12" s="232" t="str">
        <f>PEsoLetra('Digitar aqui Notas e Pesos'!Q12)</f>
        <v/>
      </c>
      <c r="V12" s="554"/>
      <c r="W12" s="231" t="str">
        <f>PEsoLetra('Digitar aqui Notas e Pesos'!S12)</f>
        <v/>
      </c>
      <c r="X12" s="232" t="str">
        <f>PEsoLetra('Digitar aqui Notas e Pesos'!T12)</f>
        <v/>
      </c>
      <c r="Y12" s="554"/>
      <c r="Z12" s="231" t="str">
        <f>PEsoLetra('Digitar aqui Notas e Pesos'!V12)</f>
        <v/>
      </c>
      <c r="AA12" s="232" t="str">
        <f>PEsoLetra('Digitar aqui Notas e Pesos'!W12)</f>
        <v/>
      </c>
      <c r="AB12" s="554"/>
      <c r="AC12" s="231" t="str">
        <f>PEsoLetra('Digitar aqui Notas e Pesos'!Y12)</f>
        <v/>
      </c>
      <c r="AD12" s="232" t="str">
        <f>PEsoLetra('Digitar aqui Notas e Pesos'!Z12)</f>
        <v/>
      </c>
      <c r="AE12" s="554"/>
      <c r="AF12" s="231" t="str">
        <f>PEsoLetra('Digitar aqui Notas e Pesos'!AB12)</f>
        <v/>
      </c>
      <c r="AG12" s="232" t="str">
        <f>PEsoLetra('Digitar aqui Notas e Pesos'!AC12)</f>
        <v/>
      </c>
      <c r="AH12" s="574"/>
      <c r="AI12" s="19" t="str">
        <f>+AI11</f>
        <v>Não Imprime</v>
      </c>
      <c r="AJ12" s="19"/>
      <c r="AK12" s="130"/>
      <c r="AL12" s="130"/>
      <c r="AM12" s="130"/>
      <c r="AN12" s="130"/>
      <c r="AO12" s="130"/>
      <c r="AP12" s="131"/>
      <c r="AQ12" s="130"/>
      <c r="AR12" s="130"/>
      <c r="AS12" s="131"/>
      <c r="AT12" s="130"/>
      <c r="AU12" s="130"/>
      <c r="AV12" s="131"/>
      <c r="AW12" s="130"/>
      <c r="AX12" s="130"/>
      <c r="AY12" s="131"/>
      <c r="AZ12" s="130"/>
      <c r="BA12" s="130"/>
      <c r="BB12" s="131"/>
      <c r="BC12" s="130"/>
      <c r="BD12" s="130"/>
      <c r="BE12" s="131"/>
      <c r="BF12" s="130"/>
      <c r="BG12" s="130"/>
      <c r="BH12" s="131"/>
      <c r="BI12" s="130"/>
      <c r="BJ12" s="130"/>
      <c r="BK12" s="131"/>
    </row>
    <row r="13" spans="1:92" ht="15.75" hidden="1" thickBot="1" x14ac:dyDescent="0.25">
      <c r="A13" s="546" t="str">
        <f>'Digitar aqui Notas e Pesos'!A13</f>
        <v>Nome da Atividade 4 da Unidade 1</v>
      </c>
      <c r="B13" s="547"/>
      <c r="C13" s="229">
        <f>IF('Digitar aqui Notas e Pesos'!C13,PEsoLetra('Digitar aqui Notas e Pesos'!C13),0)</f>
        <v>0</v>
      </c>
      <c r="D13" s="208">
        <f>IF(ISTEXT($C13),(G13*letrapeso(G14)+K13*letrapeso(K14)+N13*letrapeso(N14)+Q13*letrapeso(Q14)+T13*letrapeso(T14)+W13*letrapeso(W14)+Z13*letrapeso(Z14)+AC13*letrapeso(AC14)+AF13*letrapeso(AF14))/(letrapeso(G14)+letrapeso(K14)+letrapeso(N14)+letrapeso(Q14)+letrapeso(T14)+letrapeso(W14)+letrapeso(Z14)+letrapeso(AC14)+letrapeso(AF14)),0)</f>
        <v>0</v>
      </c>
      <c r="E13" s="208">
        <f>IF(ISTEXT($C13),(H13*letrapeso(H14)+L13*letrapeso(L14)+O13*letrapeso(O14)+R13*letrapeso(R14)+U13*letrapeso(U14)+X13*letrapeso(X14)+AA13*letrapeso(AA14)+AD13*letrapeso(AD14)+AG13*letrapeso(AG14))/(letrapeso(H14)+letrapeso(L14)+letrapeso(O14)+letrapeso(R14)+letrapeso(U14)+letrapeso(X14)+letrapeso(AA14)+letrapeso(AD14)+letrapeso(AG14)),0)</f>
        <v>0</v>
      </c>
      <c r="F13" s="209">
        <f>IF(ISTEXT($C13),(D13*$A$145+E13*$A$146),0)</f>
        <v>0</v>
      </c>
      <c r="G13" s="259">
        <f>'Digitar aqui Notas e Pesos'!D13</f>
        <v>0</v>
      </c>
      <c r="H13" s="116">
        <f>'Digitar aqui Notas e Pesos'!E13</f>
        <v>0</v>
      </c>
      <c r="I13" s="565">
        <f>IF(AND(G13&lt;&gt;0,H13&lt;&gt;0,$C13&lt;&gt;0),(G13*letrapeso(G14)*$A$145+H13*letrapeso(H14)*$A$146)/(letrapeso(G14)*$A$145+letrapeso(H14)*$A$146),0)</f>
        <v>0</v>
      </c>
      <c r="J13" s="259">
        <f>'Digitar aqui Notas e Pesos'!F13</f>
        <v>0</v>
      </c>
      <c r="K13" s="259">
        <f>'Digitar aqui Notas e Pesos'!G13</f>
        <v>0</v>
      </c>
      <c r="L13" s="116">
        <f>'Digitar aqui Notas e Pesos'!H13</f>
        <v>0</v>
      </c>
      <c r="M13" s="553">
        <f>IF(AND(K13&lt;&gt;0,L13&lt;&gt;0,$C13&lt;&gt;0),(K13*letrapeso(K14)*$A$145+L13*letrapeso(L14)*$A$146)/(letrapeso(K14)*$A$145+letrapeso(L14)*$A$146),0)</f>
        <v>0</v>
      </c>
      <c r="N13" s="259">
        <f>'Digitar aqui Notas e Pesos'!J13</f>
        <v>0</v>
      </c>
      <c r="O13" s="116">
        <f>'Digitar aqui Notas e Pesos'!K13</f>
        <v>0</v>
      </c>
      <c r="P13" s="553">
        <f>IF(AND(N13&lt;&gt;0,O13&lt;&gt;0,$C13&lt;&gt;0),(N13*letrapeso(N14)*$A$145+O13*letrapeso(O14)*$A$146)/(letrapeso(N14)*$A$145+letrapeso(O14)*$A$146),0)</f>
        <v>0</v>
      </c>
      <c r="Q13" s="259">
        <f>'Digitar aqui Notas e Pesos'!M13</f>
        <v>0</v>
      </c>
      <c r="R13" s="116">
        <f>'Digitar aqui Notas e Pesos'!N13</f>
        <v>0</v>
      </c>
      <c r="S13" s="553">
        <f>IF(AND(Q13&lt;&gt;0,R13&lt;&gt;0,$C13&lt;&gt;0),(Q13*letrapeso(Q14)*$A$145+R13*letrapeso(R14)*$A$146)/(letrapeso(Q14)*$A$145+letrapeso(R14)*$A$146),0)</f>
        <v>0</v>
      </c>
      <c r="T13" s="259">
        <f>'Digitar aqui Notas e Pesos'!P13</f>
        <v>0</v>
      </c>
      <c r="U13" s="116">
        <f>'Digitar aqui Notas e Pesos'!Q13</f>
        <v>0</v>
      </c>
      <c r="V13" s="553">
        <f>IF(AND(T13&lt;&gt;0,U13&lt;&gt;0,$C13&lt;&gt;0),(T13*letrapeso(T14)*$A$145+U13*letrapeso(U14)*$A$146)/(letrapeso(T14)*$A$145+letrapeso(U14)*$A$146),0)</f>
        <v>0</v>
      </c>
      <c r="W13" s="259">
        <f>'Digitar aqui Notas e Pesos'!S13</f>
        <v>0</v>
      </c>
      <c r="X13" s="116">
        <f>'Digitar aqui Notas e Pesos'!T13</f>
        <v>0</v>
      </c>
      <c r="Y13" s="553">
        <f>IF(AND(W13&lt;&gt;0,X13&lt;&gt;0,$C13&lt;&gt;0),(W13*letrapeso(W14)*$A$145+X13*letrapeso(X14)*$A$146)/(letrapeso(W14)*$A$145+letrapeso(X14)*$A$146),0)</f>
        <v>0</v>
      </c>
      <c r="Z13" s="259">
        <f>'Digitar aqui Notas e Pesos'!V13</f>
        <v>0</v>
      </c>
      <c r="AA13" s="116">
        <f>'Digitar aqui Notas e Pesos'!W13</f>
        <v>0</v>
      </c>
      <c r="AB13" s="553">
        <f>IF(AND(Z13&lt;&gt;0,AA13&lt;&gt;0,$C13&lt;&gt;0),(Z13*letrapeso(Z14)*$A$145+AA13*letrapeso(AA14)*$A$146)/(letrapeso(Z14)*$A$145+letrapeso(AA14)*$A$146),0)</f>
        <v>0</v>
      </c>
      <c r="AC13" s="259">
        <f>'Digitar aqui Notas e Pesos'!Y13</f>
        <v>0</v>
      </c>
      <c r="AD13" s="116">
        <f>'Digitar aqui Notas e Pesos'!Z13</f>
        <v>0</v>
      </c>
      <c r="AE13" s="553">
        <f>IF(AND(AC13&lt;&gt;0,AD13&lt;&gt;0,$C13&lt;&gt;0),(AC13*letrapeso(AC14)*$A$145+AD13*letrapeso(AD14)*$A$146)/(letrapeso(AC14)*$A$145+letrapeso(AD14)*$A$146),0)</f>
        <v>0</v>
      </c>
      <c r="AF13" s="259">
        <f>'Digitar aqui Notas e Pesos'!AB13</f>
        <v>0</v>
      </c>
      <c r="AG13" s="116">
        <f>'Digitar aqui Notas e Pesos'!AC13</f>
        <v>0</v>
      </c>
      <c r="AH13" s="573">
        <f>IF(AND(AF13&lt;&gt;0,AG13&lt;&gt;0,$C13&lt;&gt;0),(AF13*letrapeso(AF14)*$A$145+AG13*letrapeso(AG14)*$A$146)/(letrapeso(AF14)*$A$145+letrapeso(AG14)*$A$146),0)</f>
        <v>0</v>
      </c>
      <c r="AI13" s="8" t="str">
        <f>IF(letrapeso(C13),"Imprime","Não Imprime")</f>
        <v>Não Imprime</v>
      </c>
      <c r="AJ13" s="14" t="s">
        <v>28</v>
      </c>
      <c r="AK13" s="129">
        <f>G13*letrapeso(G14)*letrapeso($C13)</f>
        <v>0</v>
      </c>
      <c r="AL13" s="129">
        <f>H13*letrapeso(H14)*letrapeso($C13)</f>
        <v>0</v>
      </c>
      <c r="AM13" s="129">
        <f>J13*letrapeso(G14)*letrapeso($C13)</f>
        <v>0</v>
      </c>
      <c r="AN13" s="129">
        <f>K13*letrapeso(K14)*letrapeso($C13)</f>
        <v>0</v>
      </c>
      <c r="AO13" s="129">
        <f>L13*letrapeso(L14)*letrapeso($C13)</f>
        <v>0</v>
      </c>
      <c r="AP13" s="131"/>
      <c r="AQ13" s="129">
        <f>N13*letrapeso(N14)*letrapeso($C13)</f>
        <v>0</v>
      </c>
      <c r="AR13" s="129">
        <f>O13*letrapeso(O14)*letrapeso($C13)</f>
        <v>0</v>
      </c>
      <c r="AS13" s="131"/>
      <c r="AT13" s="129">
        <f>Q13*letrapeso(Q14)*letrapeso($C13)</f>
        <v>0</v>
      </c>
      <c r="AU13" s="129">
        <f>R13*letrapeso(R14)*letrapeso($C13)</f>
        <v>0</v>
      </c>
      <c r="AV13" s="131"/>
      <c r="AW13" s="129">
        <f>T13*letrapeso(T14)*letrapeso($C13)</f>
        <v>0</v>
      </c>
      <c r="AX13" s="129">
        <f>U13*letrapeso(U14)*letrapeso($C13)</f>
        <v>0</v>
      </c>
      <c r="AY13" s="131"/>
      <c r="AZ13" s="129">
        <f>W13*letrapeso(W14)*letrapeso($C13)</f>
        <v>0</v>
      </c>
      <c r="BA13" s="129">
        <f>X13*letrapeso(X14)*letrapeso($C13)</f>
        <v>0</v>
      </c>
      <c r="BB13" s="131"/>
      <c r="BC13" s="129">
        <f>Z13*letrapeso(Z14)*letrapeso($C13)</f>
        <v>0</v>
      </c>
      <c r="BD13" s="129">
        <f>AA13*letrapeso(AA14)*letrapeso($C13)</f>
        <v>0</v>
      </c>
      <c r="BE13" s="131"/>
      <c r="BF13" s="129">
        <f>AC13*letrapeso(AC14)*letrapeso($C13)</f>
        <v>0</v>
      </c>
      <c r="BG13" s="129">
        <f>AD13*letrapeso(AD14)*letrapeso($C13)</f>
        <v>0</v>
      </c>
      <c r="BH13" s="131"/>
      <c r="BI13" s="129">
        <f>AF13*letrapeso(AF14)*letrapeso($C13)</f>
        <v>0</v>
      </c>
      <c r="BJ13" s="129">
        <f>AG13*letrapeso(AG14)*letrapeso($C13)</f>
        <v>0</v>
      </c>
      <c r="BK13" s="131"/>
      <c r="BL13" s="171">
        <f>letrapeso(G14)</f>
        <v>0</v>
      </c>
      <c r="BM13" s="171">
        <f>letrapeso(H14)</f>
        <v>0</v>
      </c>
      <c r="BN13" s="41"/>
      <c r="BO13" s="171">
        <f>letrapeso(K14)</f>
        <v>0</v>
      </c>
      <c r="BP13" s="171">
        <f>letrapeso(L14)</f>
        <v>0</v>
      </c>
      <c r="BQ13" s="41"/>
      <c r="BR13" s="171">
        <f>letrapeso(N14)</f>
        <v>0</v>
      </c>
      <c r="BS13" s="171">
        <f>letrapeso(O14)</f>
        <v>0</v>
      </c>
      <c r="BT13" s="41"/>
      <c r="BU13" s="171">
        <f>letrapeso(Q14)</f>
        <v>0</v>
      </c>
      <c r="BV13" s="171">
        <f>letrapeso(R14)</f>
        <v>0</v>
      </c>
      <c r="BW13" s="41"/>
      <c r="BX13" s="171">
        <f>letrapeso(T14)</f>
        <v>0</v>
      </c>
      <c r="BY13" s="171">
        <f>letrapeso(U14)</f>
        <v>0</v>
      </c>
      <c r="BZ13" s="41"/>
      <c r="CA13" s="171">
        <f>letrapeso(W14)</f>
        <v>0</v>
      </c>
      <c r="CB13" s="171">
        <f>letrapeso(X14)</f>
        <v>0</v>
      </c>
      <c r="CC13" s="41"/>
      <c r="CD13" s="171">
        <f>letrapeso(Z14)</f>
        <v>0</v>
      </c>
      <c r="CE13" s="171">
        <f>letrapeso(AA14)</f>
        <v>0</v>
      </c>
      <c r="CF13" s="41"/>
      <c r="CG13" s="171">
        <f>letrapeso(AC14)</f>
        <v>0</v>
      </c>
      <c r="CH13" s="171">
        <f>letrapeso(AD14)</f>
        <v>0</v>
      </c>
      <c r="CI13" s="41"/>
      <c r="CJ13" s="171">
        <f>letrapeso(AF14)</f>
        <v>0</v>
      </c>
      <c r="CK13" s="171">
        <f>letrapeso(AG14)</f>
        <v>0</v>
      </c>
      <c r="CL13" s="41"/>
      <c r="CM13" s="41">
        <f>IF(ISTEXT($C13),(BL13+BO13+BR13+BU13+BX13+CA13+CD13+CG13+CJ13),0)</f>
        <v>0</v>
      </c>
      <c r="CN13" s="41">
        <f>IF(ISTEXT($C13),(BM13+BP13+BS13+BV13+BY13+CB13+CE13+CH13+CK13),0)</f>
        <v>0</v>
      </c>
    </row>
    <row r="14" spans="1:92" s="28" customFormat="1" ht="13.5" hidden="1" thickBot="1" x14ac:dyDescent="0.25">
      <c r="A14" s="537" t="str">
        <f>TEXT(D13,"0,00")&amp;"       "&amp;TEXT(E13,"0,00")&amp;"       "&amp;TEXT(F13,"0,00")</f>
        <v>0,00       0,00       0,00</v>
      </c>
      <c r="B14" s="538"/>
      <c r="C14" s="230"/>
      <c r="D14" s="210"/>
      <c r="E14" s="208">
        <f>IF(ISTEXT($C14),(H14*letrapeso(H15)+#REF!*letrapeso(#REF!)+L14*letrapeso(L15)+O14*letrapeso(O15)+R14*letrapeso(R15)+#REF!*letrapeso(#REF!)+U14*letrapeso(U15)+X14*letrapeso(X15)+AA14*letrapeso(AA15)+AD14*letrapeso(AD15)+AG14*letrapeso(AG15))/(letrapeso(H15)+letrapeso(#REF!)+letrapeso(L15)+letrapeso(O15)+letrapeso(R15)+letrapeso(#REF!)+letrapeso(U15)+letrapeso(X15)+letrapeso(AA15)+letrapeso(AD15)+letrapeso(AG15)),0)</f>
        <v>0</v>
      </c>
      <c r="F14" s="209"/>
      <c r="G14" s="231" t="str">
        <f>PEsoLetra('Digitar aqui Notas e Pesos'!D14)</f>
        <v/>
      </c>
      <c r="H14" s="232" t="str">
        <f>PEsoLetra('Digitar aqui Notas e Pesos'!E14)</f>
        <v/>
      </c>
      <c r="I14" s="566"/>
      <c r="J14" s="490"/>
      <c r="K14" s="231" t="str">
        <f>PEsoLetra('Digitar aqui Notas e Pesos'!G14)</f>
        <v/>
      </c>
      <c r="L14" s="232" t="str">
        <f>PEsoLetra('Digitar aqui Notas e Pesos'!H14)</f>
        <v/>
      </c>
      <c r="M14" s="554"/>
      <c r="N14" s="231" t="str">
        <f>PEsoLetra('Digitar aqui Notas e Pesos'!J14)</f>
        <v/>
      </c>
      <c r="O14" s="232" t="str">
        <f>PEsoLetra('Digitar aqui Notas e Pesos'!K14)</f>
        <v/>
      </c>
      <c r="P14" s="554"/>
      <c r="Q14" s="231" t="str">
        <f>PEsoLetra('Digitar aqui Notas e Pesos'!M14)</f>
        <v/>
      </c>
      <c r="R14" s="232" t="str">
        <f>PEsoLetra('Digitar aqui Notas e Pesos'!N14)</f>
        <v/>
      </c>
      <c r="S14" s="554"/>
      <c r="T14" s="231" t="str">
        <f>PEsoLetra('Digitar aqui Notas e Pesos'!P14)</f>
        <v/>
      </c>
      <c r="U14" s="232" t="str">
        <f>PEsoLetra('Digitar aqui Notas e Pesos'!Q14)</f>
        <v/>
      </c>
      <c r="V14" s="554"/>
      <c r="W14" s="231" t="str">
        <f>PEsoLetra('Digitar aqui Notas e Pesos'!S14)</f>
        <v/>
      </c>
      <c r="X14" s="232" t="str">
        <f>PEsoLetra('Digitar aqui Notas e Pesos'!T14)</f>
        <v/>
      </c>
      <c r="Y14" s="554"/>
      <c r="Z14" s="231" t="str">
        <f>PEsoLetra('Digitar aqui Notas e Pesos'!V14)</f>
        <v/>
      </c>
      <c r="AA14" s="232" t="str">
        <f>PEsoLetra('Digitar aqui Notas e Pesos'!W14)</f>
        <v/>
      </c>
      <c r="AB14" s="554"/>
      <c r="AC14" s="231" t="str">
        <f>PEsoLetra('Digitar aqui Notas e Pesos'!Y14)</f>
        <v/>
      </c>
      <c r="AD14" s="232" t="str">
        <f>PEsoLetra('Digitar aqui Notas e Pesos'!Z14)</f>
        <v/>
      </c>
      <c r="AE14" s="554"/>
      <c r="AF14" s="231" t="str">
        <f>PEsoLetra('Digitar aqui Notas e Pesos'!AB14)</f>
        <v/>
      </c>
      <c r="AG14" s="232" t="str">
        <f>PEsoLetra('Digitar aqui Notas e Pesos'!AC14)</f>
        <v/>
      </c>
      <c r="AH14" s="574"/>
      <c r="AI14" s="19" t="str">
        <f>+AI13</f>
        <v>Não Imprime</v>
      </c>
      <c r="AJ14" s="19"/>
      <c r="AK14" s="130"/>
      <c r="AL14" s="130"/>
      <c r="AM14" s="130"/>
      <c r="AN14" s="130"/>
      <c r="AO14" s="130"/>
      <c r="AP14" s="131"/>
      <c r="AQ14" s="130"/>
      <c r="AR14" s="130"/>
      <c r="AS14" s="131"/>
      <c r="AT14" s="130"/>
      <c r="AU14" s="130"/>
      <c r="AV14" s="131"/>
      <c r="AW14" s="130"/>
      <c r="AX14" s="130"/>
      <c r="AY14" s="131"/>
      <c r="AZ14" s="130"/>
      <c r="BA14" s="130"/>
      <c r="BB14" s="131"/>
      <c r="BC14" s="130"/>
      <c r="BD14" s="130"/>
      <c r="BE14" s="131"/>
      <c r="BF14" s="130"/>
      <c r="BG14" s="130"/>
      <c r="BH14" s="131"/>
      <c r="BI14" s="130"/>
      <c r="BJ14" s="130"/>
      <c r="BK14" s="131"/>
    </row>
    <row r="15" spans="1:92" ht="15.75" hidden="1" thickBot="1" x14ac:dyDescent="0.25">
      <c r="A15" s="546" t="str">
        <f>'Digitar aqui Notas e Pesos'!A15</f>
        <v>Nome da Atividade 5 da Unidade 1</v>
      </c>
      <c r="B15" s="547"/>
      <c r="C15" s="229">
        <f>IF('Digitar aqui Notas e Pesos'!C15,PEsoLetra('Digitar aqui Notas e Pesos'!C15),0)</f>
        <v>0</v>
      </c>
      <c r="D15" s="208">
        <f>IF(ISTEXT($C15),(G15*letrapeso(G16)+K15*letrapeso(K16)+N15*letrapeso(N16)+Q15*letrapeso(Q16)+T15*letrapeso(T16)+W15*letrapeso(W16)+Z15*letrapeso(Z16)+AC15*letrapeso(AC16)+AF15*letrapeso(AF16))/(letrapeso(G16)+letrapeso(K16)+letrapeso(N16)+letrapeso(Q16)+letrapeso(T16)+letrapeso(W16)+letrapeso(Z16)+letrapeso(AC16)+letrapeso(AF16)),0)</f>
        <v>0</v>
      </c>
      <c r="E15" s="208">
        <f>IF(ISTEXT($C15),(H15*letrapeso(H16)+L15*letrapeso(L16)+O15*letrapeso(O16)+R15*letrapeso(R16)+U15*letrapeso(U16)+X15*letrapeso(X16)+AA15*letrapeso(AA16)+AD15*letrapeso(AD16)+AG15*letrapeso(AG16))/(letrapeso(H16)+letrapeso(L16)+letrapeso(O16)+letrapeso(R16)+letrapeso(U16)+letrapeso(X16)+letrapeso(AA16)+letrapeso(AD16)+letrapeso(AG16)),0)</f>
        <v>0</v>
      </c>
      <c r="F15" s="209">
        <f>IF(ISTEXT($C15),(D15*$A$145+E15*$A$146),0)</f>
        <v>0</v>
      </c>
      <c r="G15" s="259">
        <f>'Digitar aqui Notas e Pesos'!D15</f>
        <v>0</v>
      </c>
      <c r="H15" s="116">
        <f>'Digitar aqui Notas e Pesos'!E15</f>
        <v>0</v>
      </c>
      <c r="I15" s="565">
        <f>IF(AND(G15&lt;&gt;0,H15&lt;&gt;0,$C15&lt;&gt;0),(G15*letrapeso(G16)*$A$145+H15*letrapeso(H16)*$A$146)/(letrapeso(G16)*$A$145+letrapeso(H16)*$A$146),0)</f>
        <v>0</v>
      </c>
      <c r="J15" s="259">
        <f>'Digitar aqui Notas e Pesos'!F15</f>
        <v>0</v>
      </c>
      <c r="K15" s="259">
        <f>'Digitar aqui Notas e Pesos'!G15</f>
        <v>0</v>
      </c>
      <c r="L15" s="116">
        <f>'Digitar aqui Notas e Pesos'!H15</f>
        <v>0</v>
      </c>
      <c r="M15" s="553">
        <f>IF(AND(K15&lt;&gt;0,L15&lt;&gt;0,$C15&lt;&gt;0),(K15*letrapeso(K16)*$A$145+L15*letrapeso(L16)*$A$146)/(letrapeso(K16)*$A$145+letrapeso(L16)*$A$146),0)</f>
        <v>0</v>
      </c>
      <c r="N15" s="259">
        <f>'Digitar aqui Notas e Pesos'!J15</f>
        <v>0</v>
      </c>
      <c r="O15" s="116">
        <f>'Digitar aqui Notas e Pesos'!K15</f>
        <v>0</v>
      </c>
      <c r="P15" s="553">
        <f>IF(AND(N15&lt;&gt;0,O15&lt;&gt;0,$C15&lt;&gt;0),(N15*letrapeso(N16)*$A$145+O15*letrapeso(O16)*$A$146)/(letrapeso(N16)*$A$145+letrapeso(O16)*$A$146),0)</f>
        <v>0</v>
      </c>
      <c r="Q15" s="259">
        <f>'Digitar aqui Notas e Pesos'!M15</f>
        <v>0</v>
      </c>
      <c r="R15" s="116">
        <f>'Digitar aqui Notas e Pesos'!N15</f>
        <v>0</v>
      </c>
      <c r="S15" s="553">
        <f>IF(AND(Q15&lt;&gt;0,R15&lt;&gt;0,$C15&lt;&gt;0),(Q15*letrapeso(Q16)*$A$145+R15*letrapeso(R16)*$A$146)/(letrapeso(Q16)*$A$145+letrapeso(R16)*$A$146),0)</f>
        <v>0</v>
      </c>
      <c r="T15" s="259">
        <f>'Digitar aqui Notas e Pesos'!P15</f>
        <v>0</v>
      </c>
      <c r="U15" s="116">
        <f>'Digitar aqui Notas e Pesos'!Q15</f>
        <v>0</v>
      </c>
      <c r="V15" s="553">
        <f>IF(AND(T15&lt;&gt;0,U15&lt;&gt;0,$C15&lt;&gt;0),(T15*letrapeso(T16)*$A$145+U15*letrapeso(U16)*$A$146)/(letrapeso(T16)*$A$145+letrapeso(U16)*$A$146),0)</f>
        <v>0</v>
      </c>
      <c r="W15" s="259">
        <f>'Digitar aqui Notas e Pesos'!S15</f>
        <v>0</v>
      </c>
      <c r="X15" s="116">
        <f>'Digitar aqui Notas e Pesos'!T15</f>
        <v>0</v>
      </c>
      <c r="Y15" s="553">
        <f>IF(AND(W15&lt;&gt;0,X15&lt;&gt;0,$C15&lt;&gt;0),(W15*letrapeso(W16)*$A$145+X15*letrapeso(X16)*$A$146)/(letrapeso(W16)*$A$145+letrapeso(X16)*$A$146),0)</f>
        <v>0</v>
      </c>
      <c r="Z15" s="259">
        <f>'Digitar aqui Notas e Pesos'!V15</f>
        <v>0</v>
      </c>
      <c r="AA15" s="116">
        <f>'Digitar aqui Notas e Pesos'!W15</f>
        <v>0</v>
      </c>
      <c r="AB15" s="553">
        <f>IF(AND(Z15&lt;&gt;0,AA15&lt;&gt;0,$C15&lt;&gt;0),(Z15*letrapeso(Z16)*$A$145+AA15*letrapeso(AA16)*$A$146)/(letrapeso(Z16)*$A$145+letrapeso(AA16)*$A$146),0)</f>
        <v>0</v>
      </c>
      <c r="AC15" s="259">
        <f>'Digitar aqui Notas e Pesos'!Y15</f>
        <v>0</v>
      </c>
      <c r="AD15" s="116">
        <f>'Digitar aqui Notas e Pesos'!Z15</f>
        <v>0</v>
      </c>
      <c r="AE15" s="553">
        <f>IF(AND(AC15&lt;&gt;0,AD15&lt;&gt;0,$C15&lt;&gt;0),(AC15*letrapeso(AC16)*$A$145+AD15*letrapeso(AD16)*$A$146)/(letrapeso(AC16)*$A$145+letrapeso(AD16)*$A$146),0)</f>
        <v>0</v>
      </c>
      <c r="AF15" s="259">
        <f>'Digitar aqui Notas e Pesos'!AB15</f>
        <v>0</v>
      </c>
      <c r="AG15" s="116">
        <f>'Digitar aqui Notas e Pesos'!AC15</f>
        <v>0</v>
      </c>
      <c r="AH15" s="573">
        <f>IF(AND(AF15&lt;&gt;0,AG15&lt;&gt;0,$C15&lt;&gt;0),(AF15*letrapeso(AF16)*$A$145+AG15*letrapeso(AG16)*$A$146)/(letrapeso(AF16)*$A$145+letrapeso(AG16)*$A$146),0)</f>
        <v>0</v>
      </c>
      <c r="AI15" s="8" t="str">
        <f>IF(letrapeso(C15),"Imprime","Não Imprime")</f>
        <v>Não Imprime</v>
      </c>
      <c r="AJ15" s="14" t="s">
        <v>28</v>
      </c>
      <c r="AK15" s="129">
        <f>G15*letrapeso(G16)*letrapeso($C15)</f>
        <v>0</v>
      </c>
      <c r="AL15" s="129">
        <f>H15*letrapeso(H16)*letrapeso($C15)</f>
        <v>0</v>
      </c>
      <c r="AM15" s="129">
        <f>J15*letrapeso(G16)*letrapeso($C15)</f>
        <v>0</v>
      </c>
      <c r="AN15" s="129">
        <f>K15*letrapeso(K16)*letrapeso($C15)</f>
        <v>0</v>
      </c>
      <c r="AO15" s="129">
        <f>L15*letrapeso(L16)*letrapeso($C15)</f>
        <v>0</v>
      </c>
      <c r="AP15" s="131"/>
      <c r="AQ15" s="129">
        <f>N15*letrapeso(N16)*letrapeso($C15)</f>
        <v>0</v>
      </c>
      <c r="AR15" s="129">
        <f>O15*letrapeso(O16)*letrapeso($C15)</f>
        <v>0</v>
      </c>
      <c r="AS15" s="131"/>
      <c r="AT15" s="129">
        <f>Q15*letrapeso(Q16)*letrapeso($C15)</f>
        <v>0</v>
      </c>
      <c r="AU15" s="129">
        <f>R15*letrapeso(R16)*letrapeso($C15)</f>
        <v>0</v>
      </c>
      <c r="AV15" s="131"/>
      <c r="AW15" s="129">
        <f>T15*letrapeso(T16)*letrapeso($C15)</f>
        <v>0</v>
      </c>
      <c r="AX15" s="129">
        <f>U15*letrapeso(U16)*letrapeso($C15)</f>
        <v>0</v>
      </c>
      <c r="AY15" s="131"/>
      <c r="AZ15" s="129">
        <f>W15*letrapeso(W16)*letrapeso($C15)</f>
        <v>0</v>
      </c>
      <c r="BA15" s="129">
        <f>X15*letrapeso(X16)*letrapeso($C15)</f>
        <v>0</v>
      </c>
      <c r="BB15" s="131"/>
      <c r="BC15" s="129">
        <f>Z15*letrapeso(Z16)*letrapeso($C15)</f>
        <v>0</v>
      </c>
      <c r="BD15" s="129">
        <f>AA15*letrapeso(AA16)*letrapeso($C15)</f>
        <v>0</v>
      </c>
      <c r="BE15" s="131"/>
      <c r="BF15" s="129">
        <f>AC15*letrapeso(AC16)*letrapeso($C15)</f>
        <v>0</v>
      </c>
      <c r="BG15" s="129">
        <f>AD15*letrapeso(AD16)*letrapeso($C15)</f>
        <v>0</v>
      </c>
      <c r="BH15" s="131"/>
      <c r="BI15" s="129">
        <f>AF15*letrapeso(AF16)*letrapeso($C15)</f>
        <v>0</v>
      </c>
      <c r="BJ15" s="129">
        <f>AG15*letrapeso(AG16)*letrapeso($C15)</f>
        <v>0</v>
      </c>
      <c r="BK15" s="131"/>
      <c r="BL15" s="171">
        <f>letrapeso(G16)</f>
        <v>0</v>
      </c>
      <c r="BM15" s="171">
        <f>letrapeso(H16)</f>
        <v>0</v>
      </c>
      <c r="BN15" s="41"/>
      <c r="BO15" s="171">
        <f>letrapeso(K16)</f>
        <v>0</v>
      </c>
      <c r="BP15" s="171">
        <f>letrapeso(L16)</f>
        <v>0</v>
      </c>
      <c r="BQ15" s="41"/>
      <c r="BR15" s="171">
        <f>letrapeso(N16)</f>
        <v>0</v>
      </c>
      <c r="BS15" s="171">
        <f>letrapeso(O16)</f>
        <v>0</v>
      </c>
      <c r="BT15" s="41"/>
      <c r="BU15" s="171">
        <f>letrapeso(Q16)</f>
        <v>0</v>
      </c>
      <c r="BV15" s="171">
        <f>letrapeso(R16)</f>
        <v>0</v>
      </c>
      <c r="BW15" s="41"/>
      <c r="BX15" s="171">
        <f>letrapeso(T16)</f>
        <v>0</v>
      </c>
      <c r="BY15" s="171">
        <f>letrapeso(U16)</f>
        <v>0</v>
      </c>
      <c r="BZ15" s="41"/>
      <c r="CA15" s="171">
        <f>letrapeso(W16)</f>
        <v>0</v>
      </c>
      <c r="CB15" s="171">
        <f>letrapeso(X16)</f>
        <v>0</v>
      </c>
      <c r="CC15" s="41"/>
      <c r="CD15" s="171">
        <f>letrapeso(Z16)</f>
        <v>0</v>
      </c>
      <c r="CE15" s="171">
        <f>letrapeso(AA16)</f>
        <v>0</v>
      </c>
      <c r="CF15" s="41"/>
      <c r="CG15" s="171">
        <f>letrapeso(AC16)</f>
        <v>0</v>
      </c>
      <c r="CH15" s="171">
        <f>letrapeso(AD16)</f>
        <v>0</v>
      </c>
      <c r="CI15" s="41"/>
      <c r="CJ15" s="171">
        <f>letrapeso(AF16)</f>
        <v>0</v>
      </c>
      <c r="CK15" s="171">
        <f>letrapeso(AG16)</f>
        <v>0</v>
      </c>
      <c r="CL15" s="41"/>
      <c r="CM15" s="41">
        <f>IF(ISTEXT($C15),(BL15+BO15+BR15+BU15+BX15+CA15+CD15+CG15+CJ15),0)</f>
        <v>0</v>
      </c>
      <c r="CN15" s="41">
        <f>IF(ISTEXT($C15),(BM15+BP15+BS15+BV15+BY15+CB15+CE15+CH15+CK15),0)</f>
        <v>0</v>
      </c>
    </row>
    <row r="16" spans="1:92" s="28" customFormat="1" ht="13.5" hidden="1" thickBot="1" x14ac:dyDescent="0.25">
      <c r="A16" s="537" t="str">
        <f>TEXT(D15,"0,00")&amp;"       "&amp;TEXT(E15,"0,00")&amp;"       "&amp;TEXT(F15,"0,00")</f>
        <v>0,00       0,00       0,00</v>
      </c>
      <c r="B16" s="538"/>
      <c r="C16" s="230"/>
      <c r="D16" s="210"/>
      <c r="E16" s="208">
        <f>IF(ISTEXT($C16),(H16*letrapeso(H17)+#REF!*letrapeso(#REF!)+L16*letrapeso(L17)+O16*letrapeso(O17)+R16*letrapeso(R17)+#REF!*letrapeso(#REF!)+U16*letrapeso(U17)+X16*letrapeso(X17)+AA16*letrapeso(AA17)+AD16*letrapeso(AD17)+AG16*letrapeso(AG17))/(letrapeso(H17)+letrapeso(#REF!)+letrapeso(L17)+letrapeso(O17)+letrapeso(R17)+letrapeso(#REF!)+letrapeso(U17)+letrapeso(X17)+letrapeso(AA17)+letrapeso(AD17)+letrapeso(AG17)),0)</f>
        <v>0</v>
      </c>
      <c r="F16" s="209"/>
      <c r="G16" s="231" t="str">
        <f>PEsoLetra('Digitar aqui Notas e Pesos'!D16)</f>
        <v/>
      </c>
      <c r="H16" s="232" t="str">
        <f>PEsoLetra('Digitar aqui Notas e Pesos'!E16)</f>
        <v/>
      </c>
      <c r="I16" s="566"/>
      <c r="J16" s="490"/>
      <c r="K16" s="231" t="str">
        <f>PEsoLetra('Digitar aqui Notas e Pesos'!G16)</f>
        <v/>
      </c>
      <c r="L16" s="232" t="str">
        <f>PEsoLetra('Digitar aqui Notas e Pesos'!H16)</f>
        <v/>
      </c>
      <c r="M16" s="554"/>
      <c r="N16" s="231" t="str">
        <f>PEsoLetra('Digitar aqui Notas e Pesos'!J16)</f>
        <v/>
      </c>
      <c r="O16" s="232" t="str">
        <f>PEsoLetra('Digitar aqui Notas e Pesos'!K16)</f>
        <v/>
      </c>
      <c r="P16" s="554"/>
      <c r="Q16" s="231" t="str">
        <f>PEsoLetra('Digitar aqui Notas e Pesos'!M16)</f>
        <v/>
      </c>
      <c r="R16" s="232" t="str">
        <f>PEsoLetra('Digitar aqui Notas e Pesos'!N16)</f>
        <v/>
      </c>
      <c r="S16" s="554"/>
      <c r="T16" s="231" t="str">
        <f>PEsoLetra('Digitar aqui Notas e Pesos'!P16)</f>
        <v/>
      </c>
      <c r="U16" s="232" t="str">
        <f>PEsoLetra('Digitar aqui Notas e Pesos'!Q16)</f>
        <v/>
      </c>
      <c r="V16" s="554"/>
      <c r="W16" s="231" t="str">
        <f>PEsoLetra('Digitar aqui Notas e Pesos'!S16)</f>
        <v/>
      </c>
      <c r="X16" s="232" t="str">
        <f>PEsoLetra('Digitar aqui Notas e Pesos'!T16)</f>
        <v/>
      </c>
      <c r="Y16" s="554"/>
      <c r="Z16" s="231" t="str">
        <f>PEsoLetra('Digitar aqui Notas e Pesos'!V16)</f>
        <v/>
      </c>
      <c r="AA16" s="232" t="str">
        <f>PEsoLetra('Digitar aqui Notas e Pesos'!W16)</f>
        <v/>
      </c>
      <c r="AB16" s="554"/>
      <c r="AC16" s="231" t="str">
        <f>PEsoLetra('Digitar aqui Notas e Pesos'!Y16)</f>
        <v/>
      </c>
      <c r="AD16" s="232" t="str">
        <f>PEsoLetra('Digitar aqui Notas e Pesos'!Z16)</f>
        <v/>
      </c>
      <c r="AE16" s="554"/>
      <c r="AF16" s="231" t="str">
        <f>PEsoLetra('Digitar aqui Notas e Pesos'!AB16)</f>
        <v/>
      </c>
      <c r="AG16" s="232" t="str">
        <f>PEsoLetra('Digitar aqui Notas e Pesos'!AC16)</f>
        <v/>
      </c>
      <c r="AH16" s="574"/>
      <c r="AI16" s="19" t="str">
        <f>+AI15</f>
        <v>Não Imprime</v>
      </c>
      <c r="AJ16" s="19"/>
      <c r="AK16" s="130"/>
      <c r="AL16" s="130"/>
      <c r="AM16" s="130"/>
      <c r="AN16" s="130"/>
      <c r="AO16" s="130"/>
      <c r="AP16" s="131"/>
      <c r="AQ16" s="130"/>
      <c r="AR16" s="130"/>
      <c r="AS16" s="131"/>
      <c r="AT16" s="130"/>
      <c r="AU16" s="130"/>
      <c r="AV16" s="131"/>
      <c r="AW16" s="130"/>
      <c r="AX16" s="130"/>
      <c r="AY16" s="131"/>
      <c r="AZ16" s="130"/>
      <c r="BA16" s="130"/>
      <c r="BB16" s="131"/>
      <c r="BC16" s="130"/>
      <c r="BD16" s="130"/>
      <c r="BE16" s="131"/>
      <c r="BF16" s="130"/>
      <c r="BG16" s="130"/>
      <c r="BH16" s="131"/>
      <c r="BI16" s="130"/>
      <c r="BJ16" s="130"/>
      <c r="BK16" s="131"/>
    </row>
    <row r="17" spans="1:92" ht="15.75" hidden="1" thickBot="1" x14ac:dyDescent="0.25">
      <c r="A17" s="546" t="str">
        <f>'Digitar aqui Notas e Pesos'!A17</f>
        <v>Nome da Atividade 6 da Unidade 1</v>
      </c>
      <c r="B17" s="547"/>
      <c r="C17" s="229">
        <f>IF('Digitar aqui Notas e Pesos'!C17,PEsoLetra('Digitar aqui Notas e Pesos'!C17),0)</f>
        <v>0</v>
      </c>
      <c r="D17" s="208">
        <f>IF(ISTEXT($C17),(G17*letrapeso(G18)+K17*letrapeso(K18)+N17*letrapeso(N18)+Q17*letrapeso(Q18)+T17*letrapeso(T18)+W17*letrapeso(W18)+Z17*letrapeso(Z18)+AC17*letrapeso(AC18)+AF17*letrapeso(AF18))/(letrapeso(G18)+letrapeso(K18)+letrapeso(N18)+letrapeso(Q18)+letrapeso(T18)+letrapeso(W18)+letrapeso(Z18)+letrapeso(AC18)+letrapeso(AF18)),0)</f>
        <v>0</v>
      </c>
      <c r="E17" s="208">
        <f>IF(ISTEXT($C17),(H17*letrapeso(H18)+L17*letrapeso(L18)+O17*letrapeso(O18)+R17*letrapeso(R18)+U17*letrapeso(U18)+X17*letrapeso(X18)+AA17*letrapeso(AA18)+AD17*letrapeso(AD18)+AG17*letrapeso(AG18))/(letrapeso(H18)+letrapeso(L18)+letrapeso(O18)+letrapeso(R18)+letrapeso(U18)+letrapeso(X18)+letrapeso(AA18)+letrapeso(AD18)+letrapeso(AG18)),0)</f>
        <v>0</v>
      </c>
      <c r="F17" s="209">
        <f>IF(ISTEXT($C17),(D17*$A$145+E17*$A$146),0)</f>
        <v>0</v>
      </c>
      <c r="G17" s="259">
        <f>'Digitar aqui Notas e Pesos'!D17</f>
        <v>0</v>
      </c>
      <c r="H17" s="116">
        <f>'Digitar aqui Notas e Pesos'!E17</f>
        <v>0</v>
      </c>
      <c r="I17" s="565">
        <f>IF(AND(G17&lt;&gt;0,H17&lt;&gt;0,$C17&lt;&gt;0),(G17*letrapeso(G18)*$A$145+H17*letrapeso(H18)*$A$146)/(letrapeso(G18)*$A$145+letrapeso(H18)*$A$146),0)</f>
        <v>0</v>
      </c>
      <c r="J17" s="259">
        <f>'Digitar aqui Notas e Pesos'!F17</f>
        <v>0</v>
      </c>
      <c r="K17" s="259">
        <f>'Digitar aqui Notas e Pesos'!G17</f>
        <v>0</v>
      </c>
      <c r="L17" s="116">
        <f>'Digitar aqui Notas e Pesos'!H17</f>
        <v>0</v>
      </c>
      <c r="M17" s="553">
        <f>IF(AND(K17&lt;&gt;0,L17&lt;&gt;0,$C17&lt;&gt;0),(K17*letrapeso(K18)*$A$145+L17*letrapeso(L18)*$A$146)/(letrapeso(K18)*$A$145+letrapeso(L18)*$A$146),0)</f>
        <v>0</v>
      </c>
      <c r="N17" s="259">
        <f>'Digitar aqui Notas e Pesos'!J17</f>
        <v>0</v>
      </c>
      <c r="O17" s="116">
        <f>'Digitar aqui Notas e Pesos'!K17</f>
        <v>0</v>
      </c>
      <c r="P17" s="553">
        <f>IF(AND(N17&lt;&gt;0,O17&lt;&gt;0,$C17&lt;&gt;0),(N17*letrapeso(N18)*$A$145+O17*letrapeso(O18)*$A$146)/(letrapeso(N18)*$A$145+letrapeso(O18)*$A$146),0)</f>
        <v>0</v>
      </c>
      <c r="Q17" s="259">
        <f>'Digitar aqui Notas e Pesos'!M17</f>
        <v>0</v>
      </c>
      <c r="R17" s="116">
        <f>'Digitar aqui Notas e Pesos'!N17</f>
        <v>0</v>
      </c>
      <c r="S17" s="553">
        <f>IF(AND(Q17&lt;&gt;0,R17&lt;&gt;0,$C17&lt;&gt;0),(Q17*letrapeso(Q18)*$A$145+R17*letrapeso(R18)*$A$146)/(letrapeso(Q18)*$A$145+letrapeso(R18)*$A$146),0)</f>
        <v>0</v>
      </c>
      <c r="T17" s="259">
        <f>'Digitar aqui Notas e Pesos'!P17</f>
        <v>0</v>
      </c>
      <c r="U17" s="116">
        <f>'Digitar aqui Notas e Pesos'!Q17</f>
        <v>0</v>
      </c>
      <c r="V17" s="553">
        <f>IF(AND(T17&lt;&gt;0,U17&lt;&gt;0,$C17&lt;&gt;0),(T17*letrapeso(T18)*$A$145+U17*letrapeso(U18)*$A$146)/(letrapeso(T18)*$A$145+letrapeso(U18)*$A$146),0)</f>
        <v>0</v>
      </c>
      <c r="W17" s="259">
        <f>'Digitar aqui Notas e Pesos'!S17</f>
        <v>0</v>
      </c>
      <c r="X17" s="116">
        <f>'Digitar aqui Notas e Pesos'!T17</f>
        <v>0</v>
      </c>
      <c r="Y17" s="553">
        <f>IF(AND(W17&lt;&gt;0,X17&lt;&gt;0,$C17&lt;&gt;0),(W17*letrapeso(W18)*$A$145+X17*letrapeso(X18)*$A$146)/(letrapeso(W18)*$A$145+letrapeso(X18)*$A$146),0)</f>
        <v>0</v>
      </c>
      <c r="Z17" s="259">
        <f>'Digitar aqui Notas e Pesos'!V17</f>
        <v>0</v>
      </c>
      <c r="AA17" s="116">
        <f>'Digitar aqui Notas e Pesos'!W17</f>
        <v>0</v>
      </c>
      <c r="AB17" s="553">
        <f>IF(AND(Z17&lt;&gt;0,AA17&lt;&gt;0,$C17&lt;&gt;0),(Z17*letrapeso(Z18)*$A$145+AA17*letrapeso(AA18)*$A$146)/(letrapeso(Z18)*$A$145+letrapeso(AA18)*$A$146),0)</f>
        <v>0</v>
      </c>
      <c r="AC17" s="259">
        <f>'Digitar aqui Notas e Pesos'!Y17</f>
        <v>0</v>
      </c>
      <c r="AD17" s="116">
        <f>'Digitar aqui Notas e Pesos'!Z17</f>
        <v>0</v>
      </c>
      <c r="AE17" s="553">
        <f>IF(AND(AC17&lt;&gt;0,AD17&lt;&gt;0,$C17&lt;&gt;0),(AC17*letrapeso(AC18)*$A$145+AD17*letrapeso(AD18)*$A$146)/(letrapeso(AC18)*$A$145+letrapeso(AD18)*$A$146),0)</f>
        <v>0</v>
      </c>
      <c r="AF17" s="259">
        <f>'Digitar aqui Notas e Pesos'!AB17</f>
        <v>0</v>
      </c>
      <c r="AG17" s="116">
        <f>'Digitar aqui Notas e Pesos'!AC17</f>
        <v>0</v>
      </c>
      <c r="AH17" s="573">
        <f>IF(AND(AF17&lt;&gt;0,AG17&lt;&gt;0,$C17&lt;&gt;0),(AF17*letrapeso(AF18)*$A$145+AG17*letrapeso(AG18)*$A$146)/(letrapeso(AF18)*$A$145+letrapeso(AG18)*$A$146),0)</f>
        <v>0</v>
      </c>
      <c r="AI17" s="8" t="str">
        <f>IF(letrapeso(C17),"Imprime","Não Imprime")</f>
        <v>Não Imprime</v>
      </c>
      <c r="AJ17" s="14" t="s">
        <v>28</v>
      </c>
      <c r="AK17" s="129">
        <f>G17*letrapeso(G18)*letrapeso($C17)</f>
        <v>0</v>
      </c>
      <c r="AL17" s="129">
        <f>H17*letrapeso(H18)*letrapeso($C17)</f>
        <v>0</v>
      </c>
      <c r="AM17" s="129">
        <f>J17*letrapeso(G18)*letrapeso($C17)</f>
        <v>0</v>
      </c>
      <c r="AN17" s="129">
        <f>K17*letrapeso(K18)*letrapeso($C17)</f>
        <v>0</v>
      </c>
      <c r="AO17" s="129">
        <f>L17*letrapeso(L18)*letrapeso($C17)</f>
        <v>0</v>
      </c>
      <c r="AP17" s="131"/>
      <c r="AQ17" s="129">
        <f>N17*letrapeso(N18)*letrapeso($C17)</f>
        <v>0</v>
      </c>
      <c r="AR17" s="129">
        <f>O17*letrapeso(O18)*letrapeso($C17)</f>
        <v>0</v>
      </c>
      <c r="AS17" s="131"/>
      <c r="AT17" s="129">
        <f>Q17*letrapeso(Q18)*letrapeso($C17)</f>
        <v>0</v>
      </c>
      <c r="AU17" s="129">
        <f>R17*letrapeso(R18)*letrapeso($C17)</f>
        <v>0</v>
      </c>
      <c r="AV17" s="131"/>
      <c r="AW17" s="129">
        <f>T17*letrapeso(T18)*letrapeso($C17)</f>
        <v>0</v>
      </c>
      <c r="AX17" s="129">
        <f>U17*letrapeso(U18)*letrapeso($C17)</f>
        <v>0</v>
      </c>
      <c r="AY17" s="131"/>
      <c r="AZ17" s="129">
        <f>W17*letrapeso(W18)*letrapeso($C17)</f>
        <v>0</v>
      </c>
      <c r="BA17" s="129">
        <f>X17*letrapeso(X18)*letrapeso($C17)</f>
        <v>0</v>
      </c>
      <c r="BB17" s="131"/>
      <c r="BC17" s="129">
        <f>Z17*letrapeso(Z18)*letrapeso($C17)</f>
        <v>0</v>
      </c>
      <c r="BD17" s="129">
        <f>AA17*letrapeso(AA18)*letrapeso($C17)</f>
        <v>0</v>
      </c>
      <c r="BE17" s="131"/>
      <c r="BF17" s="129">
        <f>AC17*letrapeso(AC18)*letrapeso($C17)</f>
        <v>0</v>
      </c>
      <c r="BG17" s="129">
        <f>AD17*letrapeso(AD18)*letrapeso($C17)</f>
        <v>0</v>
      </c>
      <c r="BH17" s="131"/>
      <c r="BI17" s="129">
        <f>AF17*letrapeso(AF18)*letrapeso($C17)</f>
        <v>0</v>
      </c>
      <c r="BJ17" s="129">
        <f>AG17*letrapeso(AG18)*letrapeso($C17)</f>
        <v>0</v>
      </c>
      <c r="BK17" s="131"/>
      <c r="BL17" s="171">
        <f>letrapeso(G18)</f>
        <v>0</v>
      </c>
      <c r="BM17" s="171">
        <f>letrapeso(H18)</f>
        <v>0</v>
      </c>
      <c r="BN17" s="41"/>
      <c r="BO17" s="171">
        <f>letrapeso(K18)</f>
        <v>0</v>
      </c>
      <c r="BP17" s="171">
        <f>letrapeso(L18)</f>
        <v>0</v>
      </c>
      <c r="BQ17" s="41"/>
      <c r="BR17" s="171">
        <f>letrapeso(N18)</f>
        <v>0</v>
      </c>
      <c r="BS17" s="171">
        <f>letrapeso(O18)</f>
        <v>0</v>
      </c>
      <c r="BT17" s="41"/>
      <c r="BU17" s="171">
        <f>letrapeso(Q18)</f>
        <v>0</v>
      </c>
      <c r="BV17" s="171">
        <f>letrapeso(R18)</f>
        <v>0</v>
      </c>
      <c r="BW17" s="41"/>
      <c r="BX17" s="171">
        <f>letrapeso(T18)</f>
        <v>0</v>
      </c>
      <c r="BY17" s="171">
        <f>letrapeso(U18)</f>
        <v>0</v>
      </c>
      <c r="BZ17" s="41"/>
      <c r="CA17" s="171">
        <f>letrapeso(W18)</f>
        <v>0</v>
      </c>
      <c r="CB17" s="171">
        <f>letrapeso(X18)</f>
        <v>0</v>
      </c>
      <c r="CC17" s="41"/>
      <c r="CD17" s="171">
        <f>letrapeso(Z18)</f>
        <v>0</v>
      </c>
      <c r="CE17" s="171">
        <f>letrapeso(AA18)</f>
        <v>0</v>
      </c>
      <c r="CF17" s="41"/>
      <c r="CG17" s="171">
        <f>letrapeso(AC18)</f>
        <v>0</v>
      </c>
      <c r="CH17" s="171">
        <f>letrapeso(AD18)</f>
        <v>0</v>
      </c>
      <c r="CI17" s="41"/>
      <c r="CJ17" s="171">
        <f>letrapeso(AF18)</f>
        <v>0</v>
      </c>
      <c r="CK17" s="171">
        <f>letrapeso(AG18)</f>
        <v>0</v>
      </c>
      <c r="CL17" s="41"/>
      <c r="CM17" s="41">
        <f>IF(ISTEXT($C17),(BL17+BO17+BR17+BU17+BX17+CA17+CD17+CG17+CJ17),0)</f>
        <v>0</v>
      </c>
      <c r="CN17" s="41">
        <f>IF(ISTEXT($C17),(BM17+BP17+BS17+BV17+BY17+CB17+CE17+CH17+CK17),0)</f>
        <v>0</v>
      </c>
    </row>
    <row r="18" spans="1:92" s="28" customFormat="1" ht="13.5" hidden="1" thickBot="1" x14ac:dyDescent="0.25">
      <c r="A18" s="537" t="str">
        <f>TEXT(D17,"0,00")&amp;"       "&amp;TEXT(E17,"0,00")&amp;"       "&amp;TEXT(F17,"0,00")</f>
        <v>0,00       0,00       0,00</v>
      </c>
      <c r="B18" s="538"/>
      <c r="C18" s="230"/>
      <c r="D18" s="210"/>
      <c r="E18" s="208">
        <f>IF(ISTEXT($C18),(H18*letrapeso(H19)+#REF!*letrapeso(#REF!)+L18*letrapeso(L19)+O18*letrapeso(O19)+R18*letrapeso(R19)+#REF!*letrapeso(#REF!)+U18*letrapeso(U19)+X18*letrapeso(X19)+AA18*letrapeso(AA19)+AD18*letrapeso(AD19)+AG18*letrapeso(AG19))/(letrapeso(H19)+letrapeso(#REF!)+letrapeso(L19)+letrapeso(O19)+letrapeso(R19)+letrapeso(#REF!)+letrapeso(U19)+letrapeso(X19)+letrapeso(AA19)+letrapeso(AD19)+letrapeso(AG19)),0)</f>
        <v>0</v>
      </c>
      <c r="F18" s="209"/>
      <c r="G18" s="231" t="str">
        <f>PEsoLetra('Digitar aqui Notas e Pesos'!D18)</f>
        <v/>
      </c>
      <c r="H18" s="232" t="str">
        <f>PEsoLetra('Digitar aqui Notas e Pesos'!E18)</f>
        <v/>
      </c>
      <c r="I18" s="566"/>
      <c r="J18" s="490"/>
      <c r="K18" s="231" t="str">
        <f>PEsoLetra('Digitar aqui Notas e Pesos'!G18)</f>
        <v/>
      </c>
      <c r="L18" s="232" t="str">
        <f>PEsoLetra('Digitar aqui Notas e Pesos'!H18)</f>
        <v/>
      </c>
      <c r="M18" s="554"/>
      <c r="N18" s="231" t="str">
        <f>PEsoLetra('Digitar aqui Notas e Pesos'!J18)</f>
        <v/>
      </c>
      <c r="O18" s="232" t="str">
        <f>PEsoLetra('Digitar aqui Notas e Pesos'!K18)</f>
        <v/>
      </c>
      <c r="P18" s="554"/>
      <c r="Q18" s="231" t="str">
        <f>PEsoLetra('Digitar aqui Notas e Pesos'!M18)</f>
        <v/>
      </c>
      <c r="R18" s="232" t="str">
        <f>PEsoLetra('Digitar aqui Notas e Pesos'!N18)</f>
        <v/>
      </c>
      <c r="S18" s="554"/>
      <c r="T18" s="231" t="str">
        <f>PEsoLetra('Digitar aqui Notas e Pesos'!P18)</f>
        <v/>
      </c>
      <c r="U18" s="232" t="str">
        <f>PEsoLetra('Digitar aqui Notas e Pesos'!Q18)</f>
        <v/>
      </c>
      <c r="V18" s="554"/>
      <c r="W18" s="231" t="str">
        <f>PEsoLetra('Digitar aqui Notas e Pesos'!S18)</f>
        <v/>
      </c>
      <c r="X18" s="232" t="str">
        <f>PEsoLetra('Digitar aqui Notas e Pesos'!T18)</f>
        <v/>
      </c>
      <c r="Y18" s="554"/>
      <c r="Z18" s="231" t="str">
        <f>PEsoLetra('Digitar aqui Notas e Pesos'!V18)</f>
        <v/>
      </c>
      <c r="AA18" s="232" t="str">
        <f>PEsoLetra('Digitar aqui Notas e Pesos'!W18)</f>
        <v/>
      </c>
      <c r="AB18" s="554"/>
      <c r="AC18" s="231" t="str">
        <f>PEsoLetra('Digitar aqui Notas e Pesos'!Y18)</f>
        <v/>
      </c>
      <c r="AD18" s="232" t="str">
        <f>PEsoLetra('Digitar aqui Notas e Pesos'!Z18)</f>
        <v/>
      </c>
      <c r="AE18" s="554"/>
      <c r="AF18" s="231" t="str">
        <f>PEsoLetra('Digitar aqui Notas e Pesos'!AB18)</f>
        <v/>
      </c>
      <c r="AG18" s="232" t="str">
        <f>PEsoLetra('Digitar aqui Notas e Pesos'!AC18)</f>
        <v/>
      </c>
      <c r="AH18" s="574"/>
      <c r="AI18" s="19" t="str">
        <f>+AI17</f>
        <v>Não Imprime</v>
      </c>
      <c r="AJ18" s="19"/>
      <c r="AK18" s="130"/>
      <c r="AL18" s="130"/>
      <c r="AM18" s="130"/>
      <c r="AN18" s="130"/>
      <c r="AO18" s="130"/>
      <c r="AP18" s="131"/>
      <c r="AQ18" s="130"/>
      <c r="AR18" s="130"/>
      <c r="AS18" s="131"/>
      <c r="AT18" s="130"/>
      <c r="AU18" s="130"/>
      <c r="AV18" s="131"/>
      <c r="AW18" s="130"/>
      <c r="AX18" s="130"/>
      <c r="AY18" s="131"/>
      <c r="AZ18" s="130"/>
      <c r="BA18" s="130"/>
      <c r="BB18" s="131"/>
      <c r="BC18" s="130"/>
      <c r="BD18" s="130"/>
      <c r="BE18" s="131"/>
      <c r="BF18" s="130"/>
      <c r="BG18" s="130"/>
      <c r="BH18" s="131"/>
      <c r="BI18" s="130"/>
      <c r="BJ18" s="130"/>
      <c r="BK18" s="131"/>
      <c r="CM18" s="171"/>
    </row>
    <row r="19" spans="1:92" ht="15.75" hidden="1" thickBot="1" x14ac:dyDescent="0.25">
      <c r="A19" s="546" t="str">
        <f>'Digitar aqui Notas e Pesos'!A19</f>
        <v>Nome da Atividade 7 da Unidade 1</v>
      </c>
      <c r="B19" s="547"/>
      <c r="C19" s="229">
        <f>IF('Digitar aqui Notas e Pesos'!C19,PEsoLetra('Digitar aqui Notas e Pesos'!C19),0)</f>
        <v>0</v>
      </c>
      <c r="D19" s="208">
        <f>IF(ISTEXT($C19),(G19*letrapeso(G20)+K19*letrapeso(K20)+N19*letrapeso(N20)+Q19*letrapeso(Q20)+T19*letrapeso(T20)+W19*letrapeso(W20)+Z19*letrapeso(Z20)+AC19*letrapeso(AC20)+AF19*letrapeso(AF20))/(letrapeso(G20)+letrapeso(K20)+letrapeso(N20)+letrapeso(Q20)+letrapeso(T20)+letrapeso(W20)+letrapeso(Z20)+letrapeso(AC20)+letrapeso(AF20)),0)</f>
        <v>0</v>
      </c>
      <c r="E19" s="208">
        <f>IF(ISTEXT($C19),(H19*letrapeso(H20)+L19*letrapeso(L20)+O19*letrapeso(O20)+R19*letrapeso(R20)+U19*letrapeso(U20)+X19*letrapeso(X20)+AA19*letrapeso(AA20)+AD19*letrapeso(AD20)+AG19*letrapeso(AG20))/(letrapeso(H20)+letrapeso(L20)+letrapeso(O20)+letrapeso(R20)+letrapeso(U20)+letrapeso(X20)+letrapeso(AA20)+letrapeso(AD20)+letrapeso(AG20)),0)</f>
        <v>0</v>
      </c>
      <c r="F19" s="209">
        <f>IF(ISTEXT($C19),(D19*$A$145+E19*$A$146),0)</f>
        <v>0</v>
      </c>
      <c r="G19" s="115">
        <f>'Digitar aqui Notas e Pesos'!D19</f>
        <v>0</v>
      </c>
      <c r="H19" s="116">
        <f>'Digitar aqui Notas e Pesos'!E19</f>
        <v>0</v>
      </c>
      <c r="I19" s="565">
        <f>IF(AND(G19&lt;&gt;0,H19&lt;&gt;0,$C19&lt;&gt;0),(G19*letrapeso(G20)*$A$145+H19*letrapeso(H20)*$A$146)/(letrapeso(G20)*$A$145+letrapeso(H20)*$A$146),0)</f>
        <v>0</v>
      </c>
      <c r="J19" s="259">
        <f>'Digitar aqui Notas e Pesos'!F19</f>
        <v>0</v>
      </c>
      <c r="K19" s="115">
        <f>'Digitar aqui Notas e Pesos'!G19</f>
        <v>0</v>
      </c>
      <c r="L19" s="116">
        <f>'Digitar aqui Notas e Pesos'!H19</f>
        <v>0</v>
      </c>
      <c r="M19" s="553">
        <f>IF(AND(K19&lt;&gt;0,L19&lt;&gt;0,$C19&lt;&gt;0),(K19*letrapeso(K20)*$A$145+L19*letrapeso(L20)*$A$146)/(letrapeso(K20)*$A$145+letrapeso(L20)*$A$146),0)</f>
        <v>0</v>
      </c>
      <c r="N19" s="115">
        <f>'Digitar aqui Notas e Pesos'!J19</f>
        <v>0</v>
      </c>
      <c r="O19" s="116">
        <f>'Digitar aqui Notas e Pesos'!K19</f>
        <v>0</v>
      </c>
      <c r="P19" s="553">
        <f>IF(AND(N19&lt;&gt;0,O19&lt;&gt;0,$C19&lt;&gt;0),(N19*letrapeso(N20)*$A$145+O19*letrapeso(O20)*$A$146)/(letrapeso(N20)*$A$145+letrapeso(O20)*$A$146),0)</f>
        <v>0</v>
      </c>
      <c r="Q19" s="115">
        <f>'Digitar aqui Notas e Pesos'!M19</f>
        <v>0</v>
      </c>
      <c r="R19" s="116">
        <f>'Digitar aqui Notas e Pesos'!N19</f>
        <v>0</v>
      </c>
      <c r="S19" s="553">
        <f>IF(AND(Q19&lt;&gt;0,R19&lt;&gt;0,$C19&lt;&gt;0),(Q19*letrapeso(Q20)*$A$145+R19*letrapeso(R20)*$A$146)/(letrapeso(Q20)*$A$145+letrapeso(R20)*$A$146),0)</f>
        <v>0</v>
      </c>
      <c r="T19" s="115">
        <f>'Digitar aqui Notas e Pesos'!P19</f>
        <v>0</v>
      </c>
      <c r="U19" s="116">
        <f>'Digitar aqui Notas e Pesos'!Q19</f>
        <v>0</v>
      </c>
      <c r="V19" s="553">
        <f>IF(AND(T19&lt;&gt;0,U19&lt;&gt;0,$C19&lt;&gt;0),(T19*letrapeso(T20)*$A$145+U19*letrapeso(U20)*$A$146)/(letrapeso(T20)*$A$145+letrapeso(U20)*$A$146),0)</f>
        <v>0</v>
      </c>
      <c r="W19" s="115">
        <f>'Digitar aqui Notas e Pesos'!S19</f>
        <v>0</v>
      </c>
      <c r="X19" s="116">
        <f>'Digitar aqui Notas e Pesos'!T19</f>
        <v>0</v>
      </c>
      <c r="Y19" s="553">
        <f>IF(AND(W19&lt;&gt;0,X19&lt;&gt;0,$C19&lt;&gt;0),(W19*letrapeso(W20)*$A$145+X19*letrapeso(X20)*$A$146)/(letrapeso(W20)*$A$145+letrapeso(X20)*$A$146),0)</f>
        <v>0</v>
      </c>
      <c r="Z19" s="115">
        <f>'Digitar aqui Notas e Pesos'!V19</f>
        <v>0</v>
      </c>
      <c r="AA19" s="116">
        <f>'Digitar aqui Notas e Pesos'!W19</f>
        <v>0</v>
      </c>
      <c r="AB19" s="553">
        <f>IF(AND(Z19&lt;&gt;0,AA19&lt;&gt;0,$C19&lt;&gt;0),(Z19*letrapeso(Z20)*$A$145+AA19*letrapeso(AA20)*$A$146)/(letrapeso(Z20)*$A$145+letrapeso(AA20)*$A$146),0)</f>
        <v>0</v>
      </c>
      <c r="AC19" s="115">
        <f>'Digitar aqui Notas e Pesos'!Y19</f>
        <v>0</v>
      </c>
      <c r="AD19" s="116">
        <f>'Digitar aqui Notas e Pesos'!Z19</f>
        <v>0</v>
      </c>
      <c r="AE19" s="553">
        <f>IF(AND(AC19&lt;&gt;0,AD19&lt;&gt;0,$C19&lt;&gt;0),(AC19*letrapeso(AC20)*$A$145+AD19*letrapeso(AD20)*$A$146)/(letrapeso(AC20)*$A$145+letrapeso(AD20)*$A$146),0)</f>
        <v>0</v>
      </c>
      <c r="AF19" s="115">
        <f>'Digitar aqui Notas e Pesos'!AB19</f>
        <v>0</v>
      </c>
      <c r="AG19" s="116">
        <f>'Digitar aqui Notas e Pesos'!AC19</f>
        <v>0</v>
      </c>
      <c r="AH19" s="573">
        <f>IF(AND(AF19&lt;&gt;0,AG19&lt;&gt;0,$C19&lt;&gt;0),(AF19*letrapeso(AF20)*$A$145+AG19*letrapeso(AG20)*$A$146)/(letrapeso(AF20)*$A$145+letrapeso(AG20)*$A$146),0)</f>
        <v>0</v>
      </c>
      <c r="AI19" s="8" t="str">
        <f>IF(letrapeso(C19),"Imprime","Não Imprime")</f>
        <v>Não Imprime</v>
      </c>
      <c r="AJ19" s="14" t="s">
        <v>28</v>
      </c>
      <c r="AK19" s="129">
        <f>G19*letrapeso(G20)*letrapeso($C19)</f>
        <v>0</v>
      </c>
      <c r="AL19" s="129">
        <f>H19*letrapeso(H20)*letrapeso($C19)</f>
        <v>0</v>
      </c>
      <c r="AM19" s="129">
        <f>J19*letrapeso(G20)*letrapeso($C19)</f>
        <v>0</v>
      </c>
      <c r="AN19" s="129">
        <f>K19*letrapeso(K20)*letrapeso($C19)</f>
        <v>0</v>
      </c>
      <c r="AO19" s="129">
        <f>L19*letrapeso(L20)*letrapeso($C19)</f>
        <v>0</v>
      </c>
      <c r="AP19" s="131"/>
      <c r="AQ19" s="129">
        <f>N19*letrapeso(N20)*letrapeso($C19)</f>
        <v>0</v>
      </c>
      <c r="AR19" s="129">
        <f>O19*letrapeso(O20)*letrapeso($C19)</f>
        <v>0</v>
      </c>
      <c r="AS19" s="131"/>
      <c r="AT19" s="129">
        <f>Q19*letrapeso(Q20)*letrapeso($C19)</f>
        <v>0</v>
      </c>
      <c r="AU19" s="129">
        <f>R19*letrapeso(R20)*letrapeso($C19)</f>
        <v>0</v>
      </c>
      <c r="AV19" s="131"/>
      <c r="AW19" s="129">
        <f>T19*letrapeso(T20)*letrapeso($C19)</f>
        <v>0</v>
      </c>
      <c r="AX19" s="129">
        <f>U19*letrapeso(U20)*letrapeso($C19)</f>
        <v>0</v>
      </c>
      <c r="AY19" s="131"/>
      <c r="AZ19" s="129">
        <f>W19*letrapeso(W20)*letrapeso($C19)</f>
        <v>0</v>
      </c>
      <c r="BA19" s="129">
        <f>X19*letrapeso(X20)*letrapeso($C19)</f>
        <v>0</v>
      </c>
      <c r="BB19" s="131"/>
      <c r="BC19" s="129">
        <f>Z19*letrapeso(Z20)*letrapeso($C19)</f>
        <v>0</v>
      </c>
      <c r="BD19" s="129">
        <f>AA19*letrapeso(AA20)*letrapeso($C19)</f>
        <v>0</v>
      </c>
      <c r="BE19" s="131"/>
      <c r="BF19" s="129">
        <f>AC19*letrapeso(AC20)*letrapeso($C19)</f>
        <v>0</v>
      </c>
      <c r="BG19" s="129">
        <f>AD19*letrapeso(AD20)*letrapeso($C19)</f>
        <v>0</v>
      </c>
      <c r="BH19" s="131"/>
      <c r="BI19" s="129">
        <f>AF19*letrapeso(AF20)*letrapeso($C19)</f>
        <v>0</v>
      </c>
      <c r="BJ19" s="129">
        <f>AG19*letrapeso(AG20)*letrapeso($C19)</f>
        <v>0</v>
      </c>
      <c r="BK19" s="131"/>
      <c r="BL19" s="171">
        <f>letrapeso(G20)</f>
        <v>0</v>
      </c>
      <c r="BM19" s="171">
        <f>letrapeso(H20)</f>
        <v>0</v>
      </c>
      <c r="BN19" s="41"/>
      <c r="BO19" s="171">
        <f>letrapeso(K20)</f>
        <v>0</v>
      </c>
      <c r="BP19" s="171">
        <f>letrapeso(L20)</f>
        <v>0</v>
      </c>
      <c r="BQ19" s="41"/>
      <c r="BR19" s="171">
        <f>letrapeso(N20)</f>
        <v>0</v>
      </c>
      <c r="BS19" s="171">
        <f>letrapeso(O20)</f>
        <v>0</v>
      </c>
      <c r="BT19" s="41"/>
      <c r="BU19" s="171">
        <f>letrapeso(Q20)</f>
        <v>0</v>
      </c>
      <c r="BV19" s="171">
        <f>letrapeso(R20)</f>
        <v>0</v>
      </c>
      <c r="BW19" s="41"/>
      <c r="BX19" s="171">
        <f>letrapeso(T20)</f>
        <v>0</v>
      </c>
      <c r="BY19" s="171">
        <f>letrapeso(U20)</f>
        <v>0</v>
      </c>
      <c r="BZ19" s="41"/>
      <c r="CA19" s="171">
        <f>letrapeso(W20)</f>
        <v>0</v>
      </c>
      <c r="CB19" s="171">
        <f>letrapeso(X20)</f>
        <v>0</v>
      </c>
      <c r="CC19" s="41"/>
      <c r="CD19" s="171">
        <f>letrapeso(Z20)</f>
        <v>0</v>
      </c>
      <c r="CE19" s="171">
        <f>letrapeso(AA20)</f>
        <v>0</v>
      </c>
      <c r="CF19" s="41"/>
      <c r="CG19" s="171">
        <f>letrapeso(AC20)</f>
        <v>0</v>
      </c>
      <c r="CH19" s="171">
        <f>letrapeso(AD20)</f>
        <v>0</v>
      </c>
      <c r="CI19" s="41"/>
      <c r="CJ19" s="171">
        <f>letrapeso(AF20)</f>
        <v>0</v>
      </c>
      <c r="CK19" s="171">
        <f>letrapeso(AG20)</f>
        <v>0</v>
      </c>
      <c r="CL19" s="41"/>
      <c r="CM19" s="41">
        <f>IF(ISTEXT($C19),(BL19+BO19+BR19+BU19+BX19+CA19+CD19+CG19+CJ19),0)</f>
        <v>0</v>
      </c>
      <c r="CN19" s="41">
        <f>IF(ISTEXT($C19),(BM19+BP19+BS19+BV19+BY19+CB19+CE19+CH19+CK19),0)</f>
        <v>0</v>
      </c>
    </row>
    <row r="20" spans="1:92" s="28" customFormat="1" ht="13.5" hidden="1" thickBot="1" x14ac:dyDescent="0.25">
      <c r="A20" s="537" t="str">
        <f>TEXT(D19,"0,00")&amp;"       "&amp;TEXT(E19,"0,00")&amp;"       "&amp;TEXT(F19,"0,00")</f>
        <v>0,00       0,00       0,00</v>
      </c>
      <c r="B20" s="538"/>
      <c r="C20" s="233"/>
      <c r="D20" s="210"/>
      <c r="E20" s="208"/>
      <c r="F20" s="209"/>
      <c r="G20" s="231" t="str">
        <f>PEsoLetra('Digitar aqui Notas e Pesos'!D20)</f>
        <v/>
      </c>
      <c r="H20" s="232" t="str">
        <f>PEsoLetra('Digitar aqui Notas e Pesos'!E20)</f>
        <v/>
      </c>
      <c r="I20" s="565"/>
      <c r="J20" s="490"/>
      <c r="K20" s="231" t="str">
        <f>PEsoLetra('Digitar aqui Notas e Pesos'!G20)</f>
        <v/>
      </c>
      <c r="L20" s="232" t="str">
        <f>PEsoLetra('Digitar aqui Notas e Pesos'!H20)</f>
        <v/>
      </c>
      <c r="M20" s="553"/>
      <c r="N20" s="231" t="str">
        <f>PEsoLetra('Digitar aqui Notas e Pesos'!J20)</f>
        <v/>
      </c>
      <c r="O20" s="232" t="str">
        <f>PEsoLetra('Digitar aqui Notas e Pesos'!K20)</f>
        <v/>
      </c>
      <c r="P20" s="553"/>
      <c r="Q20" s="231" t="str">
        <f>PEsoLetra('Digitar aqui Notas e Pesos'!M20)</f>
        <v/>
      </c>
      <c r="R20" s="232" t="str">
        <f>PEsoLetra('Digitar aqui Notas e Pesos'!N20)</f>
        <v/>
      </c>
      <c r="S20" s="553"/>
      <c r="T20" s="231" t="str">
        <f>PEsoLetra('Digitar aqui Notas e Pesos'!P20)</f>
        <v/>
      </c>
      <c r="U20" s="232" t="str">
        <f>PEsoLetra('Digitar aqui Notas e Pesos'!Q20)</f>
        <v/>
      </c>
      <c r="V20" s="553"/>
      <c r="W20" s="231" t="str">
        <f>PEsoLetra('Digitar aqui Notas e Pesos'!S20)</f>
        <v/>
      </c>
      <c r="X20" s="232" t="str">
        <f>PEsoLetra('Digitar aqui Notas e Pesos'!T20)</f>
        <v/>
      </c>
      <c r="Y20" s="553"/>
      <c r="Z20" s="231" t="str">
        <f>PEsoLetra('Digitar aqui Notas e Pesos'!V20)</f>
        <v/>
      </c>
      <c r="AA20" s="232" t="str">
        <f>PEsoLetra('Digitar aqui Notas e Pesos'!W20)</f>
        <v/>
      </c>
      <c r="AB20" s="553"/>
      <c r="AC20" s="231" t="str">
        <f>PEsoLetra('Digitar aqui Notas e Pesos'!Y20)</f>
        <v/>
      </c>
      <c r="AD20" s="232" t="str">
        <f>PEsoLetra('Digitar aqui Notas e Pesos'!Z20)</f>
        <v/>
      </c>
      <c r="AE20" s="553"/>
      <c r="AF20" s="231" t="str">
        <f>PEsoLetra('Digitar aqui Notas e Pesos'!AB20)</f>
        <v/>
      </c>
      <c r="AG20" s="232" t="str">
        <f>PEsoLetra('Digitar aqui Notas e Pesos'!AC20)</f>
        <v/>
      </c>
      <c r="AH20" s="573"/>
      <c r="AI20" s="19" t="str">
        <f>+AI19</f>
        <v>Não Imprime</v>
      </c>
      <c r="AJ20" s="18" t="s">
        <v>29</v>
      </c>
      <c r="AK20" s="132">
        <f>IF(ISTEXT($C5),(letrapeso(G8)*letrapeso($C7)+letrapeso(G10)*letrapeso($C9)+letrapeso(G12)*letrapeso($C11)+letrapeso(G14)*letrapeso($C13)+letrapeso(G16)*letrapeso($C15)+letrapeso(G18)*letrapeso($C17)+letrapeso(G20)*letrapeso($C19))/(letrapeso($C7)+letrapeso($C9)+letrapeso($C11)+letrapeso($C13)+letrapeso($C15)+letrapeso($C17)+letrapeso($C19)),0)</f>
        <v>8</v>
      </c>
      <c r="AL20" s="132">
        <f>IF(ISTEXT($C5),(letrapeso(H8)*letrapeso($C7)+letrapeso(H10)*letrapeso($C9)+letrapeso(H12)*letrapeso($C11)+letrapeso(H14)*letrapeso($C13)+letrapeso(H16)*letrapeso($C15)+letrapeso(H18)*letrapeso($C17)+letrapeso(H20)*letrapeso($C19))/(letrapeso($C7)+letrapeso($C9)+letrapeso($C11)+letrapeso($C13)+letrapeso($C15)+letrapeso($C17)+letrapeso($C19)),0)</f>
        <v>8</v>
      </c>
      <c r="AM20" s="132">
        <f>IF(ISTEXT($C5),(letrapeso(G8)*letrapeso($C7)+letrapeso(G10)*letrapeso($C9)+letrapeso(G12)*letrapeso($C11)+letrapeso(G14)*letrapeso($C13)+letrapeso(G16)*letrapeso($C15)+letrapeso(G18)*letrapeso($C17)+letrapeso(G20)*letrapeso($C19))/(letrapeso($C7)+letrapeso($C9)+letrapeso($C11)+letrapeso($C13)+letrapeso($C15)+letrapeso($C17)+letrapeso($C19)),0)</f>
        <v>8</v>
      </c>
      <c r="AN20" s="132">
        <f>IF(ISTEXT($C5),(letrapeso(K8)*letrapeso($C7)+letrapeso(K10)*letrapeso($C9)+letrapeso(K12)*letrapeso($C11)+letrapeso(K14)*letrapeso($C13)+letrapeso(K16)*letrapeso($C15)+letrapeso(K18)*letrapeso($C17)+letrapeso(K20)*letrapeso($C19))/(letrapeso($C7)+letrapeso($C9)+letrapeso($C11)+letrapeso($C13)+letrapeso($C15)+letrapeso($C17)+letrapeso($C19)),0)</f>
        <v>0</v>
      </c>
      <c r="AO20" s="132">
        <f>IF(ISTEXT($C5),(letrapeso(L8)*letrapeso($C7)+letrapeso(L10)*letrapeso($C9)+letrapeso(L12)*letrapeso($C11)+letrapeso(L14)*letrapeso($C13)+letrapeso(L16)*letrapeso($C15)+letrapeso(L18)*letrapeso($C17)+letrapeso(L20)*letrapeso($C19))/(letrapeso($C7)+letrapeso($C9)+letrapeso($C11)+letrapeso($C13)+letrapeso($C15)+letrapeso($C17)+letrapeso($C19)),0)</f>
        <v>0</v>
      </c>
      <c r="AP20" s="131"/>
      <c r="AQ20" s="132">
        <f>IF(ISTEXT($C5),(letrapeso(N8)*letrapeso($C7)+letrapeso(N10)*letrapeso($C9)+letrapeso(N12)*letrapeso($C11)+letrapeso(N14)*letrapeso($C13)+letrapeso(N16)*letrapeso($C15)+letrapeso(N18)*letrapeso($C17)+letrapeso(N20)*letrapeso($C19))/(letrapeso($C7)+letrapeso($C9)+letrapeso($C11)+letrapeso($C13)+letrapeso($C15)+letrapeso($C17)+letrapeso($C19)),0)</f>
        <v>0</v>
      </c>
      <c r="AR20" s="132">
        <f>IF(ISTEXT($C5),(letrapeso(O8)*letrapeso($C7)+letrapeso(O10)*letrapeso($C9)+letrapeso(O12)*letrapeso($C11)+letrapeso(O14)*letrapeso($C13)+letrapeso(O16)*letrapeso($C15)+letrapeso(O18)*letrapeso($C17)+letrapeso(O20)*letrapeso($C19))/(letrapeso($C7)+letrapeso($C9)+letrapeso($C11)+letrapeso($C13)+letrapeso($C15)+letrapeso($C17)+letrapeso($C19)),0)</f>
        <v>0</v>
      </c>
      <c r="AS20" s="131"/>
      <c r="AT20" s="132">
        <f>IF(ISTEXT($C5),(letrapeso(Q8)*letrapeso($C7)+letrapeso(Q10)*letrapeso($C9)+letrapeso(Q12)*letrapeso($C11)+letrapeso(Q14)*letrapeso($C13)+letrapeso(Q16)*letrapeso($C15)+letrapeso(Q18)*letrapeso($C17)+letrapeso(Q20)*letrapeso($C19))/(letrapeso($C7)+letrapeso($C9)+letrapeso($C11)+letrapeso($C13)+letrapeso($C15)+letrapeso($C17)+letrapeso($C19)),0)</f>
        <v>0</v>
      </c>
      <c r="AU20" s="132">
        <f>IF(ISTEXT($C5),(letrapeso(R8)*letrapeso($C7)+letrapeso(R10)*letrapeso($C9)+letrapeso(R12)*letrapeso($C11)+letrapeso(R14)*letrapeso($C13)+letrapeso(R16)*letrapeso($C15)+letrapeso(R18)*letrapeso($C17)+letrapeso(R20)*letrapeso($C19))/(letrapeso($C7)+letrapeso($C9)+letrapeso($C11)+letrapeso($C13)+letrapeso($C15)+letrapeso($C17)+letrapeso($C19)),0)</f>
        <v>0</v>
      </c>
      <c r="AV20" s="131"/>
      <c r="AW20" s="132">
        <f>IF(ISTEXT($C5),(letrapeso(T8)*letrapeso($C7)+letrapeso(T10)*letrapeso($C9)+letrapeso(T12)*letrapeso($C11)+letrapeso(T14)*letrapeso($C13)+letrapeso(T16)*letrapeso($C15)+letrapeso(T18)*letrapeso($C17)+letrapeso(T20)*letrapeso($C19))/(letrapeso($C7)+letrapeso($C9)+letrapeso($C11)+letrapeso($C13)+letrapeso($C15)+letrapeso($C17)+letrapeso($C19)),0)</f>
        <v>0</v>
      </c>
      <c r="AX20" s="132">
        <f>IF(ISTEXT($C5),(letrapeso(U8)*letrapeso($C7)+letrapeso(U10)*letrapeso($C9)+letrapeso(U12)*letrapeso($C11)+letrapeso(U14)*letrapeso($C13)+letrapeso(U16)*letrapeso($C15)+letrapeso(U18)*letrapeso($C17)+letrapeso(U20)*letrapeso($C19))/(letrapeso($C7)+letrapeso($C9)+letrapeso($C11)+letrapeso($C13)+letrapeso($C15)+letrapeso($C17)+letrapeso($C19)),0)</f>
        <v>0</v>
      </c>
      <c r="AY20" s="131"/>
      <c r="AZ20" s="132">
        <f>IF(ISTEXT($C5),(letrapeso(W8)*letrapeso($C7)+letrapeso(W10)*letrapeso($C9)+letrapeso(W12)*letrapeso($C11)+letrapeso(W14)*letrapeso($C13)+letrapeso(W16)*letrapeso($C15)+letrapeso(W18)*letrapeso($C17)+letrapeso(W20)*letrapeso($C19))/(letrapeso($C7)+letrapeso($C9)+letrapeso($C11)+letrapeso($C13)+letrapeso($C15)+letrapeso($C17)+letrapeso($C19)),0)</f>
        <v>0</v>
      </c>
      <c r="BA20" s="132">
        <f>IF(ISTEXT($C5),(letrapeso(X8)*letrapeso($C7)+letrapeso(X10)*letrapeso($C9)+letrapeso(X12)*letrapeso($C11)+letrapeso(X14)*letrapeso($C13)+letrapeso(X16)*letrapeso($C15)+letrapeso(X18)*letrapeso($C17)+letrapeso(X20)*letrapeso($C19))/(letrapeso($C7)+letrapeso($C9)+letrapeso($C11)+letrapeso($C13)+letrapeso($C15)+letrapeso($C17)+letrapeso($C19)),0)</f>
        <v>0</v>
      </c>
      <c r="BB20" s="131"/>
      <c r="BC20" s="132">
        <f>IF(ISTEXT($C5),(letrapeso(Z8)*letrapeso($C7)+letrapeso(Z10)*letrapeso($C9)+letrapeso(Z12)*letrapeso($C11)+letrapeso(Z14)*letrapeso($C13)+letrapeso(Z16)*letrapeso($C15)+letrapeso(Z18)*letrapeso($C17)+letrapeso(Z20)*letrapeso($C19))/(letrapeso($C7)+letrapeso($C9)+letrapeso($C11)+letrapeso($C13)+letrapeso($C15)+letrapeso($C17)+letrapeso($C19)),0)</f>
        <v>0</v>
      </c>
      <c r="BD20" s="132">
        <f>IF(ISTEXT($C5),(letrapeso(AA8)*letrapeso($C7)+letrapeso(AA10)*letrapeso($C9)+letrapeso(AA12)*letrapeso($C11)+letrapeso(AA14)*letrapeso($C13)+letrapeso(AA16)*letrapeso($C15)+letrapeso(AA18)*letrapeso($C17)+letrapeso(AA20)*letrapeso($C19))/(letrapeso($C7)+letrapeso($C9)+letrapeso($C11)+letrapeso($C13)+letrapeso($C15)+letrapeso($C17)+letrapeso($C19)),0)</f>
        <v>0</v>
      </c>
      <c r="BE20" s="131"/>
      <c r="BF20" s="132">
        <f>IF(ISTEXT($C5),(letrapeso(AC8)*letrapeso($C7)+letrapeso(AC10)*letrapeso($C9)+letrapeso(AC12)*letrapeso($C11)+letrapeso(AC14)*letrapeso($C13)+letrapeso(AC16)*letrapeso($C15)+letrapeso(AC18)*letrapeso($C17)+letrapeso(AC20)*letrapeso($C19))/(letrapeso($C7)+letrapeso($C9)+letrapeso($C11)+letrapeso($C13)+letrapeso($C15)+letrapeso($C17)+letrapeso($C19)),0)</f>
        <v>0</v>
      </c>
      <c r="BG20" s="132">
        <f>IF(ISTEXT($C5),(letrapeso(AD8)*letrapeso($C7)+letrapeso(AD10)*letrapeso($C9)+letrapeso(AD12)*letrapeso($C11)+letrapeso(AD14)*letrapeso($C13)+letrapeso(AD16)*letrapeso($C15)+letrapeso(AD18)*letrapeso($C17)+letrapeso(AD20)*letrapeso($C19))/(letrapeso($C7)+letrapeso($C9)+letrapeso($C11)+letrapeso($C13)+letrapeso($C15)+letrapeso($C17)+letrapeso($C19)),0)</f>
        <v>0</v>
      </c>
      <c r="BH20" s="131"/>
      <c r="BI20" s="132">
        <f>IF(ISTEXT($C5),(letrapeso(AF8)*letrapeso($C7)+letrapeso(AF10)*letrapeso($C9)+letrapeso(AF12)*letrapeso($C11)+letrapeso(AF14)*letrapeso($C13)+letrapeso(AF16)*letrapeso($C15)+letrapeso(AF18)*letrapeso($C17)+letrapeso(AF20)*letrapeso($C19))/(letrapeso($C7)+letrapeso($C9)+letrapeso($C11)+letrapeso($C13)+letrapeso($C15)+letrapeso($C17)+letrapeso($C19)),0)</f>
        <v>0</v>
      </c>
      <c r="BJ20" s="132">
        <f>IF(ISTEXT($C5),(letrapeso(AG8)*letrapeso($C7)+letrapeso(AG10)*letrapeso($C9)+letrapeso(AG12)*letrapeso($C11)+letrapeso(AG14)*letrapeso($C13)+letrapeso(AG16)*letrapeso($C15)+letrapeso(AG18)*letrapeso($C17)+letrapeso(AG20)*letrapeso($C19))/(letrapeso($C7)+letrapeso($C9)+letrapeso($C11)+letrapeso($C13)+letrapeso($C15)+letrapeso($C17)+letrapeso($C19)),0)</f>
        <v>0</v>
      </c>
      <c r="BK20" s="131"/>
    </row>
    <row r="21" spans="1:92" x14ac:dyDescent="0.2">
      <c r="A21" s="191" t="str">
        <f>'Digitar aqui Notas e Pesos'!A21</f>
        <v>Corporate e Empresas</v>
      </c>
      <c r="B21" s="192"/>
      <c r="C21" s="193" t="str">
        <f>IF('Digitar aqui Notas e Pesos'!C21,PEsoLetra('Digitar aqui Notas e Pesos'!C21),0)</f>
        <v>ma</v>
      </c>
      <c r="D21" s="213">
        <f>IF(letrapeso(C21),(letrapeso($C23)*D23+letrapeso($C25)*D25+letrapeso($C27)*D27+letrapeso($C29)*D29+letrapeso($C31)*D31+letrapeso($C33)*D33+letrapeso($C35)*D35)/(letrapeso($C23)+letrapeso($C25)+letrapeso($C27)+letrapeso($C29)+letrapeso($C31)+letrapeso($C33)+letrapeso($C35)),0)</f>
        <v>2</v>
      </c>
      <c r="E21" s="214">
        <f>IF(letrapeso(C21),(letrapeso($C23)*E23+letrapeso($C25)*E25+letrapeso($C27)*E27+letrapeso($C29)*E29+letrapeso($C31)*E31+letrapeso($C33)*E33+letrapeso($C35)*E35)/(letrapeso($C23)+letrapeso($C25)+letrapeso($C27)+letrapeso($C29)+letrapeso($C31)+letrapeso($C33)+letrapeso($C35)),0)</f>
        <v>3</v>
      </c>
      <c r="F21" s="215">
        <f>IF(letrapeso(C21),(letrapeso($C23)*F23+letrapeso($C25)*F25+letrapeso($C27)*F27+letrapeso($C29)*F29+letrapeso($C31)*F31+letrapeso($C33)*F33+letrapeso($C35)*F35)/(letrapeso($C23)+letrapeso($C25)+letrapeso($C27)+letrapeso($C29)+letrapeso($C31)+letrapeso($C33)+letrapeso($C35)),0)</f>
        <v>2.4500000000000002</v>
      </c>
      <c r="G21" s="220"/>
      <c r="H21" s="221"/>
      <c r="I21" s="222"/>
      <c r="J21" s="259"/>
      <c r="K21" s="220"/>
      <c r="L21" s="221"/>
      <c r="M21" s="222"/>
      <c r="N21" s="220"/>
      <c r="O21" s="221"/>
      <c r="P21" s="222"/>
      <c r="Q21" s="220"/>
      <c r="R21" s="221"/>
      <c r="S21" s="222"/>
      <c r="T21" s="220"/>
      <c r="U21" s="221"/>
      <c r="V21" s="222"/>
      <c r="W21" s="220"/>
      <c r="X21" s="221"/>
      <c r="Y21" s="222"/>
      <c r="Z21" s="220"/>
      <c r="AA21" s="221"/>
      <c r="AB21" s="222"/>
      <c r="AC21" s="220"/>
      <c r="AD21" s="221"/>
      <c r="AE21" s="222"/>
      <c r="AF21" s="220"/>
      <c r="AG21" s="221"/>
      <c r="AH21" s="223"/>
      <c r="AI21" s="8" t="str">
        <f>IF(letrapeso(C21),"Imprime","Não Imprime")</f>
        <v>Imprime</v>
      </c>
      <c r="AJ21" s="15"/>
      <c r="AK21" s="133"/>
      <c r="AL21" s="133"/>
      <c r="AM21" s="127"/>
      <c r="AN21" s="133"/>
      <c r="AO21" s="133"/>
      <c r="AP21" s="134"/>
      <c r="AQ21" s="133"/>
      <c r="AR21" s="133"/>
      <c r="AS21" s="134"/>
      <c r="AT21" s="133"/>
      <c r="AU21" s="133"/>
      <c r="AV21" s="134"/>
      <c r="AW21" s="133"/>
      <c r="AX21" s="133"/>
      <c r="AY21" s="134"/>
      <c r="AZ21" s="133"/>
      <c r="BA21" s="133"/>
      <c r="BB21" s="134"/>
      <c r="BC21" s="133"/>
      <c r="BD21" s="133"/>
      <c r="BE21" s="134"/>
      <c r="BF21" s="133"/>
      <c r="BG21" s="133"/>
      <c r="BH21" s="134"/>
      <c r="BI21" s="133"/>
      <c r="BJ21" s="133"/>
      <c r="BK21" s="134"/>
    </row>
    <row r="22" spans="1:92" x14ac:dyDescent="0.2">
      <c r="A22" s="567"/>
      <c r="B22" s="568"/>
      <c r="C22" s="228"/>
      <c r="D22" s="214"/>
      <c r="E22" s="214"/>
      <c r="F22" s="215"/>
      <c r="G22" s="224"/>
      <c r="H22" s="225"/>
      <c r="I22" s="226"/>
      <c r="J22" s="490"/>
      <c r="K22" s="224"/>
      <c r="L22" s="225"/>
      <c r="M22" s="226"/>
      <c r="N22" s="224"/>
      <c r="O22" s="225"/>
      <c r="P22" s="226"/>
      <c r="Q22" s="224"/>
      <c r="R22" s="225"/>
      <c r="S22" s="226"/>
      <c r="T22" s="224"/>
      <c r="U22" s="225"/>
      <c r="V22" s="226"/>
      <c r="W22" s="224"/>
      <c r="X22" s="225"/>
      <c r="Y22" s="226"/>
      <c r="Z22" s="224"/>
      <c r="AA22" s="225"/>
      <c r="AB22" s="226"/>
      <c r="AC22" s="224"/>
      <c r="AD22" s="225"/>
      <c r="AE22" s="226"/>
      <c r="AF22" s="224"/>
      <c r="AG22" s="225"/>
      <c r="AH22" s="227"/>
      <c r="AI22" s="19" t="str">
        <f>+AI21</f>
        <v>Imprime</v>
      </c>
      <c r="AJ22" s="15" t="s">
        <v>26</v>
      </c>
      <c r="AK22" s="128">
        <f>IF(SUM(AK23:AK35),SUM(AK23:AK35)/(letrapeso(G24)*letrapeso($C23)+letrapeso(G26)*letrapeso($C25)+letrapeso(G28)*letrapeso($C27)+letrapeso(G30)*letrapeso($C29)+letrapeso(G32)*letrapeso($C31)+letrapeso(G34)*letrapeso($C33)+letrapeso(G36)*letrapeso($C35)),0)</f>
        <v>2</v>
      </c>
      <c r="AL22" s="128">
        <f>IF(SUM(AL23:AL35),SUM(AL23:AL35)/(letrapeso(H24)*letrapeso($C23)+letrapeso(H26)*letrapeso($C25)+letrapeso(H28)*letrapeso($C27)+letrapeso(H30)*letrapeso($C29)+letrapeso(H32)*letrapeso($C31)+letrapeso(H34)*letrapeso($C33)+letrapeso(H36)*letrapeso($C35)),0)</f>
        <v>3</v>
      </c>
      <c r="AM22" s="128">
        <f>IF(SUM(AM23:AM35),SUM(AM23:AM35)/(letrapeso(G24)*letrapeso($C23)+letrapeso(G26)*letrapeso($C25)+letrapeso(G28)*letrapeso($C27)+letrapeso(G30)*letrapeso($C29)+letrapeso(G32)*letrapeso($C31)+letrapeso(G34)*letrapeso($C33)+letrapeso(G36)*letrapeso($C35)),0)</f>
        <v>1</v>
      </c>
      <c r="AN22" s="128">
        <f>IF(SUM(AN23:AN35),SUM(AN23:AN35)/(letrapeso(K24)*letrapeso($C23)+letrapeso(K26)*letrapeso($C25)+letrapeso(K28)*letrapeso($C27)+letrapeso(K30)*letrapeso($C29)+letrapeso(K32)*letrapeso($C31)+letrapeso(K34)*letrapeso($C33)+letrapeso(K36)*letrapeso($C35)),0)</f>
        <v>0</v>
      </c>
      <c r="AO22" s="128">
        <f>IF(SUM(AO23:AO35),SUM(AO23:AO35)/(letrapeso(L24)*letrapeso($C23)+letrapeso(L26)*letrapeso($C25)+letrapeso(L28)*letrapeso($C27)+letrapeso(L30)*letrapeso($C29)+letrapeso(L32)*letrapeso($C31)+letrapeso(L34)*letrapeso($C33)+letrapeso(L36)*letrapeso($C35)),0)</f>
        <v>0</v>
      </c>
      <c r="AQ22" s="128">
        <f>IF(SUM(AQ23:AQ35),SUM(AQ23:AQ35)/(letrapeso(N24)*letrapeso($C23)+letrapeso(N26)*letrapeso($C25)+letrapeso(N28)*letrapeso($C27)+letrapeso(N30)*letrapeso($C29)+letrapeso(N32)*letrapeso($C31)+letrapeso(N34)*letrapeso($C33)+letrapeso(N36)*letrapeso($C35)),0)</f>
        <v>0</v>
      </c>
      <c r="AR22" s="128">
        <f>IF(SUM(AR23:AR35),SUM(AR23:AR35)/(letrapeso(O24)*letrapeso($C23)+letrapeso(O26)*letrapeso($C25)+letrapeso(O28)*letrapeso($C27)+letrapeso(O30)*letrapeso($C29)+letrapeso(O32)*letrapeso($C31)+letrapeso(O34)*letrapeso($C33)+letrapeso(O36)*letrapeso($C35)),0)</f>
        <v>0</v>
      </c>
      <c r="AS22" s="28"/>
      <c r="AT22" s="128">
        <f>IF(SUM(AT23:AT35),SUM(AT23:AT35)/(letrapeso(Q24)*letrapeso($C23)+letrapeso(Q26)*letrapeso($C25)+letrapeso(Q28)*letrapeso($C27)+letrapeso(Q30)*letrapeso($C29)+letrapeso(Q32)*letrapeso($C31)+letrapeso(Q34)*letrapeso($C33)+letrapeso(Q36)*letrapeso($C35)),0)</f>
        <v>0</v>
      </c>
      <c r="AU22" s="128">
        <f>IF(SUM(AU23:AU35),SUM(AU23:AU35)/(letrapeso(R24)*letrapeso($C23)+letrapeso(R26)*letrapeso($C25)+letrapeso(R28)*letrapeso($C27)+letrapeso(R30)*letrapeso($C29)+letrapeso(R32)*letrapeso($C31)+letrapeso(R34)*letrapeso($C33)+letrapeso(R36)*letrapeso($C35)),0)</f>
        <v>0</v>
      </c>
      <c r="AV22" s="28"/>
      <c r="AW22" s="128">
        <f>IF(SUM(AW23:AW35),SUM(AW23:AW35)/(letrapeso(T24)*letrapeso($C23)+letrapeso(T26)*letrapeso($C25)+letrapeso(T28)*letrapeso($C27)+letrapeso(T30)*letrapeso($C29)+letrapeso(T32)*letrapeso($C31)+letrapeso(T34)*letrapeso($C33)+letrapeso(T36)*letrapeso($C35)),0)</f>
        <v>0</v>
      </c>
      <c r="AX22" s="128">
        <f>IF(SUM(AX23:AX35),SUM(AX23:AX35)/(letrapeso(U24)*letrapeso($C23)+letrapeso(U26)*letrapeso($C25)+letrapeso(U28)*letrapeso($C27)+letrapeso(U30)*letrapeso($C29)+letrapeso(U32)*letrapeso($C31)+letrapeso(U34)*letrapeso($C33)+letrapeso(U36)*letrapeso($C35)),0)</f>
        <v>0</v>
      </c>
      <c r="AY22" s="28"/>
      <c r="AZ22" s="128">
        <f>IF(SUM(AZ23:AZ35),SUM(AZ23:AZ35)/(letrapeso(W24)*letrapeso($C23)+letrapeso(W26)*letrapeso($C25)+letrapeso(W28)*letrapeso($C27)+letrapeso(W30)*letrapeso($C29)+letrapeso(W32)*letrapeso($C31)+letrapeso(W34)*letrapeso($C33)+letrapeso(W36)*letrapeso($C35)),0)</f>
        <v>0</v>
      </c>
      <c r="BA22" s="128">
        <f>IF(SUM(BA23:BA35),SUM(BA23:BA35)/(letrapeso(X24)*letrapeso($C23)+letrapeso(X26)*letrapeso($C25)+letrapeso(X28)*letrapeso($C27)+letrapeso(X30)*letrapeso($C29)+letrapeso(X32)*letrapeso($C31)+letrapeso(X34)*letrapeso($C33)+letrapeso(X36)*letrapeso($C35)),0)</f>
        <v>0</v>
      </c>
      <c r="BB22" s="28"/>
      <c r="BC22" s="128">
        <f>IF(SUM(BC23:BC35),SUM(BC23:BC35)/(letrapeso(Z24)*letrapeso($C23)+letrapeso(Z26)*letrapeso($C25)+letrapeso(Z28)*letrapeso($C27)+letrapeso(Z30)*letrapeso($C29)+letrapeso(Z32)*letrapeso($C31)+letrapeso(Z34)*letrapeso($C33)+letrapeso(Z36)*letrapeso($C35)),0)</f>
        <v>0</v>
      </c>
      <c r="BD22" s="128">
        <f>IF(SUM(BD23:BD35),SUM(BD23:BD35)/(letrapeso(AA24)*letrapeso($C23)+letrapeso(AA26)*letrapeso($C25)+letrapeso(AA28)*letrapeso($C27)+letrapeso(AA30)*letrapeso($C29)+letrapeso(AA32)*letrapeso($C31)+letrapeso(AA34)*letrapeso($C33)+letrapeso(AA36)*letrapeso($C35)),0)</f>
        <v>0</v>
      </c>
      <c r="BE22" s="28"/>
      <c r="BF22" s="128">
        <f>IF(SUM(BF23:BF35),SUM(BF23:BF35)/(letrapeso(AC24)*letrapeso($C23)+letrapeso(AC26)*letrapeso($C25)+letrapeso(AC28)*letrapeso($C27)+letrapeso(AC30)*letrapeso($C29)+letrapeso(AC32)*letrapeso($C31)+letrapeso(AC34)*letrapeso($C33)+letrapeso(AC36)*letrapeso($C35)),0)</f>
        <v>0</v>
      </c>
      <c r="BG22" s="128">
        <f>IF(SUM(BG23:BG35),SUM(BG23:BG35)/(letrapeso(AD24)*letrapeso($C23)+letrapeso(AD26)*letrapeso($C25)+letrapeso(AD28)*letrapeso($C27)+letrapeso(AD30)*letrapeso($C29)+letrapeso(AD32)*letrapeso($C31)+letrapeso(AD34)*letrapeso($C33)+letrapeso(AD36)*letrapeso($C35)),0)</f>
        <v>0</v>
      </c>
      <c r="BH22" s="28"/>
      <c r="BI22" s="128">
        <f>IF(SUM(BI23:BI35),SUM(BI23:BI35)/(letrapeso(AF24)*letrapeso($C23)+letrapeso(AF26)*letrapeso($C25)+letrapeso(AF28)*letrapeso($C27)+letrapeso(AF30)*letrapeso($C29)+letrapeso(AF32)*letrapeso($C31)+letrapeso(AF34)*letrapeso($C33)+letrapeso(AF36)*letrapeso($C35)),0)</f>
        <v>0</v>
      </c>
      <c r="BJ22" s="128">
        <f>IF(SUM(BJ23:BJ35),SUM(BJ23:BJ35)/(letrapeso(AG24)*letrapeso($C23)+letrapeso(AG26)*letrapeso($C25)+letrapeso(AG28)*letrapeso($C27)+letrapeso(AG30)*letrapeso($C29)+letrapeso(AG32)*letrapeso($C31)+letrapeso(AG34)*letrapeso($C33)+letrapeso(AG36)*letrapeso($C35)),0)</f>
        <v>0</v>
      </c>
      <c r="BK22" s="28"/>
    </row>
    <row r="23" spans="1:92" x14ac:dyDescent="0.2">
      <c r="A23" s="546" t="str">
        <f>'Digitar aqui Notas e Pesos'!A23</f>
        <v>Corporate e Empresas</v>
      </c>
      <c r="B23" s="547"/>
      <c r="C23" s="229" t="str">
        <f>IF('Digitar aqui Notas e Pesos'!C23,PEsoLetra('Digitar aqui Notas e Pesos'!C23),0)</f>
        <v>a</v>
      </c>
      <c r="D23" s="208">
        <f>IF(ISTEXT($C23),(G23*letrapeso(G24)+K23*letrapeso(K24)+N23*letrapeso(N24)+Q23*letrapeso(Q24)+T23*letrapeso(T24)+W23*letrapeso(W24)+Z23*letrapeso(Z24)+AC23*letrapeso(AC24)+AF23*letrapeso(AF24))/(letrapeso(G24)+letrapeso(K24)+letrapeso(N24)+letrapeso(Q24)+letrapeso(T24)+letrapeso(W24)+letrapeso(Z24)+letrapeso(AC24)+letrapeso(AF24)),0)</f>
        <v>2</v>
      </c>
      <c r="E23" s="208">
        <f>IF(ISTEXT($C23),(H23*letrapeso(H24)+L23*letrapeso(L24)+O23*letrapeso(O24)+R23*letrapeso(R24)+U23*letrapeso(U24)+X23*letrapeso(X24)+AA23*letrapeso(AA24)+AD23*letrapeso(AD24)+AG23*letrapeso(AG24))/(letrapeso(H24)+letrapeso(L24)+letrapeso(O24)+letrapeso(R24)+letrapeso(U24)+letrapeso(X24)+letrapeso(AA24)+letrapeso(AD24)+letrapeso(AG24)),0)</f>
        <v>3</v>
      </c>
      <c r="F23" s="209">
        <f>IF(ISTEXT($C23),(D23*$A$145+E23*$A$146),0)</f>
        <v>2.4500000000000002</v>
      </c>
      <c r="G23" s="259">
        <f>'Digitar aqui Notas e Pesos'!D23</f>
        <v>2</v>
      </c>
      <c r="H23" s="116">
        <f>'Digitar aqui Notas e Pesos'!E23</f>
        <v>3</v>
      </c>
      <c r="I23" s="565">
        <f>IF(AND(G23&lt;&gt;0,H23&lt;&gt;0,$C23&lt;&gt;0),(G23*letrapeso(G24)*$A$145+H23*letrapeso(H24)*$A$146)/(letrapeso(G24)*$A$145+letrapeso(H24)*$A$146),0)</f>
        <v>2.4500000000000002</v>
      </c>
      <c r="J23" s="259">
        <f>'Digitar aqui Notas e Pesos'!F23</f>
        <v>1</v>
      </c>
      <c r="K23" s="259">
        <f>'Digitar aqui Notas e Pesos'!G23</f>
        <v>0</v>
      </c>
      <c r="L23" s="116">
        <f>'Digitar aqui Notas e Pesos'!H23</f>
        <v>0</v>
      </c>
      <c r="M23" s="553">
        <f>IF(AND(K23&lt;&gt;0,L23&lt;&gt;0,$C23&lt;&gt;0),(K23*letrapeso(K24)*$A$145+L23*letrapeso(L24)*$A$146)/(letrapeso(K24)*$A$145+letrapeso(L24)*$A$146),0)</f>
        <v>0</v>
      </c>
      <c r="N23" s="259">
        <f>'Digitar aqui Notas e Pesos'!J23</f>
        <v>0</v>
      </c>
      <c r="O23" s="116">
        <f>'Digitar aqui Notas e Pesos'!K23</f>
        <v>0</v>
      </c>
      <c r="P23" s="553">
        <f>IF(AND(N23&lt;&gt;0,O23&lt;&gt;0,$C23&lt;&gt;0),(N23*letrapeso(N24)*$A$145+O23*letrapeso(O24)*$A$146)/(letrapeso(N24)*$A$145+letrapeso(O24)*$A$146),0)</f>
        <v>0</v>
      </c>
      <c r="Q23" s="259">
        <f>'Digitar aqui Notas e Pesos'!M23</f>
        <v>0</v>
      </c>
      <c r="R23" s="116">
        <f>'Digitar aqui Notas e Pesos'!N23</f>
        <v>0</v>
      </c>
      <c r="S23" s="553">
        <f>IF(AND(Q23&lt;&gt;0,R23&lt;&gt;0,$C23&lt;&gt;0),(Q23*letrapeso(Q24)*$A$145+R23*letrapeso(R24)*$A$146)/(letrapeso(Q24)*$A$145+letrapeso(R24)*$A$146),0)</f>
        <v>0</v>
      </c>
      <c r="T23" s="259">
        <f>'Digitar aqui Notas e Pesos'!P23</f>
        <v>0</v>
      </c>
      <c r="U23" s="116">
        <f>'Digitar aqui Notas e Pesos'!Q23</f>
        <v>0</v>
      </c>
      <c r="V23" s="553">
        <f>IF(AND(T23&lt;&gt;0,U23&lt;&gt;0,$C23&lt;&gt;0),(T23*letrapeso(T24)*$A$145+U23*letrapeso(U24)*$A$146)/(letrapeso(T24)*$A$145+letrapeso(U24)*$A$146),0)</f>
        <v>0</v>
      </c>
      <c r="W23" s="259">
        <f>'Digitar aqui Notas e Pesos'!S23</f>
        <v>0</v>
      </c>
      <c r="X23" s="116">
        <f>'Digitar aqui Notas e Pesos'!T23</f>
        <v>0</v>
      </c>
      <c r="Y23" s="553">
        <f>IF(AND(W23&lt;&gt;0,X23&lt;&gt;0,$C23&lt;&gt;0),(W23*letrapeso(W24)*$A$145+X23*letrapeso(X24)*$A$146)/(letrapeso(W24)*$A$145+letrapeso(X24)*$A$146),0)</f>
        <v>0</v>
      </c>
      <c r="Z23" s="259">
        <f>'Digitar aqui Notas e Pesos'!V23</f>
        <v>0</v>
      </c>
      <c r="AA23" s="116">
        <f>'Digitar aqui Notas e Pesos'!W23</f>
        <v>0</v>
      </c>
      <c r="AB23" s="553">
        <f>IF(AND(Z23&lt;&gt;0,AA23&lt;&gt;0,$C23&lt;&gt;0),(Z23*letrapeso(Z24)*$A$145+AA23*letrapeso(AA24)*$A$146)/(letrapeso(Z24)*$A$145+letrapeso(AA24)*$A$146),0)</f>
        <v>0</v>
      </c>
      <c r="AC23" s="259">
        <f>'Digitar aqui Notas e Pesos'!Y23</f>
        <v>0</v>
      </c>
      <c r="AD23" s="116">
        <f>'Digitar aqui Notas e Pesos'!Z23</f>
        <v>0</v>
      </c>
      <c r="AE23" s="553">
        <f>IF(AND(AC23&lt;&gt;0,AD23&lt;&gt;0,$C23&lt;&gt;0),(AC23*letrapeso(AC24)*$A$145+AD23*letrapeso(AD24)*$A$146)/(letrapeso(AC24)*$A$145+letrapeso(AD24)*$A$146),0)</f>
        <v>0</v>
      </c>
      <c r="AF23" s="259">
        <f>'Digitar aqui Notas e Pesos'!AB23</f>
        <v>0</v>
      </c>
      <c r="AG23" s="116">
        <f>'Digitar aqui Notas e Pesos'!AC23</f>
        <v>0</v>
      </c>
      <c r="AH23" s="573">
        <f>IF(AND(AF23&lt;&gt;0,AG23&lt;&gt;0,$C23&lt;&gt;0),(AF23*letrapeso(AF24)*$A$145+AG23*letrapeso(AG24)*$A$146)/(letrapeso(AF24)*$A$145+letrapeso(AG24)*$A$146),0)</f>
        <v>0</v>
      </c>
      <c r="AI23" s="8" t="str">
        <f>IF(letrapeso(C23),"Imprime","Não Imprime")</f>
        <v>Imprime</v>
      </c>
      <c r="AJ23" s="14" t="s">
        <v>28</v>
      </c>
      <c r="AK23" s="129">
        <f>G23*letrapeso(G24)*letrapeso($C23)</f>
        <v>128</v>
      </c>
      <c r="AL23" s="129">
        <f>H23*letrapeso(H24)*letrapeso($C23)</f>
        <v>192</v>
      </c>
      <c r="AM23" s="129">
        <f>J23*letrapeso(G24)*letrapeso($C23)</f>
        <v>64</v>
      </c>
      <c r="AN23" s="129">
        <f>K23*letrapeso(K24)*letrapeso($C23)</f>
        <v>0</v>
      </c>
      <c r="AO23" s="129">
        <f>L23*letrapeso(L24)*letrapeso($C23)</f>
        <v>0</v>
      </c>
      <c r="AP23" s="44"/>
      <c r="AQ23" s="129">
        <f>N23*letrapeso(N24)*letrapeso($C23)</f>
        <v>0</v>
      </c>
      <c r="AR23" s="129">
        <f>O23*letrapeso(O24)*letrapeso($C23)</f>
        <v>0</v>
      </c>
      <c r="AS23" s="44"/>
      <c r="AT23" s="129">
        <f>Q23*letrapeso(Q24)*letrapeso($C23)</f>
        <v>0</v>
      </c>
      <c r="AU23" s="129">
        <f>R23*letrapeso(R24)*letrapeso($C23)</f>
        <v>0</v>
      </c>
      <c r="AV23" s="44"/>
      <c r="AW23" s="129">
        <f>T23*letrapeso(T24)*letrapeso($C23)</f>
        <v>0</v>
      </c>
      <c r="AX23" s="129">
        <f>U23*letrapeso(U24)*letrapeso($C23)</f>
        <v>0</v>
      </c>
      <c r="AY23" s="44"/>
      <c r="AZ23" s="129">
        <f>W23*letrapeso(W24)*letrapeso($C23)</f>
        <v>0</v>
      </c>
      <c r="BA23" s="129">
        <f>X23*letrapeso(X24)*letrapeso($C23)</f>
        <v>0</v>
      </c>
      <c r="BB23" s="44"/>
      <c r="BC23" s="129">
        <f>Z23*letrapeso(Z24)*letrapeso($C23)</f>
        <v>0</v>
      </c>
      <c r="BD23" s="129">
        <f>AA23*letrapeso(AA24)*letrapeso($C23)</f>
        <v>0</v>
      </c>
      <c r="BE23" s="44"/>
      <c r="BF23" s="129">
        <f>AC23*letrapeso(AC24)*letrapeso($C23)</f>
        <v>0</v>
      </c>
      <c r="BG23" s="129">
        <f>AD23*letrapeso(AD24)*letrapeso($C23)</f>
        <v>0</v>
      </c>
      <c r="BH23" s="44"/>
      <c r="BI23" s="129">
        <f>AF23*letrapeso(AF24)*letrapeso($C23)</f>
        <v>0</v>
      </c>
      <c r="BJ23" s="129">
        <f>AG23*letrapeso(AG24)*letrapeso($C23)</f>
        <v>0</v>
      </c>
      <c r="BK23" s="44"/>
      <c r="BL23" s="171">
        <f>letrapeso(G24)</f>
        <v>8</v>
      </c>
      <c r="BM23" s="171">
        <f>letrapeso(H24)</f>
        <v>8</v>
      </c>
      <c r="BN23" s="41"/>
      <c r="BO23" s="171">
        <f>letrapeso(K24)</f>
        <v>0</v>
      </c>
      <c r="BP23" s="171">
        <f>letrapeso(L24)</f>
        <v>0</v>
      </c>
      <c r="BQ23" s="41"/>
      <c r="BR23" s="171">
        <f>letrapeso(N24)</f>
        <v>0</v>
      </c>
      <c r="BS23" s="171">
        <f>letrapeso(O24)</f>
        <v>0</v>
      </c>
      <c r="BT23" s="41"/>
      <c r="BU23" s="171">
        <f>letrapeso(Q24)</f>
        <v>0</v>
      </c>
      <c r="BV23" s="171">
        <f>letrapeso(R24)</f>
        <v>0</v>
      </c>
      <c r="BW23" s="41"/>
      <c r="BX23" s="171">
        <f>letrapeso(T24)</f>
        <v>0</v>
      </c>
      <c r="BY23" s="171">
        <f>letrapeso(U24)</f>
        <v>0</v>
      </c>
      <c r="BZ23" s="41"/>
      <c r="CA23" s="171">
        <f>letrapeso(W24)</f>
        <v>0</v>
      </c>
      <c r="CB23" s="171">
        <f>letrapeso(X24)</f>
        <v>0</v>
      </c>
      <c r="CC23" s="41"/>
      <c r="CD23" s="171">
        <f>letrapeso(Z24)</f>
        <v>0</v>
      </c>
      <c r="CE23" s="171">
        <f>letrapeso(AA24)</f>
        <v>0</v>
      </c>
      <c r="CF23" s="41"/>
      <c r="CG23" s="171">
        <f>letrapeso(AC24)</f>
        <v>0</v>
      </c>
      <c r="CH23" s="171">
        <f>letrapeso(AD24)</f>
        <v>0</v>
      </c>
      <c r="CI23" s="41"/>
      <c r="CJ23" s="171">
        <f>letrapeso(AF24)</f>
        <v>0</v>
      </c>
      <c r="CK23" s="171">
        <f>letrapeso(AG24)</f>
        <v>0</v>
      </c>
      <c r="CL23" s="41"/>
      <c r="CM23" s="41">
        <f>IF(ISTEXT($C23),(BL23+BO23+BR23+BU23+BX23+CA23+CD23+CG23+CJ23),0)</f>
        <v>8</v>
      </c>
      <c r="CN23" s="41">
        <f>IF(ISTEXT($C23),(BM23+BP23+BS23+BV23+BY23+CB23+CE23+CH23+CK23),0)</f>
        <v>8</v>
      </c>
    </row>
    <row r="24" spans="1:92" ht="15.75" thickBot="1" x14ac:dyDescent="0.25">
      <c r="A24" s="537" t="str">
        <f>TEXT(D23,"0,00")&amp;"       "&amp;TEXT(E23,"0,00")&amp;"       "&amp;TEXT(F23,"0,00")</f>
        <v>2,00       3,00       2,45</v>
      </c>
      <c r="B24" s="538"/>
      <c r="C24" s="230"/>
      <c r="D24" s="210"/>
      <c r="E24" s="208">
        <f>IF(ISTEXT($C24),(H24*letrapeso(H25)+#REF!*letrapeso(#REF!)+L24*letrapeso(L25)+O24*letrapeso(O25)+R24*letrapeso(R25)+#REF!*letrapeso(#REF!)+U24*letrapeso(U25)+X24*letrapeso(X25)+AA24*letrapeso(AA25)+AD24*letrapeso(AD25)+AG24*letrapeso(AG25))/(letrapeso(H25)+letrapeso(#REF!)+letrapeso(L25)+letrapeso(O25)+letrapeso(R25)+letrapeso(#REF!)+letrapeso(U25)+letrapeso(X25)+letrapeso(AA25)+letrapeso(AD25)+letrapeso(AG25)),0)</f>
        <v>0</v>
      </c>
      <c r="F24" s="209"/>
      <c r="G24" s="231" t="str">
        <f>PEsoLetra('Digitar aqui Notas e Pesos'!D24)</f>
        <v>a</v>
      </c>
      <c r="H24" s="232" t="str">
        <f>PEsoLetra('Digitar aqui Notas e Pesos'!E24)</f>
        <v>a</v>
      </c>
      <c r="I24" s="566"/>
      <c r="J24" s="490"/>
      <c r="K24" s="231" t="str">
        <f>PEsoLetra('Digitar aqui Notas e Pesos'!G24)</f>
        <v/>
      </c>
      <c r="L24" s="232" t="str">
        <f>PEsoLetra('Digitar aqui Notas e Pesos'!H24)</f>
        <v/>
      </c>
      <c r="M24" s="554"/>
      <c r="N24" s="231" t="str">
        <f>PEsoLetra('Digitar aqui Notas e Pesos'!J24)</f>
        <v/>
      </c>
      <c r="O24" s="232" t="str">
        <f>PEsoLetra('Digitar aqui Notas e Pesos'!K24)</f>
        <v/>
      </c>
      <c r="P24" s="554"/>
      <c r="Q24" s="231" t="str">
        <f>PEsoLetra('Digitar aqui Notas e Pesos'!M24)</f>
        <v/>
      </c>
      <c r="R24" s="232" t="str">
        <f>PEsoLetra('Digitar aqui Notas e Pesos'!N24)</f>
        <v/>
      </c>
      <c r="S24" s="554"/>
      <c r="T24" s="231" t="str">
        <f>PEsoLetra('Digitar aqui Notas e Pesos'!P24)</f>
        <v/>
      </c>
      <c r="U24" s="232" t="str">
        <f>PEsoLetra('Digitar aqui Notas e Pesos'!Q24)</f>
        <v/>
      </c>
      <c r="V24" s="554"/>
      <c r="W24" s="231" t="str">
        <f>PEsoLetra('Digitar aqui Notas e Pesos'!S24)</f>
        <v/>
      </c>
      <c r="X24" s="232" t="str">
        <f>PEsoLetra('Digitar aqui Notas e Pesos'!T24)</f>
        <v/>
      </c>
      <c r="Y24" s="554"/>
      <c r="Z24" s="231" t="str">
        <f>PEsoLetra('Digitar aqui Notas e Pesos'!V24)</f>
        <v/>
      </c>
      <c r="AA24" s="232" t="str">
        <f>PEsoLetra('Digitar aqui Notas e Pesos'!W24)</f>
        <v/>
      </c>
      <c r="AB24" s="554"/>
      <c r="AC24" s="231" t="str">
        <f>PEsoLetra('Digitar aqui Notas e Pesos'!Y24)</f>
        <v/>
      </c>
      <c r="AD24" s="232" t="str">
        <f>PEsoLetra('Digitar aqui Notas e Pesos'!Z24)</f>
        <v/>
      </c>
      <c r="AE24" s="554"/>
      <c r="AF24" s="231" t="str">
        <f>PEsoLetra('Digitar aqui Notas e Pesos'!AB24)</f>
        <v/>
      </c>
      <c r="AG24" s="232" t="str">
        <f>PEsoLetra('Digitar aqui Notas e Pesos'!AC24)</f>
        <v/>
      </c>
      <c r="AH24" s="574"/>
      <c r="AI24" s="19" t="str">
        <f>+AI23</f>
        <v>Imprime</v>
      </c>
      <c r="AJ24" s="1"/>
      <c r="AK24" s="130"/>
      <c r="AL24" s="130"/>
      <c r="AM24" s="130"/>
      <c r="AN24" s="130"/>
      <c r="AO24" s="130"/>
      <c r="AQ24" s="130"/>
      <c r="AR24" s="130"/>
      <c r="AS24" s="28"/>
      <c r="AT24" s="130"/>
      <c r="AU24" s="130"/>
      <c r="AV24" s="28"/>
      <c r="AW24" s="130"/>
      <c r="AX24" s="130"/>
      <c r="AY24" s="28"/>
      <c r="AZ24" s="130"/>
      <c r="BA24" s="130"/>
      <c r="BB24" s="28"/>
      <c r="BC24" s="130"/>
      <c r="BD24" s="130"/>
      <c r="BE24" s="28"/>
      <c r="BF24" s="130"/>
      <c r="BG24" s="130"/>
      <c r="BH24" s="28"/>
      <c r="BI24" s="130"/>
      <c r="BJ24" s="130"/>
      <c r="BK24" s="28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171"/>
      <c r="CN24" s="171"/>
    </row>
    <row r="25" spans="1:92" ht="15.75" hidden="1" thickBot="1" x14ac:dyDescent="0.25">
      <c r="A25" s="546" t="str">
        <f>'Digitar aqui Notas e Pesos'!A25</f>
        <v>Nome da Atividade 2 da Unidade 1</v>
      </c>
      <c r="B25" s="547"/>
      <c r="C25" s="229">
        <f>IF('Digitar aqui Notas e Pesos'!C25,PEsoLetra('Digitar aqui Notas e Pesos'!C25),0)</f>
        <v>0</v>
      </c>
      <c r="D25" s="208">
        <f>IF(ISTEXT($C25),(G25*letrapeso(G26)+K25*letrapeso(K26)+N25*letrapeso(N26)+Q25*letrapeso(Q26)+T25*letrapeso(T26)+W25*letrapeso(W26)+Z25*letrapeso(Z26)+AC25*letrapeso(AC26)+AF25*letrapeso(AF26))/(letrapeso(G26)+letrapeso(K26)+letrapeso(N26)+letrapeso(Q26)+letrapeso(T26)+letrapeso(W26)+letrapeso(Z26)+letrapeso(AC26)+letrapeso(AF26)),0)</f>
        <v>0</v>
      </c>
      <c r="E25" s="208">
        <f>IF(ISTEXT($C25),(H25*letrapeso(H26)+L25*letrapeso(L26)+O25*letrapeso(O26)+R25*letrapeso(R26)+U25*letrapeso(U26)+X25*letrapeso(X26)+AA25*letrapeso(AA26)+AD25*letrapeso(AD26)+AG25*letrapeso(AG26))/(letrapeso(H26)+letrapeso(L26)+letrapeso(O26)+letrapeso(R26)+letrapeso(U26)+letrapeso(X26)+letrapeso(AA26)+letrapeso(AD26)+letrapeso(AG26)),0)</f>
        <v>0</v>
      </c>
      <c r="F25" s="209">
        <f>IF(ISTEXT($C25),(D25*$A$145+E25*$A$146),0)</f>
        <v>0</v>
      </c>
      <c r="G25" s="259">
        <f>'Digitar aqui Notas e Pesos'!D25</f>
        <v>0</v>
      </c>
      <c r="H25" s="116">
        <f>'Digitar aqui Notas e Pesos'!E25</f>
        <v>0</v>
      </c>
      <c r="I25" s="565">
        <f>IF(AND(G25&lt;&gt;0,H25&lt;&gt;0,$C25&lt;&gt;0),(G25*letrapeso(G26)*$A$145+H25*letrapeso(H26)*$A$146)/(letrapeso(G26)*$A$145+letrapeso(H26)*$A$146),0)</f>
        <v>0</v>
      </c>
      <c r="J25" s="259">
        <f>'Digitar aqui Notas e Pesos'!F25</f>
        <v>0</v>
      </c>
      <c r="K25" s="259">
        <f>'Digitar aqui Notas e Pesos'!G25</f>
        <v>0</v>
      </c>
      <c r="L25" s="116">
        <f>'Digitar aqui Notas e Pesos'!H25</f>
        <v>0</v>
      </c>
      <c r="M25" s="553">
        <f>IF(AND(K25&lt;&gt;0,L25&lt;&gt;0,$C25&lt;&gt;0),(K25*letrapeso(K26)*$A$145+L25*letrapeso(L26)*$A$146)/(letrapeso(K26)*$A$145+letrapeso(L26)*$A$146),0)</f>
        <v>0</v>
      </c>
      <c r="N25" s="259">
        <f>'Digitar aqui Notas e Pesos'!J25</f>
        <v>0</v>
      </c>
      <c r="O25" s="116">
        <f>'Digitar aqui Notas e Pesos'!K25</f>
        <v>0</v>
      </c>
      <c r="P25" s="553">
        <f>IF(AND(N25&lt;&gt;0,O25&lt;&gt;0,$C25&lt;&gt;0),(N25*letrapeso(N26)*$A$145+O25*letrapeso(O26)*$A$146)/(letrapeso(N26)*$A$145+letrapeso(O26)*$A$146),0)</f>
        <v>0</v>
      </c>
      <c r="Q25" s="259">
        <f>'Digitar aqui Notas e Pesos'!M25</f>
        <v>0</v>
      </c>
      <c r="R25" s="116">
        <f>'Digitar aqui Notas e Pesos'!N25</f>
        <v>0</v>
      </c>
      <c r="S25" s="553">
        <f>IF(AND(Q25&lt;&gt;0,R25&lt;&gt;0,$C25&lt;&gt;0),(Q25*letrapeso(Q26)*$A$145+R25*letrapeso(R26)*$A$146)/(letrapeso(Q26)*$A$145+letrapeso(R26)*$A$146),0)</f>
        <v>0</v>
      </c>
      <c r="T25" s="259">
        <f>'Digitar aqui Notas e Pesos'!P25</f>
        <v>0</v>
      </c>
      <c r="U25" s="116">
        <f>'Digitar aqui Notas e Pesos'!Q25</f>
        <v>0</v>
      </c>
      <c r="V25" s="553">
        <f>IF(AND(T25&lt;&gt;0,U25&lt;&gt;0,$C25&lt;&gt;0),(T25*letrapeso(T26)*$A$145+U25*letrapeso(U26)*$A$146)/(letrapeso(T26)*$A$145+letrapeso(U26)*$A$146),0)</f>
        <v>0</v>
      </c>
      <c r="W25" s="259">
        <f>'Digitar aqui Notas e Pesos'!S25</f>
        <v>0</v>
      </c>
      <c r="X25" s="116">
        <f>'Digitar aqui Notas e Pesos'!T25</f>
        <v>0</v>
      </c>
      <c r="Y25" s="553">
        <f>IF(AND(W25&lt;&gt;0,X25&lt;&gt;0,$C25&lt;&gt;0),(W25*letrapeso(W26)*$A$145+X25*letrapeso(X26)*$A$146)/(letrapeso(W26)*$A$145+letrapeso(X26)*$A$146),0)</f>
        <v>0</v>
      </c>
      <c r="Z25" s="259">
        <f>'Digitar aqui Notas e Pesos'!V25</f>
        <v>0</v>
      </c>
      <c r="AA25" s="116">
        <f>'Digitar aqui Notas e Pesos'!W25</f>
        <v>0</v>
      </c>
      <c r="AB25" s="553">
        <f>IF(AND(Z25&lt;&gt;0,AA25&lt;&gt;0,$C25&lt;&gt;0),(Z25*letrapeso(Z26)*$A$145+AA25*letrapeso(AA26)*$A$146)/(letrapeso(Z26)*$A$145+letrapeso(AA26)*$A$146),0)</f>
        <v>0</v>
      </c>
      <c r="AC25" s="259">
        <f>'Digitar aqui Notas e Pesos'!Y25</f>
        <v>0</v>
      </c>
      <c r="AD25" s="116">
        <f>'Digitar aqui Notas e Pesos'!Z25</f>
        <v>0</v>
      </c>
      <c r="AE25" s="553">
        <f>IF(AND(AC25&lt;&gt;0,AD25&lt;&gt;0,$C25&lt;&gt;0),(AC25*letrapeso(AC26)*$A$145+AD25*letrapeso(AD26)*$A$146)/(letrapeso(AC26)*$A$145+letrapeso(AD26)*$A$146),0)</f>
        <v>0</v>
      </c>
      <c r="AF25" s="259">
        <f>'Digitar aqui Notas e Pesos'!AB25</f>
        <v>0</v>
      </c>
      <c r="AG25" s="116">
        <f>'Digitar aqui Notas e Pesos'!AC25</f>
        <v>0</v>
      </c>
      <c r="AH25" s="573">
        <f>IF(AND(AF25&lt;&gt;0,AG25&lt;&gt;0,$C25&lt;&gt;0),(AF25*letrapeso(AF26)*$A$145+AG25*letrapeso(AG26)*$A$146)/(letrapeso(AF26)*$A$145+letrapeso(AG26)*$A$146),0)</f>
        <v>0</v>
      </c>
      <c r="AI25" s="8" t="str">
        <f>IF(letrapeso(C25),"Imprime","Não Imprime")</f>
        <v>Não Imprime</v>
      </c>
      <c r="AJ25" s="14" t="s">
        <v>28</v>
      </c>
      <c r="AK25" s="129">
        <f>G25*letrapeso(G26)*letrapeso($C25)</f>
        <v>0</v>
      </c>
      <c r="AL25" s="129">
        <f>H25*letrapeso(H26)*letrapeso($C25)</f>
        <v>0</v>
      </c>
      <c r="AM25" s="129">
        <f>J25*letrapeso(G26)*letrapeso($C25)</f>
        <v>0</v>
      </c>
      <c r="AN25" s="129">
        <f>K25*letrapeso(K26)*letrapeso($C25)</f>
        <v>0</v>
      </c>
      <c r="AO25" s="129">
        <f>L25*letrapeso(L26)*letrapeso($C25)</f>
        <v>0</v>
      </c>
      <c r="AP25" s="131"/>
      <c r="AQ25" s="129">
        <f>N25*letrapeso(N26)*letrapeso($C25)</f>
        <v>0</v>
      </c>
      <c r="AR25" s="129">
        <f>O25*letrapeso(O26)*letrapeso($C25)</f>
        <v>0</v>
      </c>
      <c r="AS25" s="131"/>
      <c r="AT25" s="129">
        <f>Q25*letrapeso(Q26)*letrapeso($C25)</f>
        <v>0</v>
      </c>
      <c r="AU25" s="129">
        <f>R25*letrapeso(R26)*letrapeso($C25)</f>
        <v>0</v>
      </c>
      <c r="AV25" s="131"/>
      <c r="AW25" s="129">
        <f>T25*letrapeso(T26)*letrapeso($C25)</f>
        <v>0</v>
      </c>
      <c r="AX25" s="129">
        <f>U25*letrapeso(U26)*letrapeso($C25)</f>
        <v>0</v>
      </c>
      <c r="AY25" s="131"/>
      <c r="AZ25" s="129">
        <f>W25*letrapeso(W26)*letrapeso($C25)</f>
        <v>0</v>
      </c>
      <c r="BA25" s="129">
        <f>X25*letrapeso(X26)*letrapeso($C25)</f>
        <v>0</v>
      </c>
      <c r="BB25" s="131"/>
      <c r="BC25" s="129">
        <f>Z25*letrapeso(Z26)*letrapeso($C25)</f>
        <v>0</v>
      </c>
      <c r="BD25" s="129">
        <f>AA25*letrapeso(AA26)*letrapeso($C25)</f>
        <v>0</v>
      </c>
      <c r="BE25" s="131"/>
      <c r="BF25" s="129">
        <f>AC25*letrapeso(AC26)*letrapeso($C25)</f>
        <v>0</v>
      </c>
      <c r="BG25" s="129">
        <f>AD25*letrapeso(AD26)*letrapeso($C25)</f>
        <v>0</v>
      </c>
      <c r="BH25" s="131"/>
      <c r="BI25" s="129">
        <f>AF25*letrapeso(AF26)*letrapeso($C25)</f>
        <v>0</v>
      </c>
      <c r="BJ25" s="129">
        <f>AG25*letrapeso(AG26)*letrapeso($C25)</f>
        <v>0</v>
      </c>
      <c r="BK25" s="131"/>
      <c r="BL25" s="171">
        <f>letrapeso(G26)</f>
        <v>0</v>
      </c>
      <c r="BM25" s="171">
        <f>letrapeso(H26)</f>
        <v>0</v>
      </c>
      <c r="BN25" s="41"/>
      <c r="BO25" s="171">
        <f>letrapeso(K26)</f>
        <v>0</v>
      </c>
      <c r="BP25" s="171">
        <f>letrapeso(L26)</f>
        <v>0</v>
      </c>
      <c r="BQ25" s="41"/>
      <c r="BR25" s="171">
        <f>letrapeso(N26)</f>
        <v>0</v>
      </c>
      <c r="BS25" s="171">
        <f>letrapeso(O26)</f>
        <v>0</v>
      </c>
      <c r="BT25" s="41"/>
      <c r="BU25" s="171">
        <f>letrapeso(Q26)</f>
        <v>0</v>
      </c>
      <c r="BV25" s="171">
        <f>letrapeso(R26)</f>
        <v>0</v>
      </c>
      <c r="BW25" s="41"/>
      <c r="BX25" s="171">
        <f>letrapeso(T26)</f>
        <v>0</v>
      </c>
      <c r="BY25" s="171">
        <f>letrapeso(U26)</f>
        <v>0</v>
      </c>
      <c r="BZ25" s="41"/>
      <c r="CA25" s="171">
        <f>letrapeso(W26)</f>
        <v>0</v>
      </c>
      <c r="CB25" s="171">
        <f>letrapeso(X26)</f>
        <v>0</v>
      </c>
      <c r="CC25" s="41"/>
      <c r="CD25" s="171">
        <f>letrapeso(Z26)</f>
        <v>0</v>
      </c>
      <c r="CE25" s="171">
        <f>letrapeso(AA26)</f>
        <v>0</v>
      </c>
      <c r="CF25" s="41"/>
      <c r="CG25" s="171">
        <f>letrapeso(AC26)</f>
        <v>0</v>
      </c>
      <c r="CH25" s="171">
        <f>letrapeso(AD26)</f>
        <v>0</v>
      </c>
      <c r="CI25" s="41"/>
      <c r="CJ25" s="171">
        <f>letrapeso(AF26)</f>
        <v>0</v>
      </c>
      <c r="CK25" s="171">
        <f>letrapeso(AG26)</f>
        <v>0</v>
      </c>
      <c r="CL25" s="41"/>
      <c r="CM25" s="41">
        <f>IF(ISTEXT($C25),(BL25+BO25+BR25+BU25+BX25+CA25+CD25+CG25+CJ25),0)</f>
        <v>0</v>
      </c>
      <c r="CN25" s="41">
        <f>IF(ISTEXT($C25),(BM25+BP25+BS25+BV25+BY25+CB25+CE25+CH25+CK25),0)</f>
        <v>0</v>
      </c>
    </row>
    <row r="26" spans="1:92" ht="15.75" hidden="1" thickBot="1" x14ac:dyDescent="0.25">
      <c r="A26" s="537" t="str">
        <f>TEXT(D25,"0,00")&amp;"       "&amp;TEXT(E25,"0,00")&amp;"       "&amp;TEXT(F25,"0,00")</f>
        <v>0,00       0,00       0,00</v>
      </c>
      <c r="B26" s="538"/>
      <c r="C26" s="230"/>
      <c r="D26" s="210"/>
      <c r="E26" s="208">
        <f>IF(ISTEXT($C26),(H26*letrapeso(H27)+#REF!*letrapeso(#REF!)+L26*letrapeso(L27)+O26*letrapeso(O27)+R26*letrapeso(R27)+#REF!*letrapeso(#REF!)+U26*letrapeso(U27)+X26*letrapeso(X27)+AA26*letrapeso(AA27)+AD26*letrapeso(AD27)+AG26*letrapeso(AG27))/(letrapeso(H27)+letrapeso(#REF!)+letrapeso(L27)+letrapeso(O27)+letrapeso(R27)+letrapeso(#REF!)+letrapeso(U27)+letrapeso(X27)+letrapeso(AA27)+letrapeso(AD27)+letrapeso(AG27)),0)</f>
        <v>0</v>
      </c>
      <c r="F26" s="209"/>
      <c r="G26" s="231" t="str">
        <f>PEsoLetra('Digitar aqui Notas e Pesos'!D26)</f>
        <v/>
      </c>
      <c r="H26" s="232" t="str">
        <f>PEsoLetra('Digitar aqui Notas e Pesos'!E26)</f>
        <v/>
      </c>
      <c r="I26" s="566"/>
      <c r="J26" s="490"/>
      <c r="K26" s="231" t="str">
        <f>PEsoLetra('Digitar aqui Notas e Pesos'!G26)</f>
        <v/>
      </c>
      <c r="L26" s="232" t="str">
        <f>PEsoLetra('Digitar aqui Notas e Pesos'!H26)</f>
        <v/>
      </c>
      <c r="M26" s="554"/>
      <c r="N26" s="231" t="str">
        <f>PEsoLetra('Digitar aqui Notas e Pesos'!J26)</f>
        <v/>
      </c>
      <c r="O26" s="232" t="str">
        <f>PEsoLetra('Digitar aqui Notas e Pesos'!K26)</f>
        <v/>
      </c>
      <c r="P26" s="554"/>
      <c r="Q26" s="231" t="str">
        <f>PEsoLetra('Digitar aqui Notas e Pesos'!M26)</f>
        <v/>
      </c>
      <c r="R26" s="232" t="str">
        <f>PEsoLetra('Digitar aqui Notas e Pesos'!N26)</f>
        <v/>
      </c>
      <c r="S26" s="554"/>
      <c r="T26" s="231" t="str">
        <f>PEsoLetra('Digitar aqui Notas e Pesos'!P26)</f>
        <v/>
      </c>
      <c r="U26" s="232" t="str">
        <f>PEsoLetra('Digitar aqui Notas e Pesos'!Q26)</f>
        <v/>
      </c>
      <c r="V26" s="554"/>
      <c r="W26" s="231" t="str">
        <f>PEsoLetra('Digitar aqui Notas e Pesos'!S26)</f>
        <v/>
      </c>
      <c r="X26" s="232" t="str">
        <f>PEsoLetra('Digitar aqui Notas e Pesos'!T26)</f>
        <v/>
      </c>
      <c r="Y26" s="554"/>
      <c r="Z26" s="231" t="str">
        <f>PEsoLetra('Digitar aqui Notas e Pesos'!V26)</f>
        <v/>
      </c>
      <c r="AA26" s="232" t="str">
        <f>PEsoLetra('Digitar aqui Notas e Pesos'!W26)</f>
        <v/>
      </c>
      <c r="AB26" s="554"/>
      <c r="AC26" s="231" t="str">
        <f>PEsoLetra('Digitar aqui Notas e Pesos'!Y26)</f>
        <v/>
      </c>
      <c r="AD26" s="232" t="str">
        <f>PEsoLetra('Digitar aqui Notas e Pesos'!Z26)</f>
        <v/>
      </c>
      <c r="AE26" s="554"/>
      <c r="AF26" s="231" t="str">
        <f>PEsoLetra('Digitar aqui Notas e Pesos'!AB26)</f>
        <v/>
      </c>
      <c r="AG26" s="232" t="str">
        <f>PEsoLetra('Digitar aqui Notas e Pesos'!AC26)</f>
        <v/>
      </c>
      <c r="AH26" s="574"/>
      <c r="AI26" s="19" t="str">
        <f>+AI25</f>
        <v>Não Imprime</v>
      </c>
      <c r="AJ26" s="1"/>
      <c r="AK26" s="130"/>
      <c r="AL26" s="130"/>
      <c r="AM26" s="130"/>
      <c r="AN26" s="130"/>
      <c r="AO26" s="130"/>
      <c r="AP26" s="131"/>
      <c r="AQ26" s="130"/>
      <c r="AR26" s="130"/>
      <c r="AS26" s="131"/>
      <c r="AT26" s="130"/>
      <c r="AU26" s="130"/>
      <c r="AV26" s="131"/>
      <c r="AW26" s="130"/>
      <c r="AX26" s="130"/>
      <c r="AY26" s="131"/>
      <c r="AZ26" s="130"/>
      <c r="BA26" s="130"/>
      <c r="BB26" s="131"/>
      <c r="BC26" s="130"/>
      <c r="BD26" s="130"/>
      <c r="BE26" s="131"/>
      <c r="BF26" s="130"/>
      <c r="BG26" s="130"/>
      <c r="BH26" s="131"/>
      <c r="BI26" s="130"/>
      <c r="BJ26" s="130"/>
      <c r="BK26" s="131"/>
      <c r="CM26" s="28"/>
      <c r="CN26" s="28"/>
    </row>
    <row r="27" spans="1:92" ht="15.75" hidden="1" thickBot="1" x14ac:dyDescent="0.25">
      <c r="A27" s="546" t="str">
        <f>'Digitar aqui Notas e Pesos'!A27</f>
        <v>Nome da Atividade 3 da Unidade 1</v>
      </c>
      <c r="B27" s="547"/>
      <c r="C27" s="229">
        <f>IF('Digitar aqui Notas e Pesos'!C27,PEsoLetra('Digitar aqui Notas e Pesos'!C27),0)</f>
        <v>0</v>
      </c>
      <c r="D27" s="208">
        <f>IF(ISTEXT($C27),(G27*letrapeso(G28)+K27*letrapeso(K28)+N27*letrapeso(N28)+Q27*letrapeso(Q28)+T27*letrapeso(T28)+W27*letrapeso(W28)+Z27*letrapeso(Z28)+AC27*letrapeso(AC28)+AF27*letrapeso(AF28))/(letrapeso(G28)+letrapeso(K28)+letrapeso(N28)+letrapeso(Q28)+letrapeso(T28)+letrapeso(W28)+letrapeso(Z28)+letrapeso(AC28)+letrapeso(AF28)),0)</f>
        <v>0</v>
      </c>
      <c r="E27" s="208">
        <f>IF(ISTEXT($C27),(H27*letrapeso(H28)+L27*letrapeso(L28)+O27*letrapeso(O28)+R27*letrapeso(R28)+U27*letrapeso(U28)+X27*letrapeso(X28)+AA27*letrapeso(AA28)+AD27*letrapeso(AD28)+AG27*letrapeso(AG28))/(letrapeso(H28)+letrapeso(L28)+letrapeso(O28)+letrapeso(R28)+letrapeso(U28)+letrapeso(X28)+letrapeso(AA28)+letrapeso(AD28)+letrapeso(AG28)),0)</f>
        <v>0</v>
      </c>
      <c r="F27" s="209">
        <f>IF(ISTEXT($C27),(D27*$A$145+E27*$A$146),0)</f>
        <v>0</v>
      </c>
      <c r="G27" s="259">
        <f>'Digitar aqui Notas e Pesos'!D27</f>
        <v>0</v>
      </c>
      <c r="H27" s="116">
        <f>'Digitar aqui Notas e Pesos'!E27</f>
        <v>0</v>
      </c>
      <c r="I27" s="565">
        <f>IF(AND(G27&lt;&gt;0,H27&lt;&gt;0,$C27&lt;&gt;0),(G27*letrapeso(G28)*$A$145+H27*letrapeso(H28)*$A$146)/(letrapeso(G28)*$A$145+letrapeso(H28)*$A$146),0)</f>
        <v>0</v>
      </c>
      <c r="J27" s="259">
        <f>'Digitar aqui Notas e Pesos'!F27</f>
        <v>0</v>
      </c>
      <c r="K27" s="259">
        <f>'Digitar aqui Notas e Pesos'!G27</f>
        <v>0</v>
      </c>
      <c r="L27" s="116">
        <f>'Digitar aqui Notas e Pesos'!H27</f>
        <v>0</v>
      </c>
      <c r="M27" s="553">
        <f>IF(AND(K27&lt;&gt;0,L27&lt;&gt;0,$C27&lt;&gt;0),(K27*letrapeso(K28)*$A$145+L27*letrapeso(L28)*$A$146)/(letrapeso(K28)*$A$145+letrapeso(L28)*$A$146),0)</f>
        <v>0</v>
      </c>
      <c r="N27" s="259">
        <f>'Digitar aqui Notas e Pesos'!J27</f>
        <v>0</v>
      </c>
      <c r="O27" s="116">
        <f>'Digitar aqui Notas e Pesos'!K27</f>
        <v>0</v>
      </c>
      <c r="P27" s="553">
        <f>IF(AND(N27&lt;&gt;0,O27&lt;&gt;0,$C27&lt;&gt;0),(N27*letrapeso(N28)*$A$145+O27*letrapeso(O28)*$A$146)/(letrapeso(N28)*$A$145+letrapeso(O28)*$A$146),0)</f>
        <v>0</v>
      </c>
      <c r="Q27" s="259">
        <f>'Digitar aqui Notas e Pesos'!M27</f>
        <v>0</v>
      </c>
      <c r="R27" s="116">
        <f>'Digitar aqui Notas e Pesos'!N27</f>
        <v>0</v>
      </c>
      <c r="S27" s="553">
        <f>IF(AND(Q27&lt;&gt;0,R27&lt;&gt;0,$C27&lt;&gt;0),(Q27*letrapeso(Q28)*$A$145+R27*letrapeso(R28)*$A$146)/(letrapeso(Q28)*$A$145+letrapeso(R28)*$A$146),0)</f>
        <v>0</v>
      </c>
      <c r="T27" s="259">
        <f>'Digitar aqui Notas e Pesos'!P27</f>
        <v>0</v>
      </c>
      <c r="U27" s="116">
        <f>'Digitar aqui Notas e Pesos'!Q27</f>
        <v>0</v>
      </c>
      <c r="V27" s="553">
        <f>IF(AND(T27&lt;&gt;0,U27&lt;&gt;0,$C27&lt;&gt;0),(T27*letrapeso(T28)*$A$145+U27*letrapeso(U28)*$A$146)/(letrapeso(T28)*$A$145+letrapeso(U28)*$A$146),0)</f>
        <v>0</v>
      </c>
      <c r="W27" s="259">
        <f>'Digitar aqui Notas e Pesos'!S27</f>
        <v>0</v>
      </c>
      <c r="X27" s="116">
        <f>'Digitar aqui Notas e Pesos'!T27</f>
        <v>0</v>
      </c>
      <c r="Y27" s="553">
        <f>IF(AND(W27&lt;&gt;0,X27&lt;&gt;0,$C27&lt;&gt;0),(W27*letrapeso(W28)*$A$145+X27*letrapeso(X28)*$A$146)/(letrapeso(W28)*$A$145+letrapeso(X28)*$A$146),0)</f>
        <v>0</v>
      </c>
      <c r="Z27" s="259">
        <f>'Digitar aqui Notas e Pesos'!V27</f>
        <v>0</v>
      </c>
      <c r="AA27" s="116">
        <f>'Digitar aqui Notas e Pesos'!W27</f>
        <v>0</v>
      </c>
      <c r="AB27" s="553">
        <f>IF(AND(Z27&lt;&gt;0,AA27&lt;&gt;0,$C27&lt;&gt;0),(Z27*letrapeso(Z28)*$A$145+AA27*letrapeso(AA28)*$A$146)/(letrapeso(Z28)*$A$145+letrapeso(AA28)*$A$146),0)</f>
        <v>0</v>
      </c>
      <c r="AC27" s="259">
        <f>'Digitar aqui Notas e Pesos'!Y27</f>
        <v>0</v>
      </c>
      <c r="AD27" s="116">
        <f>'Digitar aqui Notas e Pesos'!Z27</f>
        <v>0</v>
      </c>
      <c r="AE27" s="553">
        <f>IF(AND(AC27&lt;&gt;0,AD27&lt;&gt;0,$C27&lt;&gt;0),(AC27*letrapeso(AC28)*$A$145+AD27*letrapeso(AD28)*$A$146)/(letrapeso(AC28)*$A$145+letrapeso(AD28)*$A$146),0)</f>
        <v>0</v>
      </c>
      <c r="AF27" s="259">
        <f>'Digitar aqui Notas e Pesos'!AB27</f>
        <v>0</v>
      </c>
      <c r="AG27" s="116">
        <f>'Digitar aqui Notas e Pesos'!AC27</f>
        <v>0</v>
      </c>
      <c r="AH27" s="573">
        <f>IF(AND(AF27&lt;&gt;0,AG27&lt;&gt;0,$C27&lt;&gt;0),(AF27*letrapeso(AF28)*$A$145+AG27*letrapeso(AG28)*$A$146)/(letrapeso(AF28)*$A$145+letrapeso(AG28)*$A$146),0)</f>
        <v>0</v>
      </c>
      <c r="AI27" s="8" t="str">
        <f>IF(letrapeso(C27),"Imprime","Não Imprime")</f>
        <v>Não Imprime</v>
      </c>
      <c r="AJ27" s="14" t="s">
        <v>28</v>
      </c>
      <c r="AK27" s="129">
        <f>G27*letrapeso(G28)*letrapeso($C27)</f>
        <v>0</v>
      </c>
      <c r="AL27" s="129">
        <f>H27*letrapeso(H28)*letrapeso($C27)</f>
        <v>0</v>
      </c>
      <c r="AM27" s="129">
        <f>J27*letrapeso(G28)*letrapeso($C27)</f>
        <v>0</v>
      </c>
      <c r="AN27" s="129">
        <f>K27*letrapeso(K28)*letrapeso($C27)</f>
        <v>0</v>
      </c>
      <c r="AO27" s="129">
        <f>L27*letrapeso(L28)*letrapeso($C27)</f>
        <v>0</v>
      </c>
      <c r="AP27" s="131"/>
      <c r="AQ27" s="129">
        <f>N27*letrapeso(N28)*letrapeso($C27)</f>
        <v>0</v>
      </c>
      <c r="AR27" s="129">
        <f>O27*letrapeso(O28)*letrapeso($C27)</f>
        <v>0</v>
      </c>
      <c r="AS27" s="131"/>
      <c r="AT27" s="129">
        <f>Q27*letrapeso(Q28)*letrapeso($C27)</f>
        <v>0</v>
      </c>
      <c r="AU27" s="129">
        <f>R27*letrapeso(R28)*letrapeso($C27)</f>
        <v>0</v>
      </c>
      <c r="AV27" s="131"/>
      <c r="AW27" s="129">
        <f>T27*letrapeso(T28)*letrapeso($C27)</f>
        <v>0</v>
      </c>
      <c r="AX27" s="129">
        <f>U27*letrapeso(U28)*letrapeso($C27)</f>
        <v>0</v>
      </c>
      <c r="AY27" s="131"/>
      <c r="AZ27" s="129">
        <f>W27*letrapeso(W28)*letrapeso($C27)</f>
        <v>0</v>
      </c>
      <c r="BA27" s="129">
        <f>X27*letrapeso(X28)*letrapeso($C27)</f>
        <v>0</v>
      </c>
      <c r="BB27" s="131"/>
      <c r="BC27" s="129">
        <f>Z27*letrapeso(Z28)*letrapeso($C27)</f>
        <v>0</v>
      </c>
      <c r="BD27" s="129">
        <f>AA27*letrapeso(AA28)*letrapeso($C27)</f>
        <v>0</v>
      </c>
      <c r="BE27" s="131"/>
      <c r="BF27" s="129">
        <f>AC27*letrapeso(AC28)*letrapeso($C27)</f>
        <v>0</v>
      </c>
      <c r="BG27" s="129">
        <f>AD27*letrapeso(AD28)*letrapeso($C27)</f>
        <v>0</v>
      </c>
      <c r="BH27" s="131"/>
      <c r="BI27" s="129">
        <f>AF27*letrapeso(AF28)*letrapeso($C27)</f>
        <v>0</v>
      </c>
      <c r="BJ27" s="129">
        <f>AG27*letrapeso(AG28)*letrapeso($C27)</f>
        <v>0</v>
      </c>
      <c r="BK27" s="131"/>
      <c r="BL27" s="171">
        <f>letrapeso(G28)</f>
        <v>0</v>
      </c>
      <c r="BM27" s="171">
        <f>letrapeso(H28)</f>
        <v>0</v>
      </c>
      <c r="BN27" s="41"/>
      <c r="BO27" s="171">
        <f>letrapeso(K28)</f>
        <v>0</v>
      </c>
      <c r="BP27" s="171">
        <f>letrapeso(L28)</f>
        <v>0</v>
      </c>
      <c r="BQ27" s="41"/>
      <c r="BR27" s="171">
        <f>letrapeso(N28)</f>
        <v>0</v>
      </c>
      <c r="BS27" s="171">
        <f>letrapeso(O28)</f>
        <v>0</v>
      </c>
      <c r="BT27" s="41"/>
      <c r="BU27" s="171">
        <f>letrapeso(Q28)</f>
        <v>0</v>
      </c>
      <c r="BV27" s="171">
        <f>letrapeso(R28)</f>
        <v>0</v>
      </c>
      <c r="BW27" s="41"/>
      <c r="BX27" s="171">
        <f>letrapeso(T28)</f>
        <v>0</v>
      </c>
      <c r="BY27" s="171">
        <f>letrapeso(U28)</f>
        <v>0</v>
      </c>
      <c r="BZ27" s="41"/>
      <c r="CA27" s="171">
        <f>letrapeso(W28)</f>
        <v>0</v>
      </c>
      <c r="CB27" s="171">
        <f>letrapeso(X28)</f>
        <v>0</v>
      </c>
      <c r="CC27" s="41"/>
      <c r="CD27" s="171">
        <f>letrapeso(Z28)</f>
        <v>0</v>
      </c>
      <c r="CE27" s="171">
        <f>letrapeso(AA28)</f>
        <v>0</v>
      </c>
      <c r="CF27" s="41"/>
      <c r="CG27" s="171">
        <f>letrapeso(AC28)</f>
        <v>0</v>
      </c>
      <c r="CH27" s="171">
        <f>letrapeso(AD28)</f>
        <v>0</v>
      </c>
      <c r="CI27" s="41"/>
      <c r="CJ27" s="171">
        <f>letrapeso(AF28)</f>
        <v>0</v>
      </c>
      <c r="CK27" s="171">
        <f>letrapeso(AG28)</f>
        <v>0</v>
      </c>
      <c r="CL27" s="41"/>
      <c r="CM27" s="41">
        <f>IF(ISTEXT($C27),(BL27+BO27+BR27+BU27+BX27+CA27+CD27+CG27+CJ27),0)</f>
        <v>0</v>
      </c>
      <c r="CN27" s="41">
        <f>IF(ISTEXT($C27),(BM27+BP27+BS27+BV27+BY27+CB27+CE27+CH27+CK27),0)</f>
        <v>0</v>
      </c>
    </row>
    <row r="28" spans="1:92" ht="15.75" hidden="1" thickBot="1" x14ac:dyDescent="0.25">
      <c r="A28" s="537" t="str">
        <f>TEXT(D27,"0,00")&amp;"       "&amp;TEXT(E27,"0,00")&amp;"       "&amp;TEXT(F27,"0,00")</f>
        <v>0,00       0,00       0,00</v>
      </c>
      <c r="B28" s="538"/>
      <c r="C28" s="230"/>
      <c r="D28" s="210"/>
      <c r="E28" s="208">
        <f>IF(ISTEXT($C28),(H28*letrapeso(H29)+#REF!*letrapeso(#REF!)+L28*letrapeso(L29)+O28*letrapeso(O29)+R28*letrapeso(R29)+#REF!*letrapeso(#REF!)+U28*letrapeso(U29)+X28*letrapeso(X29)+AA28*letrapeso(AA29)+AD28*letrapeso(AD29)+AG28*letrapeso(AG29))/(letrapeso(H29)+letrapeso(#REF!)+letrapeso(L29)+letrapeso(O29)+letrapeso(R29)+letrapeso(#REF!)+letrapeso(U29)+letrapeso(X29)+letrapeso(AA29)+letrapeso(AD29)+letrapeso(AG29)),0)</f>
        <v>0</v>
      </c>
      <c r="F28" s="209"/>
      <c r="G28" s="231" t="str">
        <f>PEsoLetra('Digitar aqui Notas e Pesos'!D28)</f>
        <v/>
      </c>
      <c r="H28" s="232" t="str">
        <f>PEsoLetra('Digitar aqui Notas e Pesos'!E28)</f>
        <v/>
      </c>
      <c r="I28" s="566"/>
      <c r="J28" s="490"/>
      <c r="K28" s="231" t="str">
        <f>PEsoLetra('Digitar aqui Notas e Pesos'!G28)</f>
        <v/>
      </c>
      <c r="L28" s="232" t="str">
        <f>PEsoLetra('Digitar aqui Notas e Pesos'!H28)</f>
        <v/>
      </c>
      <c r="M28" s="554"/>
      <c r="N28" s="231" t="str">
        <f>PEsoLetra('Digitar aqui Notas e Pesos'!J28)</f>
        <v/>
      </c>
      <c r="O28" s="232" t="str">
        <f>PEsoLetra('Digitar aqui Notas e Pesos'!K28)</f>
        <v/>
      </c>
      <c r="P28" s="554"/>
      <c r="Q28" s="231" t="str">
        <f>PEsoLetra('Digitar aqui Notas e Pesos'!M28)</f>
        <v/>
      </c>
      <c r="R28" s="232" t="str">
        <f>PEsoLetra('Digitar aqui Notas e Pesos'!N28)</f>
        <v/>
      </c>
      <c r="S28" s="554"/>
      <c r="T28" s="231" t="str">
        <f>PEsoLetra('Digitar aqui Notas e Pesos'!P28)</f>
        <v/>
      </c>
      <c r="U28" s="232" t="str">
        <f>PEsoLetra('Digitar aqui Notas e Pesos'!Q28)</f>
        <v/>
      </c>
      <c r="V28" s="554"/>
      <c r="W28" s="231" t="str">
        <f>PEsoLetra('Digitar aqui Notas e Pesos'!S28)</f>
        <v/>
      </c>
      <c r="X28" s="232" t="str">
        <f>PEsoLetra('Digitar aqui Notas e Pesos'!T28)</f>
        <v/>
      </c>
      <c r="Y28" s="554"/>
      <c r="Z28" s="231" t="str">
        <f>PEsoLetra('Digitar aqui Notas e Pesos'!V28)</f>
        <v/>
      </c>
      <c r="AA28" s="232" t="str">
        <f>PEsoLetra('Digitar aqui Notas e Pesos'!W28)</f>
        <v/>
      </c>
      <c r="AB28" s="554"/>
      <c r="AC28" s="231" t="str">
        <f>PEsoLetra('Digitar aqui Notas e Pesos'!Y28)</f>
        <v/>
      </c>
      <c r="AD28" s="232" t="str">
        <f>PEsoLetra('Digitar aqui Notas e Pesos'!Z28)</f>
        <v/>
      </c>
      <c r="AE28" s="554"/>
      <c r="AF28" s="231" t="str">
        <f>PEsoLetra('Digitar aqui Notas e Pesos'!AB28)</f>
        <v/>
      </c>
      <c r="AG28" s="232" t="str">
        <f>PEsoLetra('Digitar aqui Notas e Pesos'!AC28)</f>
        <v/>
      </c>
      <c r="AH28" s="574"/>
      <c r="AI28" s="19" t="str">
        <f>+AI27</f>
        <v>Não Imprime</v>
      </c>
      <c r="AJ28" s="1"/>
      <c r="AK28" s="130"/>
      <c r="AL28" s="130"/>
      <c r="AM28" s="130"/>
      <c r="AN28" s="130"/>
      <c r="AO28" s="130"/>
      <c r="AP28" s="131"/>
      <c r="AQ28" s="130"/>
      <c r="AR28" s="130"/>
      <c r="AS28" s="131"/>
      <c r="AT28" s="130"/>
      <c r="AU28" s="130"/>
      <c r="AV28" s="131"/>
      <c r="AW28" s="130"/>
      <c r="AX28" s="130"/>
      <c r="AY28" s="131"/>
      <c r="AZ28" s="130"/>
      <c r="BA28" s="130"/>
      <c r="BB28" s="131"/>
      <c r="BC28" s="130"/>
      <c r="BD28" s="130"/>
      <c r="BE28" s="131"/>
      <c r="BF28" s="130"/>
      <c r="BG28" s="130"/>
      <c r="BH28" s="131"/>
      <c r="BI28" s="130"/>
      <c r="BJ28" s="130"/>
      <c r="BK28" s="131"/>
      <c r="CM28" s="28"/>
      <c r="CN28" s="28"/>
    </row>
    <row r="29" spans="1:92" ht="15.75" hidden="1" thickBot="1" x14ac:dyDescent="0.25">
      <c r="A29" s="546" t="str">
        <f>'Digitar aqui Notas e Pesos'!A29</f>
        <v>Nome da Atividade 4 da Unidade 1</v>
      </c>
      <c r="B29" s="547"/>
      <c r="C29" s="229">
        <f>IF('Digitar aqui Notas e Pesos'!C29,PEsoLetra('Digitar aqui Notas e Pesos'!C29),0)</f>
        <v>0</v>
      </c>
      <c r="D29" s="208">
        <f>IF(ISTEXT($C29),(G29*letrapeso(G30)+K29*letrapeso(K30)+N29*letrapeso(N30)+Q29*letrapeso(Q30)+T29*letrapeso(T30)+W29*letrapeso(W30)+Z29*letrapeso(Z30)+AC29*letrapeso(AC30)+AF29*letrapeso(AF30))/(letrapeso(G30)+letrapeso(K30)+letrapeso(N30)+letrapeso(Q30)+letrapeso(T30)+letrapeso(W30)+letrapeso(Z30)+letrapeso(AC30)+letrapeso(AF30)),0)</f>
        <v>0</v>
      </c>
      <c r="E29" s="208">
        <f>IF(ISTEXT($C29),(H29*letrapeso(H30)+L29*letrapeso(L30)+O29*letrapeso(O30)+R29*letrapeso(R30)+U29*letrapeso(U30)+X29*letrapeso(X30)+AA29*letrapeso(AA30)+AD29*letrapeso(AD30)+AG29*letrapeso(AG30))/(letrapeso(H30)+letrapeso(L30)+letrapeso(O30)+letrapeso(R30)+letrapeso(U30)+letrapeso(X30)+letrapeso(AA30)+letrapeso(AD30)+letrapeso(AG30)),0)</f>
        <v>0</v>
      </c>
      <c r="F29" s="209">
        <f>IF(ISTEXT($C29),(D29*$A$145+E29*$A$146),0)</f>
        <v>0</v>
      </c>
      <c r="G29" s="259">
        <f>'Digitar aqui Notas e Pesos'!D29</f>
        <v>0</v>
      </c>
      <c r="H29" s="116">
        <f>'Digitar aqui Notas e Pesos'!E29</f>
        <v>0</v>
      </c>
      <c r="I29" s="565">
        <f>IF(AND(G29&lt;&gt;0,H29&lt;&gt;0,$C29&lt;&gt;0),(G29*letrapeso(G30)*$A$145+H29*letrapeso(H30)*$A$146)/(letrapeso(G30)*$A$145+letrapeso(H30)*$A$146),0)</f>
        <v>0</v>
      </c>
      <c r="J29" s="259">
        <f>'Digitar aqui Notas e Pesos'!F29</f>
        <v>0</v>
      </c>
      <c r="K29" s="259">
        <f>'Digitar aqui Notas e Pesos'!G29</f>
        <v>0</v>
      </c>
      <c r="L29" s="116">
        <f>'Digitar aqui Notas e Pesos'!H29</f>
        <v>0</v>
      </c>
      <c r="M29" s="553">
        <f>IF(AND(K29&lt;&gt;0,L29&lt;&gt;0,$C29&lt;&gt;0),(K29*letrapeso(K30)*$A$145+L29*letrapeso(L30)*$A$146)/(letrapeso(K30)*$A$145+letrapeso(L30)*$A$146),0)</f>
        <v>0</v>
      </c>
      <c r="N29" s="259">
        <f>'Digitar aqui Notas e Pesos'!J29</f>
        <v>0</v>
      </c>
      <c r="O29" s="116">
        <f>'Digitar aqui Notas e Pesos'!K29</f>
        <v>0</v>
      </c>
      <c r="P29" s="553">
        <f>IF(AND(N29&lt;&gt;0,O29&lt;&gt;0,$C29&lt;&gt;0),(N29*letrapeso(N30)*$A$145+O29*letrapeso(O30)*$A$146)/(letrapeso(N30)*$A$145+letrapeso(O30)*$A$146),0)</f>
        <v>0</v>
      </c>
      <c r="Q29" s="259">
        <f>'Digitar aqui Notas e Pesos'!M29</f>
        <v>0</v>
      </c>
      <c r="R29" s="116">
        <f>'Digitar aqui Notas e Pesos'!N29</f>
        <v>0</v>
      </c>
      <c r="S29" s="553">
        <f>IF(AND(Q29&lt;&gt;0,R29&lt;&gt;0,$C29&lt;&gt;0),(Q29*letrapeso(Q30)*$A$145+R29*letrapeso(R30)*$A$146)/(letrapeso(Q30)*$A$145+letrapeso(R30)*$A$146),0)</f>
        <v>0</v>
      </c>
      <c r="T29" s="259">
        <f>'Digitar aqui Notas e Pesos'!P29</f>
        <v>0</v>
      </c>
      <c r="U29" s="116">
        <f>'Digitar aqui Notas e Pesos'!Q29</f>
        <v>0</v>
      </c>
      <c r="V29" s="553">
        <f>IF(AND(T29&lt;&gt;0,U29&lt;&gt;0,$C29&lt;&gt;0),(T29*letrapeso(T30)*$A$145+U29*letrapeso(U30)*$A$146)/(letrapeso(T30)*$A$145+letrapeso(U30)*$A$146),0)</f>
        <v>0</v>
      </c>
      <c r="W29" s="259">
        <f>'Digitar aqui Notas e Pesos'!S29</f>
        <v>0</v>
      </c>
      <c r="X29" s="116">
        <f>'Digitar aqui Notas e Pesos'!T29</f>
        <v>0</v>
      </c>
      <c r="Y29" s="553">
        <f>IF(AND(W29&lt;&gt;0,X29&lt;&gt;0,$C29&lt;&gt;0),(W29*letrapeso(W30)*$A$145+X29*letrapeso(X30)*$A$146)/(letrapeso(W30)*$A$145+letrapeso(X30)*$A$146),0)</f>
        <v>0</v>
      </c>
      <c r="Z29" s="259">
        <f>'Digitar aqui Notas e Pesos'!V29</f>
        <v>0</v>
      </c>
      <c r="AA29" s="116">
        <f>'Digitar aqui Notas e Pesos'!W29</f>
        <v>0</v>
      </c>
      <c r="AB29" s="553">
        <f>IF(AND(Z29&lt;&gt;0,AA29&lt;&gt;0,$C29&lt;&gt;0),(Z29*letrapeso(Z30)*$A$145+AA29*letrapeso(AA30)*$A$146)/(letrapeso(Z30)*$A$145+letrapeso(AA30)*$A$146),0)</f>
        <v>0</v>
      </c>
      <c r="AC29" s="259">
        <f>'Digitar aqui Notas e Pesos'!Y29</f>
        <v>0</v>
      </c>
      <c r="AD29" s="116">
        <f>'Digitar aqui Notas e Pesos'!Z29</f>
        <v>0</v>
      </c>
      <c r="AE29" s="553">
        <f>IF(AND(AC29&lt;&gt;0,AD29&lt;&gt;0,$C29&lt;&gt;0),(AC29*letrapeso(AC30)*$A$145+AD29*letrapeso(AD30)*$A$146)/(letrapeso(AC30)*$A$145+letrapeso(AD30)*$A$146),0)</f>
        <v>0</v>
      </c>
      <c r="AF29" s="259">
        <f>'Digitar aqui Notas e Pesos'!AB29</f>
        <v>0</v>
      </c>
      <c r="AG29" s="116">
        <f>'Digitar aqui Notas e Pesos'!AC29</f>
        <v>0</v>
      </c>
      <c r="AH29" s="573">
        <f>IF(AND(AF29&lt;&gt;0,AG29&lt;&gt;0,$C29&lt;&gt;0),(AF29*letrapeso(AF30)*$A$145+AG29*letrapeso(AG30)*$A$146)/(letrapeso(AF30)*$A$145+letrapeso(AG30)*$A$146),0)</f>
        <v>0</v>
      </c>
      <c r="AI29" s="8" t="str">
        <f>IF(letrapeso(C29),"Imprime","Não Imprime")</f>
        <v>Não Imprime</v>
      </c>
      <c r="AJ29" s="14" t="s">
        <v>28</v>
      </c>
      <c r="AK29" s="129">
        <f>G29*letrapeso(G30)*letrapeso($C29)</f>
        <v>0</v>
      </c>
      <c r="AL29" s="129">
        <f>H29*letrapeso(H30)*letrapeso($C29)</f>
        <v>0</v>
      </c>
      <c r="AM29" s="129">
        <f>J29*letrapeso(G30)*letrapeso($C29)</f>
        <v>0</v>
      </c>
      <c r="AN29" s="129">
        <f>K29*letrapeso(K30)*letrapeso($C29)</f>
        <v>0</v>
      </c>
      <c r="AO29" s="129">
        <f>L29*letrapeso(L30)*letrapeso($C29)</f>
        <v>0</v>
      </c>
      <c r="AP29" s="131"/>
      <c r="AQ29" s="129">
        <f>N29*letrapeso(N30)*letrapeso($C29)</f>
        <v>0</v>
      </c>
      <c r="AR29" s="129">
        <f>O29*letrapeso(O30)*letrapeso($C29)</f>
        <v>0</v>
      </c>
      <c r="AS29" s="131"/>
      <c r="AT29" s="129">
        <f>Q29*letrapeso(Q30)*letrapeso($C29)</f>
        <v>0</v>
      </c>
      <c r="AU29" s="129">
        <f>R29*letrapeso(R30)*letrapeso($C29)</f>
        <v>0</v>
      </c>
      <c r="AV29" s="131"/>
      <c r="AW29" s="129">
        <f>T29*letrapeso(T30)*letrapeso($C29)</f>
        <v>0</v>
      </c>
      <c r="AX29" s="129">
        <f>U29*letrapeso(U30)*letrapeso($C29)</f>
        <v>0</v>
      </c>
      <c r="AY29" s="131"/>
      <c r="AZ29" s="129">
        <f>W29*letrapeso(W30)*letrapeso($C29)</f>
        <v>0</v>
      </c>
      <c r="BA29" s="129">
        <f>X29*letrapeso(X30)*letrapeso($C29)</f>
        <v>0</v>
      </c>
      <c r="BB29" s="131"/>
      <c r="BC29" s="129">
        <f>Z29*letrapeso(Z30)*letrapeso($C29)</f>
        <v>0</v>
      </c>
      <c r="BD29" s="129">
        <f>AA29*letrapeso(AA30)*letrapeso($C29)</f>
        <v>0</v>
      </c>
      <c r="BE29" s="131"/>
      <c r="BF29" s="129">
        <f>AC29*letrapeso(AC30)*letrapeso($C29)</f>
        <v>0</v>
      </c>
      <c r="BG29" s="129">
        <f>AD29*letrapeso(AD30)*letrapeso($C29)</f>
        <v>0</v>
      </c>
      <c r="BH29" s="131"/>
      <c r="BI29" s="129">
        <f>AF29*letrapeso(AF30)*letrapeso($C29)</f>
        <v>0</v>
      </c>
      <c r="BJ29" s="129">
        <f>AG29*letrapeso(AG30)*letrapeso($C29)</f>
        <v>0</v>
      </c>
      <c r="BK29" s="131"/>
      <c r="BL29" s="171">
        <f>letrapeso(G30)</f>
        <v>0</v>
      </c>
      <c r="BM29" s="171">
        <f>letrapeso(H30)</f>
        <v>0</v>
      </c>
      <c r="BN29" s="41"/>
      <c r="BO29" s="171">
        <f>letrapeso(K30)</f>
        <v>0</v>
      </c>
      <c r="BP29" s="171">
        <f>letrapeso(L30)</f>
        <v>0</v>
      </c>
      <c r="BQ29" s="41"/>
      <c r="BR29" s="171">
        <f>letrapeso(N30)</f>
        <v>0</v>
      </c>
      <c r="BS29" s="171">
        <f>letrapeso(O30)</f>
        <v>0</v>
      </c>
      <c r="BT29" s="41"/>
      <c r="BU29" s="171">
        <f>letrapeso(Q30)</f>
        <v>0</v>
      </c>
      <c r="BV29" s="171">
        <f>letrapeso(R30)</f>
        <v>0</v>
      </c>
      <c r="BW29" s="41"/>
      <c r="BX29" s="171">
        <f>letrapeso(T30)</f>
        <v>0</v>
      </c>
      <c r="BY29" s="171">
        <f>letrapeso(U30)</f>
        <v>0</v>
      </c>
      <c r="BZ29" s="41"/>
      <c r="CA29" s="171">
        <f>letrapeso(W30)</f>
        <v>0</v>
      </c>
      <c r="CB29" s="171">
        <f>letrapeso(X30)</f>
        <v>0</v>
      </c>
      <c r="CC29" s="41"/>
      <c r="CD29" s="171">
        <f>letrapeso(Z30)</f>
        <v>0</v>
      </c>
      <c r="CE29" s="171">
        <f>letrapeso(AA30)</f>
        <v>0</v>
      </c>
      <c r="CF29" s="41"/>
      <c r="CG29" s="171">
        <f>letrapeso(AC30)</f>
        <v>0</v>
      </c>
      <c r="CH29" s="171">
        <f>letrapeso(AD30)</f>
        <v>0</v>
      </c>
      <c r="CI29" s="41"/>
      <c r="CJ29" s="171">
        <f>letrapeso(AF30)</f>
        <v>0</v>
      </c>
      <c r="CK29" s="171">
        <f>letrapeso(AG30)</f>
        <v>0</v>
      </c>
      <c r="CL29" s="41"/>
      <c r="CM29" s="41">
        <f>IF(ISTEXT($C29),(BL29+BO29+BR29+BU29+BX29+CA29+CD29+CG29+CJ29),0)</f>
        <v>0</v>
      </c>
      <c r="CN29" s="41">
        <f>IF(ISTEXT($C29),(BM29+BP29+BS29+BV29+BY29+CB29+CE29+CH29+CK29),0)</f>
        <v>0</v>
      </c>
    </row>
    <row r="30" spans="1:92" ht="15.75" hidden="1" thickBot="1" x14ac:dyDescent="0.25">
      <c r="A30" s="537" t="str">
        <f>TEXT(D29,"0,00")&amp;"       "&amp;TEXT(E29,"0,00")&amp;"       "&amp;TEXT(F29,"0,00")</f>
        <v>0,00       0,00       0,00</v>
      </c>
      <c r="B30" s="538"/>
      <c r="C30" s="230"/>
      <c r="D30" s="210"/>
      <c r="E30" s="208">
        <f>IF(ISTEXT($C30),(H30*letrapeso(H31)+#REF!*letrapeso(#REF!)+L30*letrapeso(L31)+O30*letrapeso(O31)+R30*letrapeso(R31)+#REF!*letrapeso(#REF!)+U30*letrapeso(U31)+X30*letrapeso(X31)+AA30*letrapeso(AA31)+AD30*letrapeso(AD31)+AG30*letrapeso(AG31))/(letrapeso(H31)+letrapeso(#REF!)+letrapeso(L31)+letrapeso(O31)+letrapeso(R31)+letrapeso(#REF!)+letrapeso(U31)+letrapeso(X31)+letrapeso(AA31)+letrapeso(AD31)+letrapeso(AG31)),0)</f>
        <v>0</v>
      </c>
      <c r="F30" s="209"/>
      <c r="G30" s="231" t="str">
        <f>PEsoLetra('Digitar aqui Notas e Pesos'!D30)</f>
        <v/>
      </c>
      <c r="H30" s="232" t="str">
        <f>PEsoLetra('Digitar aqui Notas e Pesos'!E30)</f>
        <v/>
      </c>
      <c r="I30" s="566"/>
      <c r="J30" s="490"/>
      <c r="K30" s="231" t="str">
        <f>PEsoLetra('Digitar aqui Notas e Pesos'!G30)</f>
        <v/>
      </c>
      <c r="L30" s="232" t="str">
        <f>PEsoLetra('Digitar aqui Notas e Pesos'!H30)</f>
        <v/>
      </c>
      <c r="M30" s="554"/>
      <c r="N30" s="231" t="str">
        <f>PEsoLetra('Digitar aqui Notas e Pesos'!J30)</f>
        <v/>
      </c>
      <c r="O30" s="232" t="str">
        <f>PEsoLetra('Digitar aqui Notas e Pesos'!K30)</f>
        <v/>
      </c>
      <c r="P30" s="554"/>
      <c r="Q30" s="231" t="str">
        <f>PEsoLetra('Digitar aqui Notas e Pesos'!M30)</f>
        <v/>
      </c>
      <c r="R30" s="232" t="str">
        <f>PEsoLetra('Digitar aqui Notas e Pesos'!N30)</f>
        <v/>
      </c>
      <c r="S30" s="554"/>
      <c r="T30" s="231" t="str">
        <f>PEsoLetra('Digitar aqui Notas e Pesos'!P30)</f>
        <v/>
      </c>
      <c r="U30" s="232" t="str">
        <f>PEsoLetra('Digitar aqui Notas e Pesos'!Q30)</f>
        <v/>
      </c>
      <c r="V30" s="554"/>
      <c r="W30" s="231" t="str">
        <f>PEsoLetra('Digitar aqui Notas e Pesos'!S30)</f>
        <v/>
      </c>
      <c r="X30" s="232" t="str">
        <f>PEsoLetra('Digitar aqui Notas e Pesos'!T30)</f>
        <v/>
      </c>
      <c r="Y30" s="554"/>
      <c r="Z30" s="231" t="str">
        <f>PEsoLetra('Digitar aqui Notas e Pesos'!V30)</f>
        <v/>
      </c>
      <c r="AA30" s="232" t="str">
        <f>PEsoLetra('Digitar aqui Notas e Pesos'!W30)</f>
        <v/>
      </c>
      <c r="AB30" s="554"/>
      <c r="AC30" s="231" t="str">
        <f>PEsoLetra('Digitar aqui Notas e Pesos'!Y30)</f>
        <v/>
      </c>
      <c r="AD30" s="232" t="str">
        <f>PEsoLetra('Digitar aqui Notas e Pesos'!Z30)</f>
        <v/>
      </c>
      <c r="AE30" s="554"/>
      <c r="AF30" s="231" t="str">
        <f>PEsoLetra('Digitar aqui Notas e Pesos'!AB30)</f>
        <v/>
      </c>
      <c r="AG30" s="232" t="str">
        <f>PEsoLetra('Digitar aqui Notas e Pesos'!AC30)</f>
        <v/>
      </c>
      <c r="AH30" s="574"/>
      <c r="AI30" s="19" t="str">
        <f>+AI29</f>
        <v>Não Imprime</v>
      </c>
      <c r="AJ30" s="1"/>
      <c r="AK30" s="130"/>
      <c r="AL30" s="130"/>
      <c r="AM30" s="130"/>
      <c r="AN30" s="130"/>
      <c r="AO30" s="130"/>
      <c r="AP30" s="131"/>
      <c r="AQ30" s="130"/>
      <c r="AR30" s="130"/>
      <c r="AS30" s="131"/>
      <c r="AT30" s="130"/>
      <c r="AU30" s="130"/>
      <c r="AV30" s="131"/>
      <c r="AW30" s="130"/>
      <c r="AX30" s="130"/>
      <c r="AY30" s="131"/>
      <c r="AZ30" s="130"/>
      <c r="BA30" s="130"/>
      <c r="BB30" s="131"/>
      <c r="BC30" s="130"/>
      <c r="BD30" s="130"/>
      <c r="BE30" s="131"/>
      <c r="BF30" s="130"/>
      <c r="BG30" s="130"/>
      <c r="BH30" s="131"/>
      <c r="BI30" s="130"/>
      <c r="BJ30" s="130"/>
      <c r="BK30" s="131"/>
      <c r="CM30" s="28"/>
      <c r="CN30" s="28"/>
    </row>
    <row r="31" spans="1:92" ht="15.75" hidden="1" thickBot="1" x14ac:dyDescent="0.25">
      <c r="A31" s="546" t="str">
        <f>'Digitar aqui Notas e Pesos'!A31</f>
        <v>Nome da Atividade 5 da Unidade 1</v>
      </c>
      <c r="B31" s="547"/>
      <c r="C31" s="229">
        <f>IF('Digitar aqui Notas e Pesos'!C31,PEsoLetra('Digitar aqui Notas e Pesos'!C31),0)</f>
        <v>0</v>
      </c>
      <c r="D31" s="208">
        <f>IF(ISTEXT($C31),(G31*letrapeso(G32)+K31*letrapeso(K32)+N31*letrapeso(N32)+Q31*letrapeso(Q32)+T31*letrapeso(T32)+W31*letrapeso(W32)+Z31*letrapeso(Z32)+AC31*letrapeso(AC32)+AF31*letrapeso(AF32))/(letrapeso(G32)+letrapeso(K32)+letrapeso(N32)+letrapeso(Q32)+letrapeso(T32)+letrapeso(W32)+letrapeso(Z32)+letrapeso(AC32)+letrapeso(AF32)),0)</f>
        <v>0</v>
      </c>
      <c r="E31" s="208">
        <f>IF(ISTEXT($C31),(H31*letrapeso(H32)+L31*letrapeso(L32)+O31*letrapeso(O32)+R31*letrapeso(R32)+U31*letrapeso(U32)+X31*letrapeso(X32)+AA31*letrapeso(AA32)+AD31*letrapeso(AD32)+AG31*letrapeso(AG32))/(letrapeso(H32)+letrapeso(L32)+letrapeso(O32)+letrapeso(R32)+letrapeso(U32)+letrapeso(X32)+letrapeso(AA32)+letrapeso(AD32)+letrapeso(AG32)),0)</f>
        <v>0</v>
      </c>
      <c r="F31" s="209">
        <f>IF(ISTEXT($C31),(D31*$A$145+E31*$A$146),0)</f>
        <v>0</v>
      </c>
      <c r="G31" s="259">
        <f>'Digitar aqui Notas e Pesos'!D31</f>
        <v>0</v>
      </c>
      <c r="H31" s="116">
        <f>'Digitar aqui Notas e Pesos'!E31</f>
        <v>0</v>
      </c>
      <c r="I31" s="565">
        <f>IF(AND(G31&lt;&gt;0,H31&lt;&gt;0,$C31&lt;&gt;0),(G31*letrapeso(G32)*$A$145+H31*letrapeso(H32)*$A$146)/(letrapeso(G32)*$A$145+letrapeso(H32)*$A$146),0)</f>
        <v>0</v>
      </c>
      <c r="J31" s="259">
        <f>'Digitar aqui Notas e Pesos'!F31</f>
        <v>0</v>
      </c>
      <c r="K31" s="259">
        <f>'Digitar aqui Notas e Pesos'!G31</f>
        <v>0</v>
      </c>
      <c r="L31" s="116">
        <f>'Digitar aqui Notas e Pesos'!H31</f>
        <v>0</v>
      </c>
      <c r="M31" s="553">
        <f>IF(AND(K31&lt;&gt;0,L31&lt;&gt;0,$C31&lt;&gt;0),(K31*letrapeso(K32)*$A$145+L31*letrapeso(L32)*$A$146)/(letrapeso(K32)*$A$145+letrapeso(L32)*$A$146),0)</f>
        <v>0</v>
      </c>
      <c r="N31" s="259">
        <f>'Digitar aqui Notas e Pesos'!J31</f>
        <v>0</v>
      </c>
      <c r="O31" s="116">
        <f>'Digitar aqui Notas e Pesos'!K31</f>
        <v>0</v>
      </c>
      <c r="P31" s="553">
        <f>IF(AND(N31&lt;&gt;0,O31&lt;&gt;0,$C31&lt;&gt;0),(N31*letrapeso(N32)*$A$145+O31*letrapeso(O32)*$A$146)/(letrapeso(N32)*$A$145+letrapeso(O32)*$A$146),0)</f>
        <v>0</v>
      </c>
      <c r="Q31" s="259">
        <f>'Digitar aqui Notas e Pesos'!M31</f>
        <v>0</v>
      </c>
      <c r="R31" s="116">
        <f>'Digitar aqui Notas e Pesos'!N31</f>
        <v>0</v>
      </c>
      <c r="S31" s="553">
        <f>IF(AND(Q31&lt;&gt;0,R31&lt;&gt;0,$C31&lt;&gt;0),(Q31*letrapeso(Q32)*$A$145+R31*letrapeso(R32)*$A$146)/(letrapeso(Q32)*$A$145+letrapeso(R32)*$A$146),0)</f>
        <v>0</v>
      </c>
      <c r="T31" s="259">
        <f>'Digitar aqui Notas e Pesos'!P31</f>
        <v>0</v>
      </c>
      <c r="U31" s="116">
        <f>'Digitar aqui Notas e Pesos'!Q31</f>
        <v>0</v>
      </c>
      <c r="V31" s="553">
        <f>IF(AND(T31&lt;&gt;0,U31&lt;&gt;0,$C31&lt;&gt;0),(T31*letrapeso(T32)*$A$145+U31*letrapeso(U32)*$A$146)/(letrapeso(T32)*$A$145+letrapeso(U32)*$A$146),0)</f>
        <v>0</v>
      </c>
      <c r="W31" s="259">
        <f>'Digitar aqui Notas e Pesos'!S31</f>
        <v>0</v>
      </c>
      <c r="X31" s="116">
        <f>'Digitar aqui Notas e Pesos'!T31</f>
        <v>0</v>
      </c>
      <c r="Y31" s="553">
        <f>IF(AND(W31&lt;&gt;0,X31&lt;&gt;0,$C31&lt;&gt;0),(W31*letrapeso(W32)*$A$145+X31*letrapeso(X32)*$A$146)/(letrapeso(W32)*$A$145+letrapeso(X32)*$A$146),0)</f>
        <v>0</v>
      </c>
      <c r="Z31" s="259">
        <f>'Digitar aqui Notas e Pesos'!V31</f>
        <v>0</v>
      </c>
      <c r="AA31" s="116">
        <f>'Digitar aqui Notas e Pesos'!W31</f>
        <v>0</v>
      </c>
      <c r="AB31" s="553">
        <f>IF(AND(Z31&lt;&gt;0,AA31&lt;&gt;0,$C31&lt;&gt;0),(Z31*letrapeso(Z32)*$A$145+AA31*letrapeso(AA32)*$A$146)/(letrapeso(Z32)*$A$145+letrapeso(AA32)*$A$146),0)</f>
        <v>0</v>
      </c>
      <c r="AC31" s="259">
        <f>'Digitar aqui Notas e Pesos'!Y31</f>
        <v>0</v>
      </c>
      <c r="AD31" s="116">
        <f>'Digitar aqui Notas e Pesos'!Z31</f>
        <v>0</v>
      </c>
      <c r="AE31" s="553">
        <f>IF(AND(AC31&lt;&gt;0,AD31&lt;&gt;0,$C31&lt;&gt;0),(AC31*letrapeso(AC32)*$A$145+AD31*letrapeso(AD32)*$A$146)/(letrapeso(AC32)*$A$145+letrapeso(AD32)*$A$146),0)</f>
        <v>0</v>
      </c>
      <c r="AF31" s="259">
        <f>'Digitar aqui Notas e Pesos'!AB31</f>
        <v>0</v>
      </c>
      <c r="AG31" s="116">
        <f>'Digitar aqui Notas e Pesos'!AC31</f>
        <v>0</v>
      </c>
      <c r="AH31" s="573">
        <f>IF(AND(AF31&lt;&gt;0,AG31&lt;&gt;0,$C31&lt;&gt;0),(AF31*letrapeso(AF32)*$A$145+AG31*letrapeso(AG32)*$A$146)/(letrapeso(AF32)*$A$145+letrapeso(AG32)*$A$146),0)</f>
        <v>0</v>
      </c>
      <c r="AI31" s="8" t="str">
        <f>IF(letrapeso(C31),"Imprime","Não Imprime")</f>
        <v>Não Imprime</v>
      </c>
      <c r="AJ31" s="14" t="s">
        <v>28</v>
      </c>
      <c r="AK31" s="129">
        <f>G31*letrapeso(G32)*letrapeso($C31)</f>
        <v>0</v>
      </c>
      <c r="AL31" s="129">
        <f>H31*letrapeso(H32)*letrapeso($C31)</f>
        <v>0</v>
      </c>
      <c r="AM31" s="129">
        <f>J31*letrapeso(G32)*letrapeso($C31)</f>
        <v>0</v>
      </c>
      <c r="AN31" s="129">
        <f>K31*letrapeso(K32)*letrapeso($C31)</f>
        <v>0</v>
      </c>
      <c r="AO31" s="129">
        <f>L31*letrapeso(L32)*letrapeso($C31)</f>
        <v>0</v>
      </c>
      <c r="AP31" s="131"/>
      <c r="AQ31" s="129">
        <f>N31*letrapeso(N32)*letrapeso($C31)</f>
        <v>0</v>
      </c>
      <c r="AR31" s="129">
        <f>O31*letrapeso(O32)*letrapeso($C31)</f>
        <v>0</v>
      </c>
      <c r="AS31" s="131"/>
      <c r="AT31" s="129">
        <f>Q31*letrapeso(Q32)*letrapeso($C31)</f>
        <v>0</v>
      </c>
      <c r="AU31" s="129">
        <f>R31*letrapeso(R32)*letrapeso($C31)</f>
        <v>0</v>
      </c>
      <c r="AV31" s="131"/>
      <c r="AW31" s="129">
        <f>T31*letrapeso(T32)*letrapeso($C31)</f>
        <v>0</v>
      </c>
      <c r="AX31" s="129">
        <f>U31*letrapeso(U32)*letrapeso($C31)</f>
        <v>0</v>
      </c>
      <c r="AY31" s="131"/>
      <c r="AZ31" s="129">
        <f>W31*letrapeso(W32)*letrapeso($C31)</f>
        <v>0</v>
      </c>
      <c r="BA31" s="129">
        <f>X31*letrapeso(X32)*letrapeso($C31)</f>
        <v>0</v>
      </c>
      <c r="BB31" s="131"/>
      <c r="BC31" s="129">
        <f>Z31*letrapeso(Z32)*letrapeso($C31)</f>
        <v>0</v>
      </c>
      <c r="BD31" s="129">
        <f>AA31*letrapeso(AA32)*letrapeso($C31)</f>
        <v>0</v>
      </c>
      <c r="BE31" s="131"/>
      <c r="BF31" s="129">
        <f>AC31*letrapeso(AC32)*letrapeso($C31)</f>
        <v>0</v>
      </c>
      <c r="BG31" s="129">
        <f>AD31*letrapeso(AD32)*letrapeso($C31)</f>
        <v>0</v>
      </c>
      <c r="BH31" s="131"/>
      <c r="BI31" s="129">
        <f>AF31*letrapeso(AF32)*letrapeso($C31)</f>
        <v>0</v>
      </c>
      <c r="BJ31" s="129">
        <f>AG31*letrapeso(AG32)*letrapeso($C31)</f>
        <v>0</v>
      </c>
      <c r="BK31" s="131"/>
      <c r="BL31" s="171">
        <f>letrapeso(G32)</f>
        <v>0</v>
      </c>
      <c r="BM31" s="171">
        <f>letrapeso(H32)</f>
        <v>0</v>
      </c>
      <c r="BN31" s="41"/>
      <c r="BO31" s="171">
        <f>letrapeso(K32)</f>
        <v>0</v>
      </c>
      <c r="BP31" s="171">
        <f>letrapeso(L32)</f>
        <v>0</v>
      </c>
      <c r="BQ31" s="41"/>
      <c r="BR31" s="171">
        <f>letrapeso(N32)</f>
        <v>0</v>
      </c>
      <c r="BS31" s="171">
        <f>letrapeso(O32)</f>
        <v>0</v>
      </c>
      <c r="BT31" s="41"/>
      <c r="BU31" s="171">
        <f>letrapeso(Q32)</f>
        <v>0</v>
      </c>
      <c r="BV31" s="171">
        <f>letrapeso(R32)</f>
        <v>0</v>
      </c>
      <c r="BW31" s="41"/>
      <c r="BX31" s="171">
        <f>letrapeso(T32)</f>
        <v>0</v>
      </c>
      <c r="BY31" s="171">
        <f>letrapeso(U32)</f>
        <v>0</v>
      </c>
      <c r="BZ31" s="41"/>
      <c r="CA31" s="171">
        <f>letrapeso(W32)</f>
        <v>0</v>
      </c>
      <c r="CB31" s="171">
        <f>letrapeso(X32)</f>
        <v>0</v>
      </c>
      <c r="CC31" s="41"/>
      <c r="CD31" s="171">
        <f>letrapeso(Z32)</f>
        <v>0</v>
      </c>
      <c r="CE31" s="171">
        <f>letrapeso(AA32)</f>
        <v>0</v>
      </c>
      <c r="CF31" s="41"/>
      <c r="CG31" s="171">
        <f>letrapeso(AC32)</f>
        <v>0</v>
      </c>
      <c r="CH31" s="171">
        <f>letrapeso(AD32)</f>
        <v>0</v>
      </c>
      <c r="CI31" s="41"/>
      <c r="CJ31" s="171">
        <f>letrapeso(AF32)</f>
        <v>0</v>
      </c>
      <c r="CK31" s="171">
        <f>letrapeso(AG32)</f>
        <v>0</v>
      </c>
      <c r="CL31" s="41"/>
      <c r="CM31" s="41">
        <f>IF(ISTEXT($C31),(BL31+BO31+BR31+BU31+BX31+CA31+CD31+CG31+CJ31),0)</f>
        <v>0</v>
      </c>
      <c r="CN31" s="41">
        <f>IF(ISTEXT($C31),(BM31+BP31+BS31+BV31+BY31+CB31+CE31+CH31+CK31),0)</f>
        <v>0</v>
      </c>
    </row>
    <row r="32" spans="1:92" ht="15.75" hidden="1" thickBot="1" x14ac:dyDescent="0.25">
      <c r="A32" s="537" t="str">
        <f>TEXT(D31,"0,00")&amp;"       "&amp;TEXT(E31,"0,00")&amp;"       "&amp;TEXT(F31,"0,00")</f>
        <v>0,00       0,00       0,00</v>
      </c>
      <c r="B32" s="538"/>
      <c r="C32" s="230"/>
      <c r="D32" s="210"/>
      <c r="E32" s="208">
        <f>IF(ISTEXT($C32),(H32*letrapeso(H33)+#REF!*letrapeso(#REF!)+L32*letrapeso(L33)+O32*letrapeso(O33)+R32*letrapeso(R33)+#REF!*letrapeso(#REF!)+U32*letrapeso(U33)+X32*letrapeso(X33)+AA32*letrapeso(AA33)+AD32*letrapeso(AD33)+AG32*letrapeso(AG33))/(letrapeso(H33)+letrapeso(#REF!)+letrapeso(L33)+letrapeso(O33)+letrapeso(R33)+letrapeso(#REF!)+letrapeso(U33)+letrapeso(X33)+letrapeso(AA33)+letrapeso(AD33)+letrapeso(AG33)),0)</f>
        <v>0</v>
      </c>
      <c r="F32" s="209"/>
      <c r="G32" s="231" t="str">
        <f>PEsoLetra('Digitar aqui Notas e Pesos'!D32)</f>
        <v/>
      </c>
      <c r="H32" s="232" t="str">
        <f>PEsoLetra('Digitar aqui Notas e Pesos'!E32)</f>
        <v/>
      </c>
      <c r="I32" s="566"/>
      <c r="J32" s="490"/>
      <c r="K32" s="231" t="str">
        <f>PEsoLetra('Digitar aqui Notas e Pesos'!G32)</f>
        <v/>
      </c>
      <c r="L32" s="232" t="str">
        <f>PEsoLetra('Digitar aqui Notas e Pesos'!H32)</f>
        <v/>
      </c>
      <c r="M32" s="554"/>
      <c r="N32" s="231" t="str">
        <f>PEsoLetra('Digitar aqui Notas e Pesos'!J32)</f>
        <v/>
      </c>
      <c r="O32" s="232" t="str">
        <f>PEsoLetra('Digitar aqui Notas e Pesos'!K32)</f>
        <v/>
      </c>
      <c r="P32" s="554"/>
      <c r="Q32" s="231" t="str">
        <f>PEsoLetra('Digitar aqui Notas e Pesos'!M32)</f>
        <v/>
      </c>
      <c r="R32" s="232" t="str">
        <f>PEsoLetra('Digitar aqui Notas e Pesos'!N32)</f>
        <v/>
      </c>
      <c r="S32" s="554"/>
      <c r="T32" s="231" t="str">
        <f>PEsoLetra('Digitar aqui Notas e Pesos'!P32)</f>
        <v/>
      </c>
      <c r="U32" s="232" t="str">
        <f>PEsoLetra('Digitar aqui Notas e Pesos'!Q32)</f>
        <v/>
      </c>
      <c r="V32" s="554"/>
      <c r="W32" s="231" t="str">
        <f>PEsoLetra('Digitar aqui Notas e Pesos'!S32)</f>
        <v/>
      </c>
      <c r="X32" s="232" t="str">
        <f>PEsoLetra('Digitar aqui Notas e Pesos'!T32)</f>
        <v/>
      </c>
      <c r="Y32" s="554"/>
      <c r="Z32" s="231" t="str">
        <f>PEsoLetra('Digitar aqui Notas e Pesos'!V32)</f>
        <v/>
      </c>
      <c r="AA32" s="232" t="str">
        <f>PEsoLetra('Digitar aqui Notas e Pesos'!W32)</f>
        <v/>
      </c>
      <c r="AB32" s="554"/>
      <c r="AC32" s="231" t="str">
        <f>PEsoLetra('Digitar aqui Notas e Pesos'!Y32)</f>
        <v/>
      </c>
      <c r="AD32" s="232" t="str">
        <f>PEsoLetra('Digitar aqui Notas e Pesos'!Z32)</f>
        <v/>
      </c>
      <c r="AE32" s="554"/>
      <c r="AF32" s="231" t="str">
        <f>PEsoLetra('Digitar aqui Notas e Pesos'!AB32)</f>
        <v/>
      </c>
      <c r="AG32" s="232" t="str">
        <f>PEsoLetra('Digitar aqui Notas e Pesos'!AC32)</f>
        <v/>
      </c>
      <c r="AH32" s="574"/>
      <c r="AI32" s="19" t="str">
        <f>+AI31</f>
        <v>Não Imprime</v>
      </c>
      <c r="AJ32" s="1"/>
      <c r="AK32" s="130"/>
      <c r="AL32" s="130"/>
      <c r="AM32" s="130"/>
      <c r="AN32" s="130"/>
      <c r="AO32" s="130"/>
      <c r="AP32" s="131"/>
      <c r="AQ32" s="130"/>
      <c r="AR32" s="130"/>
      <c r="AS32" s="131"/>
      <c r="AT32" s="130"/>
      <c r="AU32" s="130"/>
      <c r="AV32" s="131"/>
      <c r="AW32" s="130"/>
      <c r="AX32" s="130"/>
      <c r="AY32" s="131"/>
      <c r="AZ32" s="130"/>
      <c r="BA32" s="130"/>
      <c r="BB32" s="131"/>
      <c r="BC32" s="130"/>
      <c r="BD32" s="130"/>
      <c r="BE32" s="131"/>
      <c r="BF32" s="130"/>
      <c r="BG32" s="130"/>
      <c r="BH32" s="131"/>
      <c r="BI32" s="130"/>
      <c r="BJ32" s="130"/>
      <c r="BK32" s="131"/>
      <c r="CM32" s="28"/>
      <c r="CN32" s="28"/>
    </row>
    <row r="33" spans="1:92" ht="15.75" hidden="1" thickBot="1" x14ac:dyDescent="0.25">
      <c r="A33" s="546" t="str">
        <f>'Digitar aqui Notas e Pesos'!A33</f>
        <v>Nome da Atividade 6 da Unidade 1</v>
      </c>
      <c r="B33" s="547"/>
      <c r="C33" s="229">
        <f>IF('Digitar aqui Notas e Pesos'!C33,PEsoLetra('Digitar aqui Notas e Pesos'!C33),0)</f>
        <v>0</v>
      </c>
      <c r="D33" s="208">
        <f>IF(ISTEXT($C33),(G33*letrapeso(G34)+K33*letrapeso(K34)+N33*letrapeso(N34)+Q33*letrapeso(Q34)+T33*letrapeso(T34)+W33*letrapeso(W34)+Z33*letrapeso(Z34)+AC33*letrapeso(AC34)+AF33*letrapeso(AF34))/(letrapeso(G34)+letrapeso(K34)+letrapeso(N34)+letrapeso(Q34)+letrapeso(T34)+letrapeso(W34)+letrapeso(Z34)+letrapeso(AC34)+letrapeso(AF34)),0)</f>
        <v>0</v>
      </c>
      <c r="E33" s="208">
        <f>IF(ISTEXT($C33),(H33*letrapeso(H34)+L33*letrapeso(L34)+O33*letrapeso(O34)+R33*letrapeso(R34)+U33*letrapeso(U34)+X33*letrapeso(X34)+AA33*letrapeso(AA34)+AD33*letrapeso(AD34)+AG33*letrapeso(AG34))/(letrapeso(H34)+letrapeso(L34)+letrapeso(O34)+letrapeso(R34)+letrapeso(U34)+letrapeso(X34)+letrapeso(AA34)+letrapeso(AD34)+letrapeso(AG34)),0)</f>
        <v>0</v>
      </c>
      <c r="F33" s="209">
        <f>IF(ISTEXT($C33),(D33*$A$145+E33*$A$146),0)</f>
        <v>0</v>
      </c>
      <c r="G33" s="259">
        <f>'Digitar aqui Notas e Pesos'!D33</f>
        <v>0</v>
      </c>
      <c r="H33" s="116">
        <f>'Digitar aqui Notas e Pesos'!E33</f>
        <v>0</v>
      </c>
      <c r="I33" s="565">
        <f>IF(AND(G33&lt;&gt;0,H33&lt;&gt;0,$C33&lt;&gt;0),(G33*letrapeso(G34)*$A$145+H33*letrapeso(H34)*$A$146)/(letrapeso(G34)*$A$145+letrapeso(H34)*$A$146),0)</f>
        <v>0</v>
      </c>
      <c r="J33" s="259">
        <f>'Digitar aqui Notas e Pesos'!F33</f>
        <v>0</v>
      </c>
      <c r="K33" s="259">
        <f>'Digitar aqui Notas e Pesos'!G33</f>
        <v>0</v>
      </c>
      <c r="L33" s="116">
        <f>'Digitar aqui Notas e Pesos'!H33</f>
        <v>0</v>
      </c>
      <c r="M33" s="553">
        <f>IF(AND(K33&lt;&gt;0,L33&lt;&gt;0,$C33&lt;&gt;0),(K33*letrapeso(K34)*$A$145+L33*letrapeso(L34)*$A$146)/(letrapeso(K34)*$A$145+letrapeso(L34)*$A$146),0)</f>
        <v>0</v>
      </c>
      <c r="N33" s="259">
        <f>'Digitar aqui Notas e Pesos'!J33</f>
        <v>0</v>
      </c>
      <c r="O33" s="116">
        <f>'Digitar aqui Notas e Pesos'!K33</f>
        <v>0</v>
      </c>
      <c r="P33" s="553">
        <f>IF(AND(N33&lt;&gt;0,O33&lt;&gt;0,$C33&lt;&gt;0),(N33*letrapeso(N34)*$A$145+O33*letrapeso(O34)*$A$146)/(letrapeso(N34)*$A$145+letrapeso(O34)*$A$146),0)</f>
        <v>0</v>
      </c>
      <c r="Q33" s="259">
        <f>'Digitar aqui Notas e Pesos'!M33</f>
        <v>0</v>
      </c>
      <c r="R33" s="116">
        <f>'Digitar aqui Notas e Pesos'!N33</f>
        <v>0</v>
      </c>
      <c r="S33" s="553">
        <f>IF(AND(Q33&lt;&gt;0,R33&lt;&gt;0,$C33&lt;&gt;0),(Q33*letrapeso(Q34)*$A$145+R33*letrapeso(R34)*$A$146)/(letrapeso(Q34)*$A$145+letrapeso(R34)*$A$146),0)</f>
        <v>0</v>
      </c>
      <c r="T33" s="259">
        <f>'Digitar aqui Notas e Pesos'!P33</f>
        <v>0</v>
      </c>
      <c r="U33" s="116">
        <f>'Digitar aqui Notas e Pesos'!Q33</f>
        <v>0</v>
      </c>
      <c r="V33" s="553">
        <f>IF(AND(T33&lt;&gt;0,U33&lt;&gt;0,$C33&lt;&gt;0),(T33*letrapeso(T34)*$A$145+U33*letrapeso(U34)*$A$146)/(letrapeso(T34)*$A$145+letrapeso(U34)*$A$146),0)</f>
        <v>0</v>
      </c>
      <c r="W33" s="259">
        <f>'Digitar aqui Notas e Pesos'!S33</f>
        <v>0</v>
      </c>
      <c r="X33" s="116">
        <f>'Digitar aqui Notas e Pesos'!T33</f>
        <v>0</v>
      </c>
      <c r="Y33" s="553">
        <f>IF(AND(W33&lt;&gt;0,X33&lt;&gt;0,$C33&lt;&gt;0),(W33*letrapeso(W34)*$A$145+X33*letrapeso(X34)*$A$146)/(letrapeso(W34)*$A$145+letrapeso(X34)*$A$146),0)</f>
        <v>0</v>
      </c>
      <c r="Z33" s="259">
        <f>'Digitar aqui Notas e Pesos'!V33</f>
        <v>0</v>
      </c>
      <c r="AA33" s="116">
        <f>'Digitar aqui Notas e Pesos'!W33</f>
        <v>0</v>
      </c>
      <c r="AB33" s="553">
        <f>IF(AND(Z33&lt;&gt;0,AA33&lt;&gt;0,$C33&lt;&gt;0),(Z33*letrapeso(Z34)*$A$145+AA33*letrapeso(AA34)*$A$146)/(letrapeso(Z34)*$A$145+letrapeso(AA34)*$A$146),0)</f>
        <v>0</v>
      </c>
      <c r="AC33" s="259">
        <f>'Digitar aqui Notas e Pesos'!Y33</f>
        <v>0</v>
      </c>
      <c r="AD33" s="116">
        <f>'Digitar aqui Notas e Pesos'!Z33</f>
        <v>0</v>
      </c>
      <c r="AE33" s="553">
        <f>IF(AND(AC33&lt;&gt;0,AD33&lt;&gt;0,$C33&lt;&gt;0),(AC33*letrapeso(AC34)*$A$145+AD33*letrapeso(AD34)*$A$146)/(letrapeso(AC34)*$A$145+letrapeso(AD34)*$A$146),0)</f>
        <v>0</v>
      </c>
      <c r="AF33" s="259">
        <f>'Digitar aqui Notas e Pesos'!AB33</f>
        <v>0</v>
      </c>
      <c r="AG33" s="116">
        <f>'Digitar aqui Notas e Pesos'!AC33</f>
        <v>0</v>
      </c>
      <c r="AH33" s="573">
        <f>IF(AND(AF33&lt;&gt;0,AG33&lt;&gt;0,$C33&lt;&gt;0),(AF33*letrapeso(AF34)*$A$145+AG33*letrapeso(AG34)*$A$146)/(letrapeso(AF34)*$A$145+letrapeso(AG34)*$A$146),0)</f>
        <v>0</v>
      </c>
      <c r="AI33" s="8" t="str">
        <f>IF(letrapeso(C33),"Imprime","Não Imprime")</f>
        <v>Não Imprime</v>
      </c>
      <c r="AJ33" s="14" t="s">
        <v>28</v>
      </c>
      <c r="AK33" s="129">
        <f>G33*letrapeso(G34)*letrapeso($C33)</f>
        <v>0</v>
      </c>
      <c r="AL33" s="129">
        <f>H33*letrapeso(H34)*letrapeso($C33)</f>
        <v>0</v>
      </c>
      <c r="AM33" s="129">
        <f>J33*letrapeso(G34)*letrapeso($C33)</f>
        <v>0</v>
      </c>
      <c r="AN33" s="129">
        <f>K33*letrapeso(K34)*letrapeso($C33)</f>
        <v>0</v>
      </c>
      <c r="AO33" s="129">
        <f>L33*letrapeso(L34)*letrapeso($C33)</f>
        <v>0</v>
      </c>
      <c r="AP33" s="131"/>
      <c r="AQ33" s="129">
        <f>N33*letrapeso(N34)*letrapeso($C33)</f>
        <v>0</v>
      </c>
      <c r="AR33" s="129">
        <f>O33*letrapeso(O34)*letrapeso($C33)</f>
        <v>0</v>
      </c>
      <c r="AS33" s="131"/>
      <c r="AT33" s="129">
        <f>Q33*letrapeso(Q34)*letrapeso($C33)</f>
        <v>0</v>
      </c>
      <c r="AU33" s="129">
        <f>R33*letrapeso(R34)*letrapeso($C33)</f>
        <v>0</v>
      </c>
      <c r="AV33" s="131"/>
      <c r="AW33" s="129">
        <f>T33*letrapeso(T34)*letrapeso($C33)</f>
        <v>0</v>
      </c>
      <c r="AX33" s="129">
        <f>U33*letrapeso(U34)*letrapeso($C33)</f>
        <v>0</v>
      </c>
      <c r="AY33" s="131"/>
      <c r="AZ33" s="129">
        <f>W33*letrapeso(W34)*letrapeso($C33)</f>
        <v>0</v>
      </c>
      <c r="BA33" s="129">
        <f>X33*letrapeso(X34)*letrapeso($C33)</f>
        <v>0</v>
      </c>
      <c r="BB33" s="131"/>
      <c r="BC33" s="129">
        <f>Z33*letrapeso(Z34)*letrapeso($C33)</f>
        <v>0</v>
      </c>
      <c r="BD33" s="129">
        <f>AA33*letrapeso(AA34)*letrapeso($C33)</f>
        <v>0</v>
      </c>
      <c r="BE33" s="131"/>
      <c r="BF33" s="129">
        <f>AC33*letrapeso(AC34)*letrapeso($C33)</f>
        <v>0</v>
      </c>
      <c r="BG33" s="129">
        <f>AD33*letrapeso(AD34)*letrapeso($C33)</f>
        <v>0</v>
      </c>
      <c r="BH33" s="131"/>
      <c r="BI33" s="129">
        <f>AF33*letrapeso(AF34)*letrapeso($C33)</f>
        <v>0</v>
      </c>
      <c r="BJ33" s="129">
        <f>AG33*letrapeso(AG34)*letrapeso($C33)</f>
        <v>0</v>
      </c>
      <c r="BK33" s="131"/>
      <c r="BL33" s="171">
        <f>letrapeso(G34)</f>
        <v>0</v>
      </c>
      <c r="BM33" s="171">
        <f>letrapeso(H34)</f>
        <v>0</v>
      </c>
      <c r="BN33" s="41"/>
      <c r="BO33" s="171">
        <f>letrapeso(K34)</f>
        <v>0</v>
      </c>
      <c r="BP33" s="171">
        <f>letrapeso(L34)</f>
        <v>0</v>
      </c>
      <c r="BQ33" s="41"/>
      <c r="BR33" s="171">
        <f>letrapeso(N34)</f>
        <v>0</v>
      </c>
      <c r="BS33" s="171">
        <f>letrapeso(O34)</f>
        <v>0</v>
      </c>
      <c r="BT33" s="41"/>
      <c r="BU33" s="171">
        <f>letrapeso(Q34)</f>
        <v>0</v>
      </c>
      <c r="BV33" s="171">
        <f>letrapeso(R34)</f>
        <v>0</v>
      </c>
      <c r="BW33" s="41"/>
      <c r="BX33" s="171">
        <f>letrapeso(T34)</f>
        <v>0</v>
      </c>
      <c r="BY33" s="171">
        <f>letrapeso(U34)</f>
        <v>0</v>
      </c>
      <c r="BZ33" s="41"/>
      <c r="CA33" s="171">
        <f>letrapeso(W34)</f>
        <v>0</v>
      </c>
      <c r="CB33" s="171">
        <f>letrapeso(X34)</f>
        <v>0</v>
      </c>
      <c r="CC33" s="41"/>
      <c r="CD33" s="171">
        <f>letrapeso(Z34)</f>
        <v>0</v>
      </c>
      <c r="CE33" s="171">
        <f>letrapeso(AA34)</f>
        <v>0</v>
      </c>
      <c r="CF33" s="41"/>
      <c r="CG33" s="171">
        <f>letrapeso(AC34)</f>
        <v>0</v>
      </c>
      <c r="CH33" s="171">
        <f>letrapeso(AD34)</f>
        <v>0</v>
      </c>
      <c r="CI33" s="41"/>
      <c r="CJ33" s="171">
        <f>letrapeso(AF34)</f>
        <v>0</v>
      </c>
      <c r="CK33" s="171">
        <f>letrapeso(AG34)</f>
        <v>0</v>
      </c>
      <c r="CL33" s="41"/>
      <c r="CM33" s="41">
        <f>IF(ISTEXT($C33),(BL33+BO33+BR33+BU33+BX33+CA33+CD33+CG33+CJ33),0)</f>
        <v>0</v>
      </c>
      <c r="CN33" s="41">
        <f>IF(ISTEXT($C33),(BM33+BP33+BS33+BV33+BY33+CB33+CE33+CH33+CK33),0)</f>
        <v>0</v>
      </c>
    </row>
    <row r="34" spans="1:92" ht="15.75" hidden="1" thickBot="1" x14ac:dyDescent="0.25">
      <c r="A34" s="537" t="str">
        <f>TEXT(D33,"0,00")&amp;"       "&amp;TEXT(E33,"0,00")&amp;"       "&amp;TEXT(F33,"0,00")</f>
        <v>0,00       0,00       0,00</v>
      </c>
      <c r="B34" s="538"/>
      <c r="C34" s="230"/>
      <c r="D34" s="210"/>
      <c r="E34" s="208">
        <f>IF(ISTEXT($C34),(H34*letrapeso(H35)+#REF!*letrapeso(#REF!)+L34*letrapeso(L35)+O34*letrapeso(O35)+R34*letrapeso(R35)+#REF!*letrapeso(#REF!)+U34*letrapeso(U35)+X34*letrapeso(X35)+AA34*letrapeso(AA35)+AD34*letrapeso(AD35)+AG34*letrapeso(AG35))/(letrapeso(H35)+letrapeso(#REF!)+letrapeso(L35)+letrapeso(O35)+letrapeso(R35)+letrapeso(#REF!)+letrapeso(U35)+letrapeso(X35)+letrapeso(AA35)+letrapeso(AD35)+letrapeso(AG35)),0)</f>
        <v>0</v>
      </c>
      <c r="F34" s="209"/>
      <c r="G34" s="231" t="str">
        <f>PEsoLetra('Digitar aqui Notas e Pesos'!D34)</f>
        <v/>
      </c>
      <c r="H34" s="232" t="str">
        <f>PEsoLetra('Digitar aqui Notas e Pesos'!E34)</f>
        <v/>
      </c>
      <c r="I34" s="566"/>
      <c r="J34" s="490"/>
      <c r="K34" s="231" t="str">
        <f>PEsoLetra('Digitar aqui Notas e Pesos'!G34)</f>
        <v/>
      </c>
      <c r="L34" s="232" t="str">
        <f>PEsoLetra('Digitar aqui Notas e Pesos'!H34)</f>
        <v/>
      </c>
      <c r="M34" s="554"/>
      <c r="N34" s="231" t="str">
        <f>PEsoLetra('Digitar aqui Notas e Pesos'!J34)</f>
        <v/>
      </c>
      <c r="O34" s="232" t="str">
        <f>PEsoLetra('Digitar aqui Notas e Pesos'!K34)</f>
        <v/>
      </c>
      <c r="P34" s="554"/>
      <c r="Q34" s="231" t="str">
        <f>PEsoLetra('Digitar aqui Notas e Pesos'!M34)</f>
        <v/>
      </c>
      <c r="R34" s="232" t="str">
        <f>PEsoLetra('Digitar aqui Notas e Pesos'!N34)</f>
        <v/>
      </c>
      <c r="S34" s="554"/>
      <c r="T34" s="231" t="str">
        <f>PEsoLetra('Digitar aqui Notas e Pesos'!P34)</f>
        <v/>
      </c>
      <c r="U34" s="232" t="str">
        <f>PEsoLetra('Digitar aqui Notas e Pesos'!Q34)</f>
        <v/>
      </c>
      <c r="V34" s="554"/>
      <c r="W34" s="231" t="str">
        <f>PEsoLetra('Digitar aqui Notas e Pesos'!S34)</f>
        <v/>
      </c>
      <c r="X34" s="232" t="str">
        <f>PEsoLetra('Digitar aqui Notas e Pesos'!T34)</f>
        <v/>
      </c>
      <c r="Y34" s="554"/>
      <c r="Z34" s="231" t="str">
        <f>PEsoLetra('Digitar aqui Notas e Pesos'!V34)</f>
        <v/>
      </c>
      <c r="AA34" s="232" t="str">
        <f>PEsoLetra('Digitar aqui Notas e Pesos'!W34)</f>
        <v/>
      </c>
      <c r="AB34" s="554"/>
      <c r="AC34" s="231" t="str">
        <f>PEsoLetra('Digitar aqui Notas e Pesos'!Y34)</f>
        <v/>
      </c>
      <c r="AD34" s="232" t="str">
        <f>PEsoLetra('Digitar aqui Notas e Pesos'!Z34)</f>
        <v/>
      </c>
      <c r="AE34" s="554"/>
      <c r="AF34" s="231" t="str">
        <f>PEsoLetra('Digitar aqui Notas e Pesos'!AB34)</f>
        <v/>
      </c>
      <c r="AG34" s="232" t="str">
        <f>PEsoLetra('Digitar aqui Notas e Pesos'!AC34)</f>
        <v/>
      </c>
      <c r="AH34" s="574"/>
      <c r="AI34" s="19" t="str">
        <f>+AI33</f>
        <v>Não Imprime</v>
      </c>
      <c r="AJ34" s="1"/>
      <c r="AK34" s="130"/>
      <c r="AL34" s="130"/>
      <c r="AM34" s="130"/>
      <c r="AN34" s="130"/>
      <c r="AO34" s="130"/>
      <c r="AP34" s="131"/>
      <c r="AQ34" s="130"/>
      <c r="AR34" s="130"/>
      <c r="AS34" s="131"/>
      <c r="AT34" s="130"/>
      <c r="AU34" s="130"/>
      <c r="AV34" s="131"/>
      <c r="AW34" s="130"/>
      <c r="AX34" s="130"/>
      <c r="AY34" s="131"/>
      <c r="AZ34" s="130"/>
      <c r="BA34" s="130"/>
      <c r="BB34" s="131"/>
      <c r="BC34" s="130"/>
      <c r="BD34" s="130"/>
      <c r="BE34" s="131"/>
      <c r="BF34" s="130"/>
      <c r="BG34" s="130"/>
      <c r="BH34" s="131"/>
      <c r="BI34" s="130"/>
      <c r="BJ34" s="130"/>
      <c r="BK34" s="131"/>
      <c r="CM34" s="171"/>
      <c r="CN34" s="28"/>
    </row>
    <row r="35" spans="1:92" ht="15.75" hidden="1" thickBot="1" x14ac:dyDescent="0.25">
      <c r="A35" s="546" t="str">
        <f>'Digitar aqui Notas e Pesos'!A35</f>
        <v>Nome da Atividade 7 da Unidade 1</v>
      </c>
      <c r="B35" s="547"/>
      <c r="C35" s="229">
        <f>IF('Digitar aqui Notas e Pesos'!C35,PEsoLetra('Digitar aqui Notas e Pesos'!C35),0)</f>
        <v>0</v>
      </c>
      <c r="D35" s="208">
        <f>IF(ISTEXT($C35),(G35*letrapeso(G36)+K35*letrapeso(K36)+N35*letrapeso(N36)+Q35*letrapeso(Q36)+T35*letrapeso(T36)+W35*letrapeso(W36)+Z35*letrapeso(Z36)+AC35*letrapeso(AC36)+AF35*letrapeso(AF36))/(letrapeso(G36)+letrapeso(K36)+letrapeso(N36)+letrapeso(Q36)+letrapeso(T36)+letrapeso(W36)+letrapeso(Z36)+letrapeso(AC36)+letrapeso(AF36)),0)</f>
        <v>0</v>
      </c>
      <c r="E35" s="208">
        <f>IF(ISTEXT($C35),(H35*letrapeso(H36)+L35*letrapeso(L36)+O35*letrapeso(O36)+R35*letrapeso(R36)+U35*letrapeso(U36)+X35*letrapeso(X36)+AA35*letrapeso(AA36)+AD35*letrapeso(AD36)+AG35*letrapeso(AG36))/(letrapeso(H36)+letrapeso(L36)+letrapeso(O36)+letrapeso(R36)+letrapeso(U36)+letrapeso(X36)+letrapeso(AA36)+letrapeso(AD36)+letrapeso(AG36)),0)</f>
        <v>0</v>
      </c>
      <c r="F35" s="209">
        <f>IF(ISTEXT($C35),(D35*$A$145+E35*$A$146),0)</f>
        <v>0</v>
      </c>
      <c r="G35" s="115">
        <f>'Digitar aqui Notas e Pesos'!D35</f>
        <v>0</v>
      </c>
      <c r="H35" s="116">
        <f>'Digitar aqui Notas e Pesos'!E35</f>
        <v>0</v>
      </c>
      <c r="I35" s="565">
        <f>IF(AND(G35&lt;&gt;0,H35&lt;&gt;0,$C35&lt;&gt;0),(G35*letrapeso(G36)*$A$145+H35*letrapeso(H36)*$A$146)/(letrapeso(G36)*$A$145+letrapeso(H36)*$A$146),0)</f>
        <v>0</v>
      </c>
      <c r="J35" s="259">
        <f>'Digitar aqui Notas e Pesos'!F35</f>
        <v>0</v>
      </c>
      <c r="K35" s="115">
        <f>'Digitar aqui Notas e Pesos'!G35</f>
        <v>0</v>
      </c>
      <c r="L35" s="116">
        <f>'Digitar aqui Notas e Pesos'!H35</f>
        <v>0</v>
      </c>
      <c r="M35" s="553">
        <f>IF(AND(K35&lt;&gt;0,L35&lt;&gt;0,$C35&lt;&gt;0),(K35*letrapeso(K36)*$A$145+L35*letrapeso(L36)*$A$146)/(letrapeso(K36)*$A$145+letrapeso(L36)*$A$146),0)</f>
        <v>0</v>
      </c>
      <c r="N35" s="115">
        <f>'Digitar aqui Notas e Pesos'!J35</f>
        <v>0</v>
      </c>
      <c r="O35" s="116">
        <f>'Digitar aqui Notas e Pesos'!K35</f>
        <v>0</v>
      </c>
      <c r="P35" s="553">
        <f>IF(AND(N35&lt;&gt;0,O35&lt;&gt;0,$C35&lt;&gt;0),(N35*letrapeso(N36)*$A$145+O35*letrapeso(O36)*$A$146)/(letrapeso(N36)*$A$145+letrapeso(O36)*$A$146),0)</f>
        <v>0</v>
      </c>
      <c r="Q35" s="115">
        <f>'Digitar aqui Notas e Pesos'!M35</f>
        <v>0</v>
      </c>
      <c r="R35" s="116">
        <f>'Digitar aqui Notas e Pesos'!N35</f>
        <v>0</v>
      </c>
      <c r="S35" s="553">
        <f>IF(AND(Q35&lt;&gt;0,R35&lt;&gt;0,$C35&lt;&gt;0),(Q35*letrapeso(Q36)*$A$145+R35*letrapeso(R36)*$A$146)/(letrapeso(Q36)*$A$145+letrapeso(R36)*$A$146),0)</f>
        <v>0</v>
      </c>
      <c r="T35" s="115">
        <f>'Digitar aqui Notas e Pesos'!P35</f>
        <v>0</v>
      </c>
      <c r="U35" s="116">
        <f>'Digitar aqui Notas e Pesos'!Q35</f>
        <v>0</v>
      </c>
      <c r="V35" s="553">
        <f>IF(AND(T35&lt;&gt;0,U35&lt;&gt;0,$C35&lt;&gt;0),(T35*letrapeso(T36)*$A$145+U35*letrapeso(U36)*$A$146)/(letrapeso(T36)*$A$145+letrapeso(U36)*$A$146),0)</f>
        <v>0</v>
      </c>
      <c r="W35" s="115">
        <f>'Digitar aqui Notas e Pesos'!S35</f>
        <v>0</v>
      </c>
      <c r="X35" s="116">
        <f>'Digitar aqui Notas e Pesos'!T35</f>
        <v>0</v>
      </c>
      <c r="Y35" s="553">
        <f>IF(AND(W35&lt;&gt;0,X35&lt;&gt;0,$C35&lt;&gt;0),(W35*letrapeso(W36)*$A$145+X35*letrapeso(X36)*$A$146)/(letrapeso(W36)*$A$145+letrapeso(X36)*$A$146),0)</f>
        <v>0</v>
      </c>
      <c r="Z35" s="115">
        <f>'Digitar aqui Notas e Pesos'!V35</f>
        <v>0</v>
      </c>
      <c r="AA35" s="116">
        <f>'Digitar aqui Notas e Pesos'!W35</f>
        <v>0</v>
      </c>
      <c r="AB35" s="553">
        <f>IF(AND(Z35&lt;&gt;0,AA35&lt;&gt;0,$C35&lt;&gt;0),(Z35*letrapeso(Z36)*$A$145+AA35*letrapeso(AA36)*$A$146)/(letrapeso(Z36)*$A$145+letrapeso(AA36)*$A$146),0)</f>
        <v>0</v>
      </c>
      <c r="AC35" s="115">
        <f>'Digitar aqui Notas e Pesos'!Y35</f>
        <v>0</v>
      </c>
      <c r="AD35" s="116">
        <f>'Digitar aqui Notas e Pesos'!Z35</f>
        <v>0</v>
      </c>
      <c r="AE35" s="553">
        <f>IF(AND(AC35&lt;&gt;0,AD35&lt;&gt;0,$C35&lt;&gt;0),(AC35*letrapeso(AC36)*$A$145+AD35*letrapeso(AD36)*$A$146)/(letrapeso(AC36)*$A$145+letrapeso(AD36)*$A$146),0)</f>
        <v>0</v>
      </c>
      <c r="AF35" s="115">
        <f>'Digitar aqui Notas e Pesos'!AB35</f>
        <v>0</v>
      </c>
      <c r="AG35" s="116">
        <f>'Digitar aqui Notas e Pesos'!AC35</f>
        <v>0</v>
      </c>
      <c r="AH35" s="573">
        <f>IF(AND(AF35&lt;&gt;0,AG35&lt;&gt;0,$C35&lt;&gt;0),(AF35*letrapeso(AF36)*$A$145+AG35*letrapeso(AG36)*$A$146)/(letrapeso(AF36)*$A$145+letrapeso(AG36)*$A$146),0)</f>
        <v>0</v>
      </c>
      <c r="AI35" s="8" t="str">
        <f>IF(letrapeso(C35),"Imprime","Não Imprime")</f>
        <v>Não Imprime</v>
      </c>
      <c r="AJ35" s="14" t="s">
        <v>28</v>
      </c>
      <c r="AK35" s="129">
        <f>G35*letrapeso(G36)*letrapeso($C35)</f>
        <v>0</v>
      </c>
      <c r="AL35" s="129">
        <f>H35*letrapeso(H36)*letrapeso($C35)</f>
        <v>0</v>
      </c>
      <c r="AM35" s="129">
        <f>J35*letrapeso(G36)*letrapeso($C35)</f>
        <v>0</v>
      </c>
      <c r="AN35" s="129">
        <f>K35*letrapeso(K36)*letrapeso($C35)</f>
        <v>0</v>
      </c>
      <c r="AO35" s="129">
        <f>L35*letrapeso(L36)*letrapeso($C35)</f>
        <v>0</v>
      </c>
      <c r="AP35" s="131"/>
      <c r="AQ35" s="129">
        <f>N35*letrapeso(N36)*letrapeso($C35)</f>
        <v>0</v>
      </c>
      <c r="AR35" s="129">
        <f>O35*letrapeso(O36)*letrapeso($C35)</f>
        <v>0</v>
      </c>
      <c r="AS35" s="131"/>
      <c r="AT35" s="129">
        <f>Q35*letrapeso(Q36)*letrapeso($C35)</f>
        <v>0</v>
      </c>
      <c r="AU35" s="129">
        <f>R35*letrapeso(R36)*letrapeso($C35)</f>
        <v>0</v>
      </c>
      <c r="AV35" s="131"/>
      <c r="AW35" s="129">
        <f>T35*letrapeso(T36)*letrapeso($C35)</f>
        <v>0</v>
      </c>
      <c r="AX35" s="129">
        <f>U35*letrapeso(U36)*letrapeso($C35)</f>
        <v>0</v>
      </c>
      <c r="AY35" s="131"/>
      <c r="AZ35" s="129">
        <f>W35*letrapeso(W36)*letrapeso($C35)</f>
        <v>0</v>
      </c>
      <c r="BA35" s="129">
        <f>X35*letrapeso(X36)*letrapeso($C35)</f>
        <v>0</v>
      </c>
      <c r="BB35" s="131"/>
      <c r="BC35" s="129">
        <f>Z35*letrapeso(Z36)*letrapeso($C35)</f>
        <v>0</v>
      </c>
      <c r="BD35" s="129">
        <f>AA35*letrapeso(AA36)*letrapeso($C35)</f>
        <v>0</v>
      </c>
      <c r="BE35" s="131"/>
      <c r="BF35" s="129">
        <f>AC35*letrapeso(AC36)*letrapeso($C35)</f>
        <v>0</v>
      </c>
      <c r="BG35" s="129">
        <f>AD35*letrapeso(AD36)*letrapeso($C35)</f>
        <v>0</v>
      </c>
      <c r="BH35" s="131"/>
      <c r="BI35" s="129">
        <f>AF35*letrapeso(AF36)*letrapeso($C35)</f>
        <v>0</v>
      </c>
      <c r="BJ35" s="129">
        <f>AG35*letrapeso(AG36)*letrapeso($C35)</f>
        <v>0</v>
      </c>
      <c r="BK35" s="131"/>
      <c r="BL35" s="171">
        <f>letrapeso(G36)</f>
        <v>0</v>
      </c>
      <c r="BM35" s="171">
        <f>letrapeso(H36)</f>
        <v>0</v>
      </c>
      <c r="BN35" s="41"/>
      <c r="BO35" s="171">
        <f>letrapeso(K36)</f>
        <v>0</v>
      </c>
      <c r="BP35" s="171">
        <f>letrapeso(L36)</f>
        <v>0</v>
      </c>
      <c r="BQ35" s="41"/>
      <c r="BR35" s="171">
        <f>letrapeso(N36)</f>
        <v>0</v>
      </c>
      <c r="BS35" s="171">
        <f>letrapeso(O36)</f>
        <v>0</v>
      </c>
      <c r="BT35" s="41"/>
      <c r="BU35" s="171">
        <f>letrapeso(Q36)</f>
        <v>0</v>
      </c>
      <c r="BV35" s="171">
        <f>letrapeso(R36)</f>
        <v>0</v>
      </c>
      <c r="BW35" s="41"/>
      <c r="BX35" s="171">
        <f>letrapeso(T36)</f>
        <v>0</v>
      </c>
      <c r="BY35" s="171">
        <f>letrapeso(U36)</f>
        <v>0</v>
      </c>
      <c r="BZ35" s="41"/>
      <c r="CA35" s="171">
        <f>letrapeso(W36)</f>
        <v>0</v>
      </c>
      <c r="CB35" s="171">
        <f>letrapeso(X36)</f>
        <v>0</v>
      </c>
      <c r="CC35" s="41"/>
      <c r="CD35" s="171">
        <f>letrapeso(Z36)</f>
        <v>0</v>
      </c>
      <c r="CE35" s="171">
        <f>letrapeso(AA36)</f>
        <v>0</v>
      </c>
      <c r="CF35" s="41"/>
      <c r="CG35" s="171">
        <f>letrapeso(AC36)</f>
        <v>0</v>
      </c>
      <c r="CH35" s="171">
        <f>letrapeso(AD36)</f>
        <v>0</v>
      </c>
      <c r="CI35" s="41"/>
      <c r="CJ35" s="171">
        <f>letrapeso(AF36)</f>
        <v>0</v>
      </c>
      <c r="CK35" s="171">
        <f>letrapeso(AG36)</f>
        <v>0</v>
      </c>
      <c r="CL35" s="41"/>
      <c r="CM35" s="41">
        <f>IF(ISTEXT($C35),(BL35+BO35+BR35+BU35+BX35+CA35+CD35+CG35+CJ35),0)</f>
        <v>0</v>
      </c>
      <c r="CN35" s="41">
        <f>IF(ISTEXT($C35),(BM35+BP35+BS35+BV35+BY35+CB35+CE35+CH35+CK35),0)</f>
        <v>0</v>
      </c>
    </row>
    <row r="36" spans="1:92" ht="15.75" hidden="1" thickBot="1" x14ac:dyDescent="0.25">
      <c r="A36" s="537" t="str">
        <f>TEXT(D35,"0,00")&amp;"       "&amp;TEXT(E35,"0,00")&amp;"       "&amp;TEXT(F35,"0,00")</f>
        <v>0,00       0,00       0,00</v>
      </c>
      <c r="B36" s="538"/>
      <c r="C36" s="233"/>
      <c r="D36" s="210"/>
      <c r="E36" s="208"/>
      <c r="F36" s="209"/>
      <c r="G36" s="231" t="str">
        <f>PEsoLetra('Digitar aqui Notas e Pesos'!D36)</f>
        <v/>
      </c>
      <c r="H36" s="232" t="str">
        <f>PEsoLetra('Digitar aqui Notas e Pesos'!E36)</f>
        <v/>
      </c>
      <c r="I36" s="565"/>
      <c r="J36" s="491"/>
      <c r="K36" s="231" t="str">
        <f>PEsoLetra('Digitar aqui Notas e Pesos'!G36)</f>
        <v/>
      </c>
      <c r="L36" s="232" t="str">
        <f>PEsoLetra('Digitar aqui Notas e Pesos'!H36)</f>
        <v/>
      </c>
      <c r="M36" s="553"/>
      <c r="N36" s="231" t="str">
        <f>PEsoLetra('Digitar aqui Notas e Pesos'!J36)</f>
        <v/>
      </c>
      <c r="O36" s="232" t="str">
        <f>PEsoLetra('Digitar aqui Notas e Pesos'!K36)</f>
        <v/>
      </c>
      <c r="P36" s="553"/>
      <c r="Q36" s="231" t="str">
        <f>PEsoLetra('Digitar aqui Notas e Pesos'!M36)</f>
        <v/>
      </c>
      <c r="R36" s="232" t="str">
        <f>PEsoLetra('Digitar aqui Notas e Pesos'!N36)</f>
        <v/>
      </c>
      <c r="S36" s="553"/>
      <c r="T36" s="231" t="str">
        <f>PEsoLetra('Digitar aqui Notas e Pesos'!P36)</f>
        <v/>
      </c>
      <c r="U36" s="232" t="str">
        <f>PEsoLetra('Digitar aqui Notas e Pesos'!Q36)</f>
        <v/>
      </c>
      <c r="V36" s="553"/>
      <c r="W36" s="231" t="str">
        <f>PEsoLetra('Digitar aqui Notas e Pesos'!S36)</f>
        <v/>
      </c>
      <c r="X36" s="232" t="str">
        <f>PEsoLetra('Digitar aqui Notas e Pesos'!T36)</f>
        <v/>
      </c>
      <c r="Y36" s="553"/>
      <c r="Z36" s="231" t="str">
        <f>PEsoLetra('Digitar aqui Notas e Pesos'!V36)</f>
        <v/>
      </c>
      <c r="AA36" s="232" t="str">
        <f>PEsoLetra('Digitar aqui Notas e Pesos'!W36)</f>
        <v/>
      </c>
      <c r="AB36" s="553"/>
      <c r="AC36" s="231" t="str">
        <f>PEsoLetra('Digitar aqui Notas e Pesos'!Y36)</f>
        <v/>
      </c>
      <c r="AD36" s="232" t="str">
        <f>PEsoLetra('Digitar aqui Notas e Pesos'!Z36)</f>
        <v/>
      </c>
      <c r="AE36" s="553"/>
      <c r="AF36" s="231" t="str">
        <f>PEsoLetra('Digitar aqui Notas e Pesos'!AB36)</f>
        <v/>
      </c>
      <c r="AG36" s="232" t="str">
        <f>PEsoLetra('Digitar aqui Notas e Pesos'!AC36)</f>
        <v/>
      </c>
      <c r="AH36" s="573"/>
      <c r="AI36" s="19" t="str">
        <f>+AI35</f>
        <v>Não Imprime</v>
      </c>
      <c r="AJ36" s="18" t="s">
        <v>29</v>
      </c>
      <c r="AK36" s="132">
        <f>IF(ISTEXT($C21),(letrapeso(G24)*letrapeso($C23)+letrapeso(G26)*letrapeso($C25)+letrapeso(G28)*letrapeso($C27)+letrapeso(G30)*letrapeso($C29)+letrapeso(G32)*letrapeso($C31)+letrapeso(G34)*letrapeso($C33)+letrapeso(G36)*letrapeso($C35))/(letrapeso($C23)+letrapeso($C25)+letrapeso($C27)+letrapeso($C29)+letrapeso($C31)+letrapeso($C33)+letrapeso($C35)),0)</f>
        <v>8</v>
      </c>
      <c r="AL36" s="132">
        <f>IF(ISTEXT($C21),(letrapeso(H24)*letrapeso($C23)+letrapeso(H26)*letrapeso($C25)+letrapeso(H28)*letrapeso($C27)+letrapeso(H30)*letrapeso($C29)+letrapeso(H32)*letrapeso($C31)+letrapeso(H34)*letrapeso($C33)+letrapeso(H36)*letrapeso($C35))/(letrapeso($C23)+letrapeso($C25)+letrapeso($C27)+letrapeso($C29)+letrapeso($C31)+letrapeso($C33)+letrapeso($C35)),0)</f>
        <v>8</v>
      </c>
      <c r="AM36" s="132">
        <f>IF(ISTEXT($C21),(letrapeso(G24)*letrapeso($C23)+letrapeso(G26)*letrapeso($C25)+letrapeso(G28)*letrapeso($C27)+letrapeso(G30)*letrapeso($C29)+letrapeso(G32)*letrapeso($C31)+letrapeso(G34)*letrapeso($C33)+letrapeso(G36)*letrapeso($C35))/(letrapeso($C23)+letrapeso($C25)+letrapeso($C27)+letrapeso($C29)+letrapeso($C31)+letrapeso($C33)+letrapeso($C35)),0)</f>
        <v>8</v>
      </c>
      <c r="AN36" s="132">
        <f>IF(ISTEXT($C21),(letrapeso(K24)*letrapeso($C23)+letrapeso(K26)*letrapeso($C25)+letrapeso(K28)*letrapeso($C27)+letrapeso(K30)*letrapeso($C29)+letrapeso(K32)*letrapeso($C31)+letrapeso(K34)*letrapeso($C33)+letrapeso(K36)*letrapeso($C35))/(letrapeso($C23)+letrapeso($C25)+letrapeso($C27)+letrapeso($C29)+letrapeso($C31)+letrapeso($C33)+letrapeso($C35)),0)</f>
        <v>0</v>
      </c>
      <c r="AO36" s="132">
        <f>IF(ISTEXT($C21),(letrapeso(L24)*letrapeso($C23)+letrapeso(L26)*letrapeso($C25)+letrapeso(L28)*letrapeso($C27)+letrapeso(L30)*letrapeso($C29)+letrapeso(L32)*letrapeso($C31)+letrapeso(L34)*letrapeso($C33)+letrapeso(L36)*letrapeso($C35))/(letrapeso($C23)+letrapeso($C25)+letrapeso($C27)+letrapeso($C29)+letrapeso($C31)+letrapeso($C33)+letrapeso($C35)),0)</f>
        <v>0</v>
      </c>
      <c r="AP36" s="131"/>
      <c r="AQ36" s="132">
        <f>IF(ISTEXT($C21),(letrapeso(N24)*letrapeso($C23)+letrapeso(N26)*letrapeso($C25)+letrapeso(N28)*letrapeso($C27)+letrapeso(N30)*letrapeso($C29)+letrapeso(N32)*letrapeso($C31)+letrapeso(N34)*letrapeso($C33)+letrapeso(N36)*letrapeso($C35))/(letrapeso($C23)+letrapeso($C25)+letrapeso($C27)+letrapeso($C29)+letrapeso($C31)+letrapeso($C33)+letrapeso($C35)),0)</f>
        <v>0</v>
      </c>
      <c r="AR36" s="132">
        <f>IF(ISTEXT($C21),(letrapeso(O24)*letrapeso($C23)+letrapeso(O26)*letrapeso($C25)+letrapeso(O28)*letrapeso($C27)+letrapeso(O30)*letrapeso($C29)+letrapeso(O32)*letrapeso($C31)+letrapeso(O34)*letrapeso($C33)+letrapeso(O36)*letrapeso($C35))/(letrapeso($C23)+letrapeso($C25)+letrapeso($C27)+letrapeso($C29)+letrapeso($C31)+letrapeso($C33)+letrapeso($C35)),0)</f>
        <v>0</v>
      </c>
      <c r="AS36" s="131"/>
      <c r="AT36" s="132">
        <f>IF(ISTEXT($C21),(letrapeso(Q24)*letrapeso($C23)+letrapeso(Q26)*letrapeso($C25)+letrapeso(Q28)*letrapeso($C27)+letrapeso(Q30)*letrapeso($C29)+letrapeso(Q32)*letrapeso($C31)+letrapeso(Q34)*letrapeso($C33)+letrapeso(Q36)*letrapeso($C35))/(letrapeso($C23)+letrapeso($C25)+letrapeso($C27)+letrapeso($C29)+letrapeso($C31)+letrapeso($C33)+letrapeso($C35)),0)</f>
        <v>0</v>
      </c>
      <c r="AU36" s="132">
        <f>IF(ISTEXT($C21),(letrapeso(R24)*letrapeso($C23)+letrapeso(R26)*letrapeso($C25)+letrapeso(R28)*letrapeso($C27)+letrapeso(R30)*letrapeso($C29)+letrapeso(R32)*letrapeso($C31)+letrapeso(R34)*letrapeso($C33)+letrapeso(R36)*letrapeso($C35))/(letrapeso($C23)+letrapeso($C25)+letrapeso($C27)+letrapeso($C29)+letrapeso($C31)+letrapeso($C33)+letrapeso($C35)),0)</f>
        <v>0</v>
      </c>
      <c r="AV36" s="131"/>
      <c r="AW36" s="132">
        <f>IF(ISTEXT($C21),(letrapeso(T24)*letrapeso($C23)+letrapeso(T26)*letrapeso($C25)+letrapeso(T28)*letrapeso($C27)+letrapeso(T30)*letrapeso($C29)+letrapeso(T32)*letrapeso($C31)+letrapeso(T34)*letrapeso($C33)+letrapeso(T36)*letrapeso($C35))/(letrapeso($C23)+letrapeso($C25)+letrapeso($C27)+letrapeso($C29)+letrapeso($C31)+letrapeso($C33)+letrapeso($C35)),0)</f>
        <v>0</v>
      </c>
      <c r="AX36" s="132">
        <f>IF(ISTEXT($C21),(letrapeso(U24)*letrapeso($C23)+letrapeso(U26)*letrapeso($C25)+letrapeso(U28)*letrapeso($C27)+letrapeso(U30)*letrapeso($C29)+letrapeso(U32)*letrapeso($C31)+letrapeso(U34)*letrapeso($C33)+letrapeso(U36)*letrapeso($C35))/(letrapeso($C23)+letrapeso($C25)+letrapeso($C27)+letrapeso($C29)+letrapeso($C31)+letrapeso($C33)+letrapeso($C35)),0)</f>
        <v>0</v>
      </c>
      <c r="AY36" s="131"/>
      <c r="AZ36" s="132">
        <f>IF(ISTEXT($C21),(letrapeso(W24)*letrapeso($C23)+letrapeso(W26)*letrapeso($C25)+letrapeso(W28)*letrapeso($C27)+letrapeso(W30)*letrapeso($C29)+letrapeso(W32)*letrapeso($C31)+letrapeso(W34)*letrapeso($C33)+letrapeso(W36)*letrapeso($C35))/(letrapeso($C23)+letrapeso($C25)+letrapeso($C27)+letrapeso($C29)+letrapeso($C31)+letrapeso($C33)+letrapeso($C35)),0)</f>
        <v>0</v>
      </c>
      <c r="BA36" s="132">
        <f>IF(ISTEXT($C21),(letrapeso(X24)*letrapeso($C23)+letrapeso(X26)*letrapeso($C25)+letrapeso(X28)*letrapeso($C27)+letrapeso(X30)*letrapeso($C29)+letrapeso(X32)*letrapeso($C31)+letrapeso(X34)*letrapeso($C33)+letrapeso(X36)*letrapeso($C35))/(letrapeso($C23)+letrapeso($C25)+letrapeso($C27)+letrapeso($C29)+letrapeso($C31)+letrapeso($C33)+letrapeso($C35)),0)</f>
        <v>0</v>
      </c>
      <c r="BB36" s="131"/>
      <c r="BC36" s="132">
        <f>IF(ISTEXT($C21),(letrapeso(Z24)*letrapeso($C23)+letrapeso(Z26)*letrapeso($C25)+letrapeso(Z28)*letrapeso($C27)+letrapeso(Z30)*letrapeso($C29)+letrapeso(Z32)*letrapeso($C31)+letrapeso(Z34)*letrapeso($C33)+letrapeso(Z36)*letrapeso($C35))/(letrapeso($C23)+letrapeso($C25)+letrapeso($C27)+letrapeso($C29)+letrapeso($C31)+letrapeso($C33)+letrapeso($C35)),0)</f>
        <v>0</v>
      </c>
      <c r="BD36" s="132">
        <f>IF(ISTEXT($C21),(letrapeso(AA24)*letrapeso($C23)+letrapeso(AA26)*letrapeso($C25)+letrapeso(AA28)*letrapeso($C27)+letrapeso(AA30)*letrapeso($C29)+letrapeso(AA32)*letrapeso($C31)+letrapeso(AA34)*letrapeso($C33)+letrapeso(AA36)*letrapeso($C35))/(letrapeso($C23)+letrapeso($C25)+letrapeso($C27)+letrapeso($C29)+letrapeso($C31)+letrapeso($C33)+letrapeso($C35)),0)</f>
        <v>0</v>
      </c>
      <c r="BE36" s="131"/>
      <c r="BF36" s="132">
        <f>IF(ISTEXT($C21),(letrapeso(AC24)*letrapeso($C23)+letrapeso(AC26)*letrapeso($C25)+letrapeso(AC28)*letrapeso($C27)+letrapeso(AC30)*letrapeso($C29)+letrapeso(AC32)*letrapeso($C31)+letrapeso(AC34)*letrapeso($C33)+letrapeso(AC36)*letrapeso($C35))/(letrapeso($C23)+letrapeso($C25)+letrapeso($C27)+letrapeso($C29)+letrapeso($C31)+letrapeso($C33)+letrapeso($C35)),0)</f>
        <v>0</v>
      </c>
      <c r="BG36" s="132">
        <f>IF(ISTEXT($C21),(letrapeso(AD24)*letrapeso($C23)+letrapeso(AD26)*letrapeso($C25)+letrapeso(AD28)*letrapeso($C27)+letrapeso(AD30)*letrapeso($C29)+letrapeso(AD32)*letrapeso($C31)+letrapeso(AD34)*letrapeso($C33)+letrapeso(AD36)*letrapeso($C35))/(letrapeso($C23)+letrapeso($C25)+letrapeso($C27)+letrapeso($C29)+letrapeso($C31)+letrapeso($C33)+letrapeso($C35)),0)</f>
        <v>0</v>
      </c>
      <c r="BH36" s="131"/>
      <c r="BI36" s="132">
        <f>IF(ISTEXT($C21),(letrapeso(AF24)*letrapeso($C23)+letrapeso(AF26)*letrapeso($C25)+letrapeso(AF28)*letrapeso($C27)+letrapeso(AF30)*letrapeso($C29)+letrapeso(AF32)*letrapeso($C31)+letrapeso(AF34)*letrapeso($C33)+letrapeso(AF36)*letrapeso($C35))/(letrapeso($C23)+letrapeso($C25)+letrapeso($C27)+letrapeso($C29)+letrapeso($C31)+letrapeso($C33)+letrapeso($C35)),0)</f>
        <v>0</v>
      </c>
      <c r="BJ36" s="132">
        <f>IF(ISTEXT($C21),(letrapeso(AG24)*letrapeso($C23)+letrapeso(AG26)*letrapeso($C25)+letrapeso(AG28)*letrapeso($C27)+letrapeso(AG30)*letrapeso($C29)+letrapeso(AG32)*letrapeso($C31)+letrapeso(AG34)*letrapeso($C33)+letrapeso(AG36)*letrapeso($C35))/(letrapeso($C23)+letrapeso($C25)+letrapeso($C27)+letrapeso($C29)+letrapeso($C31)+letrapeso($C33)+letrapeso($C35)),0)</f>
        <v>0</v>
      </c>
      <c r="BK36" s="131"/>
    </row>
    <row r="37" spans="1:92" x14ac:dyDescent="0.2">
      <c r="A37" s="191" t="str">
        <f>'Digitar aqui Notas e Pesos'!A37</f>
        <v>Cartões</v>
      </c>
      <c r="B37" s="192"/>
      <c r="C37" s="193" t="str">
        <f>IF('Digitar aqui Notas e Pesos'!C37,PEsoLetra('Digitar aqui Notas e Pesos'!C37),0)</f>
        <v>ma</v>
      </c>
      <c r="D37" s="213">
        <f>IF(letrapeso(C37),(letrapeso($C39)*D39+letrapeso($C41)*D41+letrapeso($C43)*D43+letrapeso($C45)*D45+letrapeso($C47)*D47+letrapeso($C49)*D49+letrapeso($C51)*D51)/(letrapeso($C39)+letrapeso($C41)+letrapeso($C43)+letrapeso($C45)+letrapeso($C47)+letrapeso($C49)+letrapeso($C51)),0)</f>
        <v>2</v>
      </c>
      <c r="E37" s="214">
        <f>IF(letrapeso(C37),(letrapeso($C39)*E39+letrapeso($C41)*E41+letrapeso($C43)*E43+letrapeso($C45)*E45+letrapeso($C47)*E47+letrapeso($C49)*E49+letrapeso($C51)*E51)/(letrapeso($C39)+letrapeso($C41)+letrapeso($C43)+letrapeso($C45)+letrapeso($C47)+letrapeso($C49)+letrapeso($C51)),0)</f>
        <v>2</v>
      </c>
      <c r="F37" s="215">
        <f>IF(letrapeso(C37),(letrapeso($C39)*F39+letrapeso($C41)*F41+letrapeso($C43)*F43+letrapeso($C45)*F45+letrapeso($C47)*F47+letrapeso($C49)*F49+letrapeso($C51)*F51)/(letrapeso($C39)+letrapeso($C41)+letrapeso($C43)+letrapeso($C45)+letrapeso($C47)+letrapeso($C49)+letrapeso($C51)),0)</f>
        <v>2</v>
      </c>
      <c r="G37" s="220"/>
      <c r="H37" s="221"/>
      <c r="I37" s="222"/>
      <c r="J37" s="489"/>
      <c r="K37" s="220"/>
      <c r="L37" s="221"/>
      <c r="M37" s="222"/>
      <c r="N37" s="220"/>
      <c r="O37" s="221"/>
      <c r="P37" s="222"/>
      <c r="Q37" s="220"/>
      <c r="R37" s="221"/>
      <c r="S37" s="222"/>
      <c r="T37" s="220"/>
      <c r="U37" s="221"/>
      <c r="V37" s="222"/>
      <c r="W37" s="220"/>
      <c r="X37" s="221"/>
      <c r="Y37" s="222"/>
      <c r="Z37" s="220"/>
      <c r="AA37" s="221"/>
      <c r="AB37" s="222"/>
      <c r="AC37" s="220"/>
      <c r="AD37" s="221"/>
      <c r="AE37" s="222"/>
      <c r="AF37" s="220"/>
      <c r="AG37" s="221"/>
      <c r="AH37" s="223"/>
      <c r="AI37" s="8" t="str">
        <f>IF(letrapeso(C37),"Imprime","Não Imprime")</f>
        <v>Imprime</v>
      </c>
      <c r="AJ37" s="15"/>
      <c r="AK37" s="133"/>
      <c r="AL37" s="133"/>
      <c r="AM37" s="133"/>
      <c r="AN37" s="133"/>
      <c r="AO37" s="133"/>
      <c r="AP37" s="134"/>
      <c r="AQ37" s="133"/>
      <c r="AR37" s="133"/>
      <c r="AS37" s="134"/>
      <c r="AT37" s="133"/>
      <c r="AU37" s="133"/>
      <c r="AV37" s="134"/>
      <c r="AW37" s="133"/>
      <c r="AX37" s="133"/>
      <c r="AY37" s="134"/>
      <c r="AZ37" s="133"/>
      <c r="BA37" s="133"/>
      <c r="BB37" s="134"/>
      <c r="BC37" s="133"/>
      <c r="BD37" s="133"/>
      <c r="BE37" s="134"/>
      <c r="BF37" s="133"/>
      <c r="BG37" s="133"/>
      <c r="BH37" s="134"/>
      <c r="BI37" s="133"/>
      <c r="BJ37" s="133"/>
      <c r="BK37" s="134"/>
    </row>
    <row r="38" spans="1:92" x14ac:dyDescent="0.2">
      <c r="A38" s="567"/>
      <c r="B38" s="568"/>
      <c r="C38" s="228"/>
      <c r="D38" s="214"/>
      <c r="E38" s="214"/>
      <c r="F38" s="215"/>
      <c r="G38" s="224"/>
      <c r="H38" s="225"/>
      <c r="I38" s="226"/>
      <c r="J38" s="490"/>
      <c r="K38" s="224"/>
      <c r="L38" s="225"/>
      <c r="M38" s="226"/>
      <c r="N38" s="224"/>
      <c r="O38" s="225"/>
      <c r="P38" s="226"/>
      <c r="Q38" s="224"/>
      <c r="R38" s="225"/>
      <c r="S38" s="226"/>
      <c r="T38" s="224"/>
      <c r="U38" s="225"/>
      <c r="V38" s="226"/>
      <c r="W38" s="224"/>
      <c r="X38" s="225"/>
      <c r="Y38" s="226"/>
      <c r="Z38" s="224"/>
      <c r="AA38" s="225"/>
      <c r="AB38" s="226"/>
      <c r="AC38" s="224"/>
      <c r="AD38" s="225"/>
      <c r="AE38" s="226"/>
      <c r="AF38" s="224"/>
      <c r="AG38" s="225"/>
      <c r="AH38" s="227"/>
      <c r="AI38" s="19" t="str">
        <f>+AI37</f>
        <v>Imprime</v>
      </c>
      <c r="AJ38" s="15" t="s">
        <v>26</v>
      </c>
      <c r="AK38" s="128">
        <f>IF(SUM(AK39:AK51),SUM(AK39:AK51)/(letrapeso(G40)*letrapeso($C39)+letrapeso(G42)*letrapeso($C41)+letrapeso(G44)*letrapeso($C43)+letrapeso(G46)*letrapeso($C45)+letrapeso(G48)*letrapeso($C47)+letrapeso(G50)*letrapeso($C49)+letrapeso(G52)*letrapeso($C51)),0)</f>
        <v>2</v>
      </c>
      <c r="AL38" s="128">
        <f>IF(SUM(AL39:AL51),SUM(AL39:AL51)/(letrapeso(H40)*letrapeso($C39)+letrapeso(H42)*letrapeso($C41)+letrapeso(H44)*letrapeso($C43)+letrapeso(H46)*letrapeso($C45)+letrapeso(H48)*letrapeso($C47)+letrapeso(H50)*letrapeso($C49)+letrapeso(H52)*letrapeso($C51)),0)</f>
        <v>2</v>
      </c>
      <c r="AM38" s="128">
        <f>IF(SUM(AM39:AM51),SUM(AM39:AM51)/(letrapeso(G40)*letrapeso($C39)+letrapeso(G42)*letrapeso($C41)+letrapeso(G44)*letrapeso($C43)+letrapeso(G46)*letrapeso($C45)+letrapeso(G48)*letrapeso($C47)+letrapeso(G50)*letrapeso($C49)+letrapeso(G52)*letrapeso($C51)),0)</f>
        <v>1</v>
      </c>
      <c r="AN38" s="128">
        <f>IF(SUM(AN39:AN51),SUM(AN39:AN51)/(letrapeso(K40)*letrapeso($C39)+letrapeso(K42)*letrapeso($C41)+letrapeso(K44)*letrapeso($C43)+letrapeso(K46)*letrapeso($C45)+letrapeso(K48)*letrapeso($C47)+letrapeso(K50)*letrapeso($C49)+letrapeso(K52)*letrapeso($C51)),0)</f>
        <v>0</v>
      </c>
      <c r="AO38" s="128">
        <f>IF(SUM(AO39:AO51),SUM(AO39:AO51)/(letrapeso(L40)*letrapeso($C39)+letrapeso(L42)*letrapeso($C41)+letrapeso(L44)*letrapeso($C43)+letrapeso(L46)*letrapeso($C45)+letrapeso(L48)*letrapeso($C47)+letrapeso(L50)*letrapeso($C49)+letrapeso(L52)*letrapeso($C51)),0)</f>
        <v>0</v>
      </c>
      <c r="AQ38" s="128">
        <f>IF(SUM(AQ39:AQ51),SUM(AQ39:AQ51)/(letrapeso(N40)*letrapeso($C39)+letrapeso(N42)*letrapeso($C41)+letrapeso(N44)*letrapeso($C43)+letrapeso(N46)*letrapeso($C45)+letrapeso(N48)*letrapeso($C47)+letrapeso(N50)*letrapeso($C49)+letrapeso(N52)*letrapeso($C51)),0)</f>
        <v>0</v>
      </c>
      <c r="AR38" s="128">
        <f>IF(SUM(AR39:AR51),SUM(AR39:AR51)/(letrapeso(O40)*letrapeso($C39)+letrapeso(O42)*letrapeso($C41)+letrapeso(O44)*letrapeso($C43)+letrapeso(O46)*letrapeso($C45)+letrapeso(O48)*letrapeso($C47)+letrapeso(O50)*letrapeso($C49)+letrapeso(O52)*letrapeso($C51)),0)</f>
        <v>0</v>
      </c>
      <c r="AS38" s="28"/>
      <c r="AT38" s="128">
        <f>IF(SUM(AT39:AT51),SUM(AT39:AT51)/(letrapeso(Q40)*letrapeso($C39)+letrapeso(Q42)*letrapeso($C41)+letrapeso(Q44)*letrapeso($C43)+letrapeso(Q46)*letrapeso($C45)+letrapeso(Q48)*letrapeso($C47)+letrapeso(Q50)*letrapeso($C49)+letrapeso(Q52)*letrapeso($C51)),0)</f>
        <v>0</v>
      </c>
      <c r="AU38" s="128">
        <f>IF(SUM(AU39:AU51),SUM(AU39:AU51)/(letrapeso(R40)*letrapeso($C39)+letrapeso(R42)*letrapeso($C41)+letrapeso(R44)*letrapeso($C43)+letrapeso(R46)*letrapeso($C45)+letrapeso(R48)*letrapeso($C47)+letrapeso(R50)*letrapeso($C49)+letrapeso(R52)*letrapeso($C51)),0)</f>
        <v>0</v>
      </c>
      <c r="AV38" s="28"/>
      <c r="AW38" s="128">
        <f>IF(SUM(AW39:AW51),SUM(AW39:AW51)/(letrapeso(T40)*letrapeso($C39)+letrapeso(T42)*letrapeso($C41)+letrapeso(T44)*letrapeso($C43)+letrapeso(T46)*letrapeso($C45)+letrapeso(T48)*letrapeso($C47)+letrapeso(T50)*letrapeso($C49)+letrapeso(T52)*letrapeso($C51)),0)</f>
        <v>0</v>
      </c>
      <c r="AX38" s="128">
        <f>IF(SUM(AX39:AX51),SUM(AX39:AX51)/(letrapeso(U40)*letrapeso($C39)+letrapeso(U42)*letrapeso($C41)+letrapeso(U44)*letrapeso($C43)+letrapeso(U46)*letrapeso($C45)+letrapeso(U48)*letrapeso($C47)+letrapeso(U50)*letrapeso($C49)+letrapeso(U52)*letrapeso($C51)),0)</f>
        <v>0</v>
      </c>
      <c r="AY38" s="28"/>
      <c r="AZ38" s="128">
        <f>IF(SUM(AZ39:AZ51),SUM(AZ39:AZ51)/(letrapeso(W40)*letrapeso($C39)+letrapeso(W42)*letrapeso($C41)+letrapeso(W44)*letrapeso($C43)+letrapeso(W46)*letrapeso($C45)+letrapeso(W48)*letrapeso($C47)+letrapeso(W50)*letrapeso($C49)+letrapeso(W52)*letrapeso($C51)),0)</f>
        <v>0</v>
      </c>
      <c r="BA38" s="128">
        <f>IF(SUM(BA39:BA51),SUM(BA39:BA51)/(letrapeso(X40)*letrapeso($C39)+letrapeso(X42)*letrapeso($C41)+letrapeso(X44)*letrapeso($C43)+letrapeso(X46)*letrapeso($C45)+letrapeso(X48)*letrapeso($C47)+letrapeso(X50)*letrapeso($C49)+letrapeso(X52)*letrapeso($C51)),0)</f>
        <v>0</v>
      </c>
      <c r="BB38" s="28"/>
      <c r="BC38" s="128">
        <f>IF(SUM(BC39:BC51),SUM(BC39:BC51)/(letrapeso(Z40)*letrapeso($C39)+letrapeso(Z42)*letrapeso($C41)+letrapeso(Z44)*letrapeso($C43)+letrapeso(Z46)*letrapeso($C45)+letrapeso(Z48)*letrapeso($C47)+letrapeso(Z50)*letrapeso($C49)+letrapeso(Z52)*letrapeso($C51)),0)</f>
        <v>0</v>
      </c>
      <c r="BD38" s="128">
        <f>IF(SUM(BD39:BD51),SUM(BD39:BD51)/(letrapeso(AA40)*letrapeso($C39)+letrapeso(AA42)*letrapeso($C41)+letrapeso(AA44)*letrapeso($C43)+letrapeso(AA46)*letrapeso($C45)+letrapeso(AA48)*letrapeso($C47)+letrapeso(AA50)*letrapeso($C49)+letrapeso(AA52)*letrapeso($C51)),0)</f>
        <v>0</v>
      </c>
      <c r="BE38" s="28"/>
      <c r="BF38" s="128">
        <f>IF(SUM(BF39:BF51),SUM(BF39:BF51)/(letrapeso(AC40)*letrapeso($C39)+letrapeso(AC42)*letrapeso($C41)+letrapeso(AC44)*letrapeso($C43)+letrapeso(AC46)*letrapeso($C45)+letrapeso(AC48)*letrapeso($C47)+letrapeso(AC50)*letrapeso($C49)+letrapeso(AC52)*letrapeso($C51)),0)</f>
        <v>0</v>
      </c>
      <c r="BG38" s="128">
        <f>IF(SUM(BG39:BG51),SUM(BG39:BG51)/(letrapeso(AD40)*letrapeso($C39)+letrapeso(AD42)*letrapeso($C41)+letrapeso(AD44)*letrapeso($C43)+letrapeso(AD46)*letrapeso($C45)+letrapeso(AD48)*letrapeso($C47)+letrapeso(AD50)*letrapeso($C49)+letrapeso(AD52)*letrapeso($C51)),0)</f>
        <v>0</v>
      </c>
      <c r="BH38" s="28"/>
      <c r="BI38" s="128">
        <f>IF(SUM(BI39:BI51),SUM(BI39:BI51)/(letrapeso(AF40)*letrapeso($C39)+letrapeso(AF42)*letrapeso($C41)+letrapeso(AF44)*letrapeso($C43)+letrapeso(AF46)*letrapeso($C45)+letrapeso(AF48)*letrapeso($C47)+letrapeso(AF50)*letrapeso($C49)+letrapeso(AF52)*letrapeso($C51)),0)</f>
        <v>0</v>
      </c>
      <c r="BJ38" s="128">
        <f>IF(SUM(BJ39:BJ51),SUM(BJ39:BJ51)/(letrapeso(AG40)*letrapeso($C39)+letrapeso(AG42)*letrapeso($C41)+letrapeso(AG44)*letrapeso($C43)+letrapeso(AG46)*letrapeso($C45)+letrapeso(AG48)*letrapeso($C47)+letrapeso(AG50)*letrapeso($C49)+letrapeso(AG52)*letrapeso($C51)),0)</f>
        <v>0</v>
      </c>
      <c r="BK38" s="28"/>
    </row>
    <row r="39" spans="1:92" x14ac:dyDescent="0.2">
      <c r="A39" s="546" t="str">
        <f>'Digitar aqui Notas e Pesos'!A39</f>
        <v>Cartões</v>
      </c>
      <c r="B39" s="547"/>
      <c r="C39" s="229" t="str">
        <f>IF('Digitar aqui Notas e Pesos'!C39,PEsoLetra('Digitar aqui Notas e Pesos'!C39),0)</f>
        <v>a</v>
      </c>
      <c r="D39" s="208">
        <f>IF(ISTEXT($C39),(G39*letrapeso(G40)+K39*letrapeso(K40)+N39*letrapeso(N40)+Q39*letrapeso(Q40)+T39*letrapeso(T40)+W39*letrapeso(W40)+Z39*letrapeso(Z40)+AC39*letrapeso(AC40)+AF39*letrapeso(AF40))/(letrapeso(G40)+letrapeso(K40)+letrapeso(N40)+letrapeso(Q40)+letrapeso(T40)+letrapeso(W40)+letrapeso(Z40)+letrapeso(AC40)+letrapeso(AF40)),0)</f>
        <v>2</v>
      </c>
      <c r="E39" s="208">
        <f>IF(ISTEXT($C39),(H39*letrapeso(H40)+L39*letrapeso(L40)+O39*letrapeso(O40)+R39*letrapeso(R40)+U39*letrapeso(U40)+X39*letrapeso(X40)+AA39*letrapeso(AA40)+AD39*letrapeso(AD40)+AG39*letrapeso(AG40))/(letrapeso(H40)+letrapeso(L40)+letrapeso(O40)+letrapeso(R40)+letrapeso(U40)+letrapeso(X40)+letrapeso(AA40)+letrapeso(AD40)+letrapeso(AG40)),0)</f>
        <v>2</v>
      </c>
      <c r="F39" s="209">
        <f>IF(ISTEXT($C39),(D39*$A$145+E39*$A$146),0)</f>
        <v>2</v>
      </c>
      <c r="G39" s="259">
        <f>'Digitar aqui Notas e Pesos'!D39</f>
        <v>2</v>
      </c>
      <c r="H39" s="116">
        <f>'Digitar aqui Notas e Pesos'!E39</f>
        <v>2</v>
      </c>
      <c r="I39" s="565">
        <f>IF(AND(G39&lt;&gt;0,H39&lt;&gt;0,$C39&lt;&gt;0),(G39*letrapeso(G40)*$A$145+H39*letrapeso(H40)*$A$146)/(letrapeso(G40)*$A$145+letrapeso(H40)*$A$146),0)</f>
        <v>2</v>
      </c>
      <c r="J39" s="259">
        <f>'Digitar aqui Notas e Pesos'!F39</f>
        <v>1</v>
      </c>
      <c r="K39" s="259">
        <f>'Digitar aqui Notas e Pesos'!G39</f>
        <v>0</v>
      </c>
      <c r="L39" s="116">
        <f>'Digitar aqui Notas e Pesos'!H39</f>
        <v>0</v>
      </c>
      <c r="M39" s="553">
        <f>IF(AND(K39&lt;&gt;0,L39&lt;&gt;0,$C39&lt;&gt;0),(K39*letrapeso(K40)*$A$145+L39*letrapeso(L40)*$A$146)/(letrapeso(K40)*$A$145+letrapeso(L40)*$A$146),0)</f>
        <v>0</v>
      </c>
      <c r="N39" s="259">
        <f>'Digitar aqui Notas e Pesos'!J39</f>
        <v>0</v>
      </c>
      <c r="O39" s="116">
        <f>'Digitar aqui Notas e Pesos'!K39</f>
        <v>0</v>
      </c>
      <c r="P39" s="553">
        <f>IF(AND(N39&lt;&gt;0,O39&lt;&gt;0,$C39&lt;&gt;0),(N39*letrapeso(N40)*$A$145+O39*letrapeso(O40)*$A$146)/(letrapeso(N40)*$A$145+letrapeso(O40)*$A$146),0)</f>
        <v>0</v>
      </c>
      <c r="Q39" s="259">
        <f>'Digitar aqui Notas e Pesos'!M39</f>
        <v>0</v>
      </c>
      <c r="R39" s="116">
        <f>'Digitar aqui Notas e Pesos'!N39</f>
        <v>0</v>
      </c>
      <c r="S39" s="553">
        <f>IF(AND(Q39&lt;&gt;0,R39&lt;&gt;0,$C39&lt;&gt;0),(Q39*letrapeso(Q40)*$A$145+R39*letrapeso(R40)*$A$146)/(letrapeso(Q40)*$A$145+letrapeso(R40)*$A$146),0)</f>
        <v>0</v>
      </c>
      <c r="T39" s="259">
        <f>'Digitar aqui Notas e Pesos'!P39</f>
        <v>0</v>
      </c>
      <c r="U39" s="116">
        <f>'Digitar aqui Notas e Pesos'!Q39</f>
        <v>0</v>
      </c>
      <c r="V39" s="553">
        <f>IF(AND(T39&lt;&gt;0,U39&lt;&gt;0,$C39&lt;&gt;0),(T39*letrapeso(T40)*$A$145+U39*letrapeso(U40)*$A$146)/(letrapeso(T40)*$A$145+letrapeso(U40)*$A$146),0)</f>
        <v>0</v>
      </c>
      <c r="W39" s="259">
        <f>'Digitar aqui Notas e Pesos'!S39</f>
        <v>0</v>
      </c>
      <c r="X39" s="116">
        <f>'Digitar aqui Notas e Pesos'!T39</f>
        <v>0</v>
      </c>
      <c r="Y39" s="553">
        <f>IF(AND(W39&lt;&gt;0,X39&lt;&gt;0,$C39&lt;&gt;0),(W39*letrapeso(W40)*$A$145+X39*letrapeso(X40)*$A$146)/(letrapeso(W40)*$A$145+letrapeso(X40)*$A$146),0)</f>
        <v>0</v>
      </c>
      <c r="Z39" s="259">
        <f>'Digitar aqui Notas e Pesos'!V39</f>
        <v>0</v>
      </c>
      <c r="AA39" s="116">
        <f>'Digitar aqui Notas e Pesos'!W39</f>
        <v>0</v>
      </c>
      <c r="AB39" s="553">
        <f>IF(AND(Z39&lt;&gt;0,AA39&lt;&gt;0,$C39&lt;&gt;0),(Z39*letrapeso(Z40)*$A$145+AA39*letrapeso(AA40)*$A$146)/(letrapeso(Z40)*$A$145+letrapeso(AA40)*$A$146),0)</f>
        <v>0</v>
      </c>
      <c r="AC39" s="259">
        <f>'Digitar aqui Notas e Pesos'!Y39</f>
        <v>0</v>
      </c>
      <c r="AD39" s="116">
        <f>'Digitar aqui Notas e Pesos'!Z39</f>
        <v>0</v>
      </c>
      <c r="AE39" s="553">
        <f>IF(AND(AC39&lt;&gt;0,AD39&lt;&gt;0,$C39&lt;&gt;0),(AC39*letrapeso(AC40)*$A$145+AD39*letrapeso(AD40)*$A$146)/(letrapeso(AC40)*$A$145+letrapeso(AD40)*$A$146),0)</f>
        <v>0</v>
      </c>
      <c r="AF39" s="259">
        <f>'Digitar aqui Notas e Pesos'!AB39</f>
        <v>0</v>
      </c>
      <c r="AG39" s="116">
        <f>'Digitar aqui Notas e Pesos'!AC39</f>
        <v>0</v>
      </c>
      <c r="AH39" s="573">
        <f>IF(AND(AF39&lt;&gt;0,AG39&lt;&gt;0,$C39&lt;&gt;0),(AF39*letrapeso(AF40)*$A$145+AG39*letrapeso(AG40)*$A$146)/(letrapeso(AF40)*$A$145+letrapeso(AG40)*$A$146),0)</f>
        <v>0</v>
      </c>
      <c r="AI39" s="8" t="str">
        <f>IF(letrapeso(C39),"Imprime","Não Imprime")</f>
        <v>Imprime</v>
      </c>
      <c r="AJ39" s="14" t="s">
        <v>28</v>
      </c>
      <c r="AK39" s="129">
        <f>G39*letrapeso(G40)*letrapeso($C39)</f>
        <v>128</v>
      </c>
      <c r="AL39" s="129">
        <f>H39*letrapeso(H40)*letrapeso($C39)</f>
        <v>128</v>
      </c>
      <c r="AM39" s="129">
        <f>J39*letrapeso(G40)*letrapeso($C39)</f>
        <v>64</v>
      </c>
      <c r="AN39" s="129">
        <f>K39*letrapeso(K40)*letrapeso($C39)</f>
        <v>0</v>
      </c>
      <c r="AO39" s="129">
        <f>L39*letrapeso(L40)*letrapeso($C39)</f>
        <v>0</v>
      </c>
      <c r="AP39" s="44"/>
      <c r="AQ39" s="129">
        <f>N39*letrapeso(N40)*letrapeso($C39)</f>
        <v>0</v>
      </c>
      <c r="AR39" s="129">
        <f>O39*letrapeso(O40)*letrapeso($C39)</f>
        <v>0</v>
      </c>
      <c r="AS39" s="44"/>
      <c r="AT39" s="129">
        <f>Q39*letrapeso(Q40)*letrapeso($C39)</f>
        <v>0</v>
      </c>
      <c r="AU39" s="129">
        <f>R39*letrapeso(R40)*letrapeso($C39)</f>
        <v>0</v>
      </c>
      <c r="AV39" s="44"/>
      <c r="AW39" s="129">
        <f>T39*letrapeso(T40)*letrapeso($C39)</f>
        <v>0</v>
      </c>
      <c r="AX39" s="129">
        <f>U39*letrapeso(U40)*letrapeso($C39)</f>
        <v>0</v>
      </c>
      <c r="AY39" s="44"/>
      <c r="AZ39" s="129">
        <f>W39*letrapeso(W40)*letrapeso($C39)</f>
        <v>0</v>
      </c>
      <c r="BA39" s="129">
        <f>X39*letrapeso(X40)*letrapeso($C39)</f>
        <v>0</v>
      </c>
      <c r="BB39" s="44"/>
      <c r="BC39" s="129">
        <f>Z39*letrapeso(Z40)*letrapeso($C39)</f>
        <v>0</v>
      </c>
      <c r="BD39" s="129">
        <f>AA39*letrapeso(AA40)*letrapeso($C39)</f>
        <v>0</v>
      </c>
      <c r="BE39" s="44"/>
      <c r="BF39" s="129">
        <f>AC39*letrapeso(AC40)*letrapeso($C39)</f>
        <v>0</v>
      </c>
      <c r="BG39" s="129">
        <f>AD39*letrapeso(AD40)*letrapeso($C39)</f>
        <v>0</v>
      </c>
      <c r="BH39" s="44"/>
      <c r="BI39" s="129">
        <f>AF39*letrapeso(AF40)*letrapeso($C39)</f>
        <v>0</v>
      </c>
      <c r="BJ39" s="129">
        <f>AG39*letrapeso(AG40)*letrapeso($C39)</f>
        <v>0</v>
      </c>
      <c r="BK39" s="44"/>
      <c r="BL39" s="171">
        <f>letrapeso(G40)</f>
        <v>8</v>
      </c>
      <c r="BM39" s="171">
        <f>letrapeso(H40)</f>
        <v>8</v>
      </c>
      <c r="BN39" s="41"/>
      <c r="BO39" s="171">
        <f>letrapeso(K40)</f>
        <v>0</v>
      </c>
      <c r="BP39" s="171">
        <f>letrapeso(L40)</f>
        <v>0</v>
      </c>
      <c r="BQ39" s="41"/>
      <c r="BR39" s="171">
        <f>letrapeso(N40)</f>
        <v>0</v>
      </c>
      <c r="BS39" s="171">
        <f>letrapeso(O40)</f>
        <v>0</v>
      </c>
      <c r="BT39" s="41"/>
      <c r="BU39" s="171">
        <f>letrapeso(Q40)</f>
        <v>0</v>
      </c>
      <c r="BV39" s="171">
        <f>letrapeso(R40)</f>
        <v>0</v>
      </c>
      <c r="BW39" s="41"/>
      <c r="BX39" s="171">
        <f>letrapeso(T40)</f>
        <v>0</v>
      </c>
      <c r="BY39" s="171">
        <f>letrapeso(U40)</f>
        <v>0</v>
      </c>
      <c r="BZ39" s="41"/>
      <c r="CA39" s="171">
        <f>letrapeso(W40)</f>
        <v>0</v>
      </c>
      <c r="CB39" s="171">
        <f>letrapeso(X40)</f>
        <v>0</v>
      </c>
      <c r="CC39" s="41"/>
      <c r="CD39" s="171">
        <f>letrapeso(Z40)</f>
        <v>0</v>
      </c>
      <c r="CE39" s="171">
        <f>letrapeso(AA40)</f>
        <v>0</v>
      </c>
      <c r="CF39" s="41"/>
      <c r="CG39" s="171">
        <f>letrapeso(AC40)</f>
        <v>0</v>
      </c>
      <c r="CH39" s="171">
        <f>letrapeso(AD40)</f>
        <v>0</v>
      </c>
      <c r="CI39" s="41"/>
      <c r="CJ39" s="171">
        <f>letrapeso(AF40)</f>
        <v>0</v>
      </c>
      <c r="CK39" s="171">
        <f>letrapeso(AG40)</f>
        <v>0</v>
      </c>
      <c r="CL39" s="41"/>
      <c r="CM39" s="41">
        <f>IF(ISTEXT($C39),(BL39+BO39+BR39+BU39+BX39+CA39+CD39+CG39+CJ39),0)</f>
        <v>8</v>
      </c>
      <c r="CN39" s="41">
        <f>IF(ISTEXT($C39),(BM39+BP39+BS39+BV39+BY39+CB39+CE39+CH39+CK39),0)</f>
        <v>8</v>
      </c>
    </row>
    <row r="40" spans="1:92" ht="15.75" thickBot="1" x14ac:dyDescent="0.25">
      <c r="A40" s="537" t="str">
        <f>TEXT(D39,"0,00")&amp;"       "&amp;TEXT(E39,"0,00")&amp;"       "&amp;TEXT(F39,"0,00")</f>
        <v>2,00       2,00       2,00</v>
      </c>
      <c r="B40" s="538"/>
      <c r="C40" s="230"/>
      <c r="D40" s="210"/>
      <c r="E40" s="208">
        <f>IF(ISTEXT($C40),(H40*letrapeso(H41)+#REF!*letrapeso(#REF!)+L40*letrapeso(L41)+O40*letrapeso(O41)+R40*letrapeso(R41)+#REF!*letrapeso(#REF!)+U40*letrapeso(U41)+X40*letrapeso(X41)+AA40*letrapeso(AA41)+AD40*letrapeso(AD41)+AG40*letrapeso(AG41))/(letrapeso(H41)+letrapeso(#REF!)+letrapeso(L41)+letrapeso(O41)+letrapeso(R41)+letrapeso(#REF!)+letrapeso(U41)+letrapeso(X41)+letrapeso(AA41)+letrapeso(AD41)+letrapeso(AG41)),0)</f>
        <v>0</v>
      </c>
      <c r="F40" s="209"/>
      <c r="G40" s="231" t="str">
        <f>PEsoLetra('Digitar aqui Notas e Pesos'!D40)</f>
        <v>a</v>
      </c>
      <c r="H40" s="232" t="str">
        <f>PEsoLetra('Digitar aqui Notas e Pesos'!E40)</f>
        <v>a</v>
      </c>
      <c r="I40" s="566"/>
      <c r="J40" s="490"/>
      <c r="K40" s="231" t="str">
        <f>PEsoLetra('Digitar aqui Notas e Pesos'!G40)</f>
        <v/>
      </c>
      <c r="L40" s="232" t="str">
        <f>PEsoLetra('Digitar aqui Notas e Pesos'!H40)</f>
        <v/>
      </c>
      <c r="M40" s="554"/>
      <c r="N40" s="231" t="str">
        <f>PEsoLetra('Digitar aqui Notas e Pesos'!J40)</f>
        <v/>
      </c>
      <c r="O40" s="232" t="str">
        <f>PEsoLetra('Digitar aqui Notas e Pesos'!K40)</f>
        <v/>
      </c>
      <c r="P40" s="554"/>
      <c r="Q40" s="231" t="str">
        <f>PEsoLetra('Digitar aqui Notas e Pesos'!M40)</f>
        <v/>
      </c>
      <c r="R40" s="232" t="str">
        <f>PEsoLetra('Digitar aqui Notas e Pesos'!N40)</f>
        <v/>
      </c>
      <c r="S40" s="554"/>
      <c r="T40" s="231" t="str">
        <f>PEsoLetra('Digitar aqui Notas e Pesos'!P40)</f>
        <v/>
      </c>
      <c r="U40" s="232" t="str">
        <f>PEsoLetra('Digitar aqui Notas e Pesos'!Q40)</f>
        <v/>
      </c>
      <c r="V40" s="554"/>
      <c r="W40" s="231" t="str">
        <f>PEsoLetra('Digitar aqui Notas e Pesos'!S40)</f>
        <v/>
      </c>
      <c r="X40" s="232" t="str">
        <f>PEsoLetra('Digitar aqui Notas e Pesos'!T40)</f>
        <v/>
      </c>
      <c r="Y40" s="554"/>
      <c r="Z40" s="231" t="str">
        <f>PEsoLetra('Digitar aqui Notas e Pesos'!V40)</f>
        <v/>
      </c>
      <c r="AA40" s="232" t="str">
        <f>PEsoLetra('Digitar aqui Notas e Pesos'!W40)</f>
        <v/>
      </c>
      <c r="AB40" s="554"/>
      <c r="AC40" s="231" t="str">
        <f>PEsoLetra('Digitar aqui Notas e Pesos'!Y40)</f>
        <v/>
      </c>
      <c r="AD40" s="232" t="str">
        <f>PEsoLetra('Digitar aqui Notas e Pesos'!Z40)</f>
        <v/>
      </c>
      <c r="AE40" s="554"/>
      <c r="AF40" s="231" t="str">
        <f>PEsoLetra('Digitar aqui Notas e Pesos'!AB40)</f>
        <v/>
      </c>
      <c r="AG40" s="232" t="str">
        <f>PEsoLetra('Digitar aqui Notas e Pesos'!AC40)</f>
        <v/>
      </c>
      <c r="AH40" s="574"/>
      <c r="AI40" s="19" t="str">
        <f>+AI39</f>
        <v>Imprime</v>
      </c>
      <c r="AJ40" s="1"/>
      <c r="AK40" s="130"/>
      <c r="AL40" s="130"/>
      <c r="AM40" s="130"/>
      <c r="AN40" s="130"/>
      <c r="AO40" s="130"/>
      <c r="AQ40" s="130"/>
      <c r="AR40" s="130"/>
      <c r="AS40" s="28"/>
      <c r="AT40" s="130"/>
      <c r="AU40" s="130"/>
      <c r="AV40" s="28"/>
      <c r="AW40" s="130"/>
      <c r="AX40" s="130"/>
      <c r="AY40" s="28"/>
      <c r="AZ40" s="130"/>
      <c r="BA40" s="130"/>
      <c r="BB40" s="28"/>
      <c r="BC40" s="130"/>
      <c r="BD40" s="130"/>
      <c r="BE40" s="28"/>
      <c r="BF40" s="130"/>
      <c r="BG40" s="130"/>
      <c r="BH40" s="28"/>
      <c r="BI40" s="130"/>
      <c r="BJ40" s="130"/>
      <c r="BK40" s="28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171"/>
      <c r="CN40" s="171"/>
    </row>
    <row r="41" spans="1:92" ht="15.75" hidden="1" thickBot="1" x14ac:dyDescent="0.25">
      <c r="A41" s="546" t="str">
        <f>'Digitar aqui Notas e Pesos'!A41</f>
        <v>Nome da Atividade 3 da Unidade 1</v>
      </c>
      <c r="B41" s="547"/>
      <c r="C41" s="229">
        <f>IF('Digitar aqui Notas e Pesos'!C41,PEsoLetra('Digitar aqui Notas e Pesos'!C41),0)</f>
        <v>0</v>
      </c>
      <c r="D41" s="208">
        <f>IF(ISTEXT($C41),(G41*letrapeso(G42)+K41*letrapeso(K42)+N41*letrapeso(N42)+Q41*letrapeso(Q42)+T41*letrapeso(T42)+W41*letrapeso(W42)+Z41*letrapeso(Z42)+AC41*letrapeso(AC42)+AF41*letrapeso(AF42))/(letrapeso(G42)+letrapeso(K42)+letrapeso(N42)+letrapeso(Q42)+letrapeso(T42)+letrapeso(W42)+letrapeso(Z42)+letrapeso(AC42)+letrapeso(AF42)),0)</f>
        <v>0</v>
      </c>
      <c r="E41" s="208">
        <f>IF(ISTEXT($C41),(H41*letrapeso(H42)+L41*letrapeso(L42)+O41*letrapeso(O42)+R41*letrapeso(R42)+U41*letrapeso(U42)+X41*letrapeso(X42)+AA41*letrapeso(AA42)+AD41*letrapeso(AD42)+AG41*letrapeso(AG42))/(letrapeso(H42)+letrapeso(L42)+letrapeso(O42)+letrapeso(R42)+letrapeso(U42)+letrapeso(X42)+letrapeso(AA42)+letrapeso(AD42)+letrapeso(AG42)),0)</f>
        <v>0</v>
      </c>
      <c r="F41" s="209">
        <f>IF(ISTEXT($C41),(D41*$A$145+E41*$A$146),0)</f>
        <v>0</v>
      </c>
      <c r="G41" s="259">
        <f>'Digitar aqui Notas e Pesos'!D41</f>
        <v>0</v>
      </c>
      <c r="H41" s="116">
        <f>'Digitar aqui Notas e Pesos'!E41</f>
        <v>0</v>
      </c>
      <c r="I41" s="565">
        <f>IF(AND(G41&lt;&gt;0,H41&lt;&gt;0,$C41&lt;&gt;0),(G41*letrapeso(G42)*$A$145+H41*letrapeso(H42)*$A$146)/(letrapeso(G42)*$A$145+letrapeso(H42)*$A$146),0)</f>
        <v>0</v>
      </c>
      <c r="J41" s="259">
        <f>'Digitar aqui Notas e Pesos'!F41</f>
        <v>0</v>
      </c>
      <c r="K41" s="259">
        <f>'Digitar aqui Notas e Pesos'!G41</f>
        <v>0</v>
      </c>
      <c r="L41" s="116">
        <f>'Digitar aqui Notas e Pesos'!H41</f>
        <v>0</v>
      </c>
      <c r="M41" s="553">
        <f>IF(AND(K41&lt;&gt;0,L41&lt;&gt;0,$C41&lt;&gt;0),(K41*letrapeso(K42)*$A$145+L41*letrapeso(L42)*$A$146)/(letrapeso(K42)*$A$145+letrapeso(L42)*$A$146),0)</f>
        <v>0</v>
      </c>
      <c r="N41" s="259">
        <f>'Digitar aqui Notas e Pesos'!J41</f>
        <v>0</v>
      </c>
      <c r="O41" s="116">
        <f>'Digitar aqui Notas e Pesos'!K41</f>
        <v>0</v>
      </c>
      <c r="P41" s="553">
        <f>IF(AND(N41&lt;&gt;0,O41&lt;&gt;0,$C41&lt;&gt;0),(N41*letrapeso(N42)*$A$145+O41*letrapeso(O42)*$A$146)/(letrapeso(N42)*$A$145+letrapeso(O42)*$A$146),0)</f>
        <v>0</v>
      </c>
      <c r="Q41" s="259">
        <f>'Digitar aqui Notas e Pesos'!M41</f>
        <v>0</v>
      </c>
      <c r="R41" s="116">
        <f>'Digitar aqui Notas e Pesos'!N41</f>
        <v>0</v>
      </c>
      <c r="S41" s="553">
        <f>IF(AND(Q41&lt;&gt;0,R41&lt;&gt;0,$C41&lt;&gt;0),(Q41*letrapeso(Q42)*$A$145+R41*letrapeso(R42)*$A$146)/(letrapeso(Q42)*$A$145+letrapeso(R42)*$A$146),0)</f>
        <v>0</v>
      </c>
      <c r="T41" s="259">
        <f>'Digitar aqui Notas e Pesos'!P41</f>
        <v>0</v>
      </c>
      <c r="U41" s="116">
        <f>'Digitar aqui Notas e Pesos'!Q41</f>
        <v>0</v>
      </c>
      <c r="V41" s="553">
        <f>IF(AND(T41&lt;&gt;0,U41&lt;&gt;0,$C41&lt;&gt;0),(T41*letrapeso(T42)*$A$145+U41*letrapeso(U42)*$A$146)/(letrapeso(T42)*$A$145+letrapeso(U42)*$A$146),0)</f>
        <v>0</v>
      </c>
      <c r="W41" s="259">
        <f>'Digitar aqui Notas e Pesos'!S41</f>
        <v>0</v>
      </c>
      <c r="X41" s="116">
        <f>'Digitar aqui Notas e Pesos'!T41</f>
        <v>0</v>
      </c>
      <c r="Y41" s="553">
        <f>IF(AND(W41&lt;&gt;0,X41&lt;&gt;0,$C41&lt;&gt;0),(W41*letrapeso(W42)*$A$145+X41*letrapeso(X42)*$A$146)/(letrapeso(W42)*$A$145+letrapeso(X42)*$A$146),0)</f>
        <v>0</v>
      </c>
      <c r="Z41" s="259">
        <f>'Digitar aqui Notas e Pesos'!V41</f>
        <v>0</v>
      </c>
      <c r="AA41" s="116">
        <f>'Digitar aqui Notas e Pesos'!W41</f>
        <v>0</v>
      </c>
      <c r="AB41" s="553">
        <f>IF(AND(Z41&lt;&gt;0,AA41&lt;&gt;0,$C41&lt;&gt;0),(Z41*letrapeso(Z42)*$A$145+AA41*letrapeso(AA42)*$A$146)/(letrapeso(Z42)*$A$145+letrapeso(AA42)*$A$146),0)</f>
        <v>0</v>
      </c>
      <c r="AC41" s="259">
        <f>'Digitar aqui Notas e Pesos'!Y41</f>
        <v>0</v>
      </c>
      <c r="AD41" s="116">
        <f>'Digitar aqui Notas e Pesos'!Z41</f>
        <v>0</v>
      </c>
      <c r="AE41" s="553">
        <f>IF(AND(AC41&lt;&gt;0,AD41&lt;&gt;0,$C41&lt;&gt;0),(AC41*letrapeso(AC42)*$A$145+AD41*letrapeso(AD42)*$A$146)/(letrapeso(AC42)*$A$145+letrapeso(AD42)*$A$146),0)</f>
        <v>0</v>
      </c>
      <c r="AF41" s="259">
        <f>'Digitar aqui Notas e Pesos'!AB41</f>
        <v>0</v>
      </c>
      <c r="AG41" s="116">
        <f>'Digitar aqui Notas e Pesos'!AC41</f>
        <v>0</v>
      </c>
      <c r="AH41" s="573">
        <f>IF(AND(AF41&lt;&gt;0,AG41&lt;&gt;0,$C41&lt;&gt;0),(AF41*letrapeso(AF42)*$A$145+AG41*letrapeso(AG42)*$A$146)/(letrapeso(AF42)*$A$145+letrapeso(AG42)*$A$146),0)</f>
        <v>0</v>
      </c>
      <c r="AI41" s="8" t="str">
        <f>IF(letrapeso(C41),"Imprime","Não Imprime")</f>
        <v>Não Imprime</v>
      </c>
      <c r="AJ41" s="14" t="s">
        <v>28</v>
      </c>
      <c r="AK41" s="129">
        <f>G41*letrapeso(G42)*letrapeso($C41)</f>
        <v>0</v>
      </c>
      <c r="AL41" s="129">
        <f>H41*letrapeso(H42)*letrapeso($C41)</f>
        <v>0</v>
      </c>
      <c r="AM41" s="129">
        <f>J41*letrapeso(G42)*letrapeso($C41)</f>
        <v>0</v>
      </c>
      <c r="AN41" s="129">
        <f>K41*letrapeso(K42)*letrapeso($C41)</f>
        <v>0</v>
      </c>
      <c r="AO41" s="129">
        <f>L41*letrapeso(L42)*letrapeso($C41)</f>
        <v>0</v>
      </c>
      <c r="AP41" s="131"/>
      <c r="AQ41" s="129">
        <f>N41*letrapeso(N42)*letrapeso($C41)</f>
        <v>0</v>
      </c>
      <c r="AR41" s="129">
        <f>O41*letrapeso(O42)*letrapeso($C41)</f>
        <v>0</v>
      </c>
      <c r="AS41" s="131"/>
      <c r="AT41" s="129">
        <f>Q41*letrapeso(Q42)*letrapeso($C41)</f>
        <v>0</v>
      </c>
      <c r="AU41" s="129">
        <f>R41*letrapeso(R42)*letrapeso($C41)</f>
        <v>0</v>
      </c>
      <c r="AV41" s="131"/>
      <c r="AW41" s="129">
        <f>T41*letrapeso(T42)*letrapeso($C41)</f>
        <v>0</v>
      </c>
      <c r="AX41" s="129">
        <f>U41*letrapeso(U42)*letrapeso($C41)</f>
        <v>0</v>
      </c>
      <c r="AY41" s="131"/>
      <c r="AZ41" s="129">
        <f>W41*letrapeso(W42)*letrapeso($C41)</f>
        <v>0</v>
      </c>
      <c r="BA41" s="129">
        <f>X41*letrapeso(X42)*letrapeso($C41)</f>
        <v>0</v>
      </c>
      <c r="BB41" s="131"/>
      <c r="BC41" s="129">
        <f>Z41*letrapeso(Z42)*letrapeso($C41)</f>
        <v>0</v>
      </c>
      <c r="BD41" s="129">
        <f>AA41*letrapeso(AA42)*letrapeso($C41)</f>
        <v>0</v>
      </c>
      <c r="BE41" s="131"/>
      <c r="BF41" s="129">
        <f>AC41*letrapeso(AC42)*letrapeso($C41)</f>
        <v>0</v>
      </c>
      <c r="BG41" s="129">
        <f>AD41*letrapeso(AD42)*letrapeso($C41)</f>
        <v>0</v>
      </c>
      <c r="BH41" s="131"/>
      <c r="BI41" s="129">
        <f>AF41*letrapeso(AF42)*letrapeso($C41)</f>
        <v>0</v>
      </c>
      <c r="BJ41" s="129">
        <f>AG41*letrapeso(AG42)*letrapeso($C41)</f>
        <v>0</v>
      </c>
      <c r="BK41" s="131"/>
      <c r="BL41" s="171">
        <f>letrapeso(G42)</f>
        <v>0</v>
      </c>
      <c r="BM41" s="171">
        <f>letrapeso(H42)</f>
        <v>0</v>
      </c>
      <c r="BN41" s="41"/>
      <c r="BO41" s="171">
        <f>letrapeso(K42)</f>
        <v>0</v>
      </c>
      <c r="BP41" s="171">
        <f>letrapeso(L42)</f>
        <v>0</v>
      </c>
      <c r="BQ41" s="41"/>
      <c r="BR41" s="171">
        <f>letrapeso(N42)</f>
        <v>0</v>
      </c>
      <c r="BS41" s="171">
        <f>letrapeso(O42)</f>
        <v>0</v>
      </c>
      <c r="BT41" s="41"/>
      <c r="BU41" s="171">
        <f>letrapeso(Q42)</f>
        <v>0</v>
      </c>
      <c r="BV41" s="171">
        <f>letrapeso(R42)</f>
        <v>0</v>
      </c>
      <c r="BW41" s="41"/>
      <c r="BX41" s="171">
        <f>letrapeso(T42)</f>
        <v>0</v>
      </c>
      <c r="BY41" s="171">
        <f>letrapeso(U42)</f>
        <v>0</v>
      </c>
      <c r="BZ41" s="41"/>
      <c r="CA41" s="171">
        <f>letrapeso(W42)</f>
        <v>0</v>
      </c>
      <c r="CB41" s="171">
        <f>letrapeso(X42)</f>
        <v>0</v>
      </c>
      <c r="CC41" s="41"/>
      <c r="CD41" s="171">
        <f>letrapeso(Z42)</f>
        <v>0</v>
      </c>
      <c r="CE41" s="171">
        <f>letrapeso(AA42)</f>
        <v>0</v>
      </c>
      <c r="CF41" s="41"/>
      <c r="CG41" s="171">
        <f>letrapeso(AC42)</f>
        <v>0</v>
      </c>
      <c r="CH41" s="171">
        <f>letrapeso(AD42)</f>
        <v>0</v>
      </c>
      <c r="CI41" s="41"/>
      <c r="CJ41" s="171">
        <f>letrapeso(AF42)</f>
        <v>0</v>
      </c>
      <c r="CK41" s="171">
        <f>letrapeso(AG42)</f>
        <v>0</v>
      </c>
      <c r="CL41" s="41"/>
      <c r="CM41" s="41">
        <f>IF(ISTEXT($C41),(BL41+BO41+BR41+BU41+BX41+CA41+CD41+CG41+CJ41),0)</f>
        <v>0</v>
      </c>
      <c r="CN41" s="41">
        <f>IF(ISTEXT($C41),(BM41+BP41+BS41+BV41+BY41+CB41+CE41+CH41+CK41),0)</f>
        <v>0</v>
      </c>
    </row>
    <row r="42" spans="1:92" ht="15.75" hidden="1" thickBot="1" x14ac:dyDescent="0.25">
      <c r="A42" s="537" t="str">
        <f>TEXT(D41,"0,00")&amp;"       "&amp;TEXT(E41,"0,00")&amp;"       "&amp;TEXT(F41,"0,00")</f>
        <v>0,00       0,00       0,00</v>
      </c>
      <c r="B42" s="538"/>
      <c r="C42" s="230"/>
      <c r="D42" s="210"/>
      <c r="E42" s="208">
        <f>IF(ISTEXT($C42),(H42*letrapeso(H43)+#REF!*letrapeso(#REF!)+L42*letrapeso(L43)+O42*letrapeso(O43)+R42*letrapeso(R43)+#REF!*letrapeso(#REF!)+U42*letrapeso(U43)+X42*letrapeso(X43)+AA42*letrapeso(AA43)+AD42*letrapeso(AD43)+AG42*letrapeso(AG43))/(letrapeso(H43)+letrapeso(#REF!)+letrapeso(L43)+letrapeso(O43)+letrapeso(R43)+letrapeso(#REF!)+letrapeso(U43)+letrapeso(X43)+letrapeso(AA43)+letrapeso(AD43)+letrapeso(AG43)),0)</f>
        <v>0</v>
      </c>
      <c r="F42" s="209"/>
      <c r="G42" s="231" t="str">
        <f>PEsoLetra('Digitar aqui Notas e Pesos'!D42)</f>
        <v/>
      </c>
      <c r="H42" s="232" t="str">
        <f>PEsoLetra('Digitar aqui Notas e Pesos'!E42)</f>
        <v/>
      </c>
      <c r="I42" s="566"/>
      <c r="J42" s="490"/>
      <c r="K42" s="231" t="str">
        <f>PEsoLetra('Digitar aqui Notas e Pesos'!G42)</f>
        <v/>
      </c>
      <c r="L42" s="232" t="str">
        <f>PEsoLetra('Digitar aqui Notas e Pesos'!H42)</f>
        <v/>
      </c>
      <c r="M42" s="554"/>
      <c r="N42" s="231" t="str">
        <f>PEsoLetra('Digitar aqui Notas e Pesos'!J42)</f>
        <v/>
      </c>
      <c r="O42" s="232" t="str">
        <f>PEsoLetra('Digitar aqui Notas e Pesos'!K42)</f>
        <v/>
      </c>
      <c r="P42" s="554"/>
      <c r="Q42" s="231" t="str">
        <f>PEsoLetra('Digitar aqui Notas e Pesos'!M42)</f>
        <v/>
      </c>
      <c r="R42" s="232" t="str">
        <f>PEsoLetra('Digitar aqui Notas e Pesos'!N42)</f>
        <v/>
      </c>
      <c r="S42" s="554"/>
      <c r="T42" s="231" t="str">
        <f>PEsoLetra('Digitar aqui Notas e Pesos'!P42)</f>
        <v/>
      </c>
      <c r="U42" s="232" t="str">
        <f>PEsoLetra('Digitar aqui Notas e Pesos'!Q42)</f>
        <v/>
      </c>
      <c r="V42" s="554"/>
      <c r="W42" s="231" t="str">
        <f>PEsoLetra('Digitar aqui Notas e Pesos'!S42)</f>
        <v/>
      </c>
      <c r="X42" s="232" t="str">
        <f>PEsoLetra('Digitar aqui Notas e Pesos'!T42)</f>
        <v/>
      </c>
      <c r="Y42" s="554"/>
      <c r="Z42" s="231" t="str">
        <f>PEsoLetra('Digitar aqui Notas e Pesos'!V42)</f>
        <v/>
      </c>
      <c r="AA42" s="232" t="str">
        <f>PEsoLetra('Digitar aqui Notas e Pesos'!W42)</f>
        <v/>
      </c>
      <c r="AB42" s="554"/>
      <c r="AC42" s="231" t="str">
        <f>PEsoLetra('Digitar aqui Notas e Pesos'!Y42)</f>
        <v/>
      </c>
      <c r="AD42" s="232" t="str">
        <f>PEsoLetra('Digitar aqui Notas e Pesos'!Z42)</f>
        <v/>
      </c>
      <c r="AE42" s="554"/>
      <c r="AF42" s="231" t="str">
        <f>PEsoLetra('Digitar aqui Notas e Pesos'!AB42)</f>
        <v/>
      </c>
      <c r="AG42" s="232" t="str">
        <f>PEsoLetra('Digitar aqui Notas e Pesos'!AC42)</f>
        <v/>
      </c>
      <c r="AH42" s="574"/>
      <c r="AI42" s="19" t="str">
        <f>+AI41</f>
        <v>Não Imprime</v>
      </c>
      <c r="AJ42" s="1"/>
      <c r="AK42" s="130"/>
      <c r="AL42" s="130"/>
      <c r="AM42" s="130"/>
      <c r="AN42" s="130"/>
      <c r="AO42" s="130"/>
      <c r="AP42" s="131"/>
      <c r="AQ42" s="130"/>
      <c r="AR42" s="130"/>
      <c r="AS42" s="131"/>
      <c r="AT42" s="130"/>
      <c r="AU42" s="130"/>
      <c r="AV42" s="131"/>
      <c r="AW42" s="130"/>
      <c r="AX42" s="130"/>
      <c r="AY42" s="131"/>
      <c r="AZ42" s="130"/>
      <c r="BA42" s="130"/>
      <c r="BB42" s="131"/>
      <c r="BC42" s="130"/>
      <c r="BD42" s="130"/>
      <c r="BE42" s="131"/>
      <c r="BF42" s="130"/>
      <c r="BG42" s="130"/>
      <c r="BH42" s="131"/>
      <c r="BI42" s="130"/>
      <c r="BJ42" s="130"/>
      <c r="BK42" s="131"/>
      <c r="CM42" s="28"/>
      <c r="CN42" s="28"/>
    </row>
    <row r="43" spans="1:92" ht="15.75" hidden="1" thickBot="1" x14ac:dyDescent="0.25">
      <c r="A43" s="546" t="str">
        <f>'Digitar aqui Notas e Pesos'!A43</f>
        <v>Nome da Atividade 3 da Unidade 1</v>
      </c>
      <c r="B43" s="547"/>
      <c r="C43" s="229">
        <f>IF('Digitar aqui Notas e Pesos'!C43,PEsoLetra('Digitar aqui Notas e Pesos'!C43),0)</f>
        <v>0</v>
      </c>
      <c r="D43" s="208">
        <f>IF(ISTEXT($C43),(G43*letrapeso(G44)+K43*letrapeso(K44)+N43*letrapeso(N44)+Q43*letrapeso(Q44)+T43*letrapeso(T44)+W43*letrapeso(W44)+Z43*letrapeso(Z44)+AC43*letrapeso(AC44)+AF43*letrapeso(AF44))/(letrapeso(G44)+letrapeso(K44)+letrapeso(N44)+letrapeso(Q44)+letrapeso(T44)+letrapeso(W44)+letrapeso(Z44)+letrapeso(AC44)+letrapeso(AF44)),0)</f>
        <v>0</v>
      </c>
      <c r="E43" s="208">
        <f>IF(ISTEXT($C43),(H43*letrapeso(H44)+L43*letrapeso(L44)+O43*letrapeso(O44)+R43*letrapeso(R44)+U43*letrapeso(U44)+X43*letrapeso(X44)+AA43*letrapeso(AA44)+AD43*letrapeso(AD44)+AG43*letrapeso(AG44))/(letrapeso(H44)+letrapeso(L44)+letrapeso(O44)+letrapeso(R44)+letrapeso(U44)+letrapeso(X44)+letrapeso(AA44)+letrapeso(AD44)+letrapeso(AG44)),0)</f>
        <v>0</v>
      </c>
      <c r="F43" s="209">
        <f>IF(ISTEXT($C43),(D43*$A$145+E43*$A$146),0)</f>
        <v>0</v>
      </c>
      <c r="G43" s="259">
        <f>'Digitar aqui Notas e Pesos'!D43</f>
        <v>0</v>
      </c>
      <c r="H43" s="116">
        <f>'Digitar aqui Notas e Pesos'!E43</f>
        <v>0</v>
      </c>
      <c r="I43" s="565">
        <f>IF(AND(G43&lt;&gt;0,H43&lt;&gt;0,$C43&lt;&gt;0),(G43*letrapeso(G44)*$A$145+H43*letrapeso(H44)*$A$146)/(letrapeso(G44)*$A$145+letrapeso(H44)*$A$146),0)</f>
        <v>0</v>
      </c>
      <c r="J43" s="259">
        <f>'Digitar aqui Notas e Pesos'!F43</f>
        <v>0</v>
      </c>
      <c r="K43" s="259">
        <f>'Digitar aqui Notas e Pesos'!G43</f>
        <v>0</v>
      </c>
      <c r="L43" s="116">
        <f>'Digitar aqui Notas e Pesos'!H43</f>
        <v>0</v>
      </c>
      <c r="M43" s="553">
        <f>IF(AND(K43&lt;&gt;0,L43&lt;&gt;0,$C43&lt;&gt;0),(K43*letrapeso(K44)*$A$145+L43*letrapeso(L44)*$A$146)/(letrapeso(K44)*$A$145+letrapeso(L44)*$A$146),0)</f>
        <v>0</v>
      </c>
      <c r="N43" s="259">
        <f>'Digitar aqui Notas e Pesos'!J43</f>
        <v>0</v>
      </c>
      <c r="O43" s="116">
        <f>'Digitar aqui Notas e Pesos'!K43</f>
        <v>0</v>
      </c>
      <c r="P43" s="553">
        <f>IF(AND(N43&lt;&gt;0,O43&lt;&gt;0,$C43&lt;&gt;0),(N43*letrapeso(N44)*$A$145+O43*letrapeso(O44)*$A$146)/(letrapeso(N44)*$A$145+letrapeso(O44)*$A$146),0)</f>
        <v>0</v>
      </c>
      <c r="Q43" s="259">
        <f>'Digitar aqui Notas e Pesos'!M43</f>
        <v>0</v>
      </c>
      <c r="R43" s="116">
        <f>'Digitar aqui Notas e Pesos'!N43</f>
        <v>0</v>
      </c>
      <c r="S43" s="553">
        <f>IF(AND(Q43&lt;&gt;0,R43&lt;&gt;0,$C43&lt;&gt;0),(Q43*letrapeso(Q44)*$A$145+R43*letrapeso(R44)*$A$146)/(letrapeso(Q44)*$A$145+letrapeso(R44)*$A$146),0)</f>
        <v>0</v>
      </c>
      <c r="T43" s="259">
        <f>'Digitar aqui Notas e Pesos'!P43</f>
        <v>0</v>
      </c>
      <c r="U43" s="116">
        <f>'Digitar aqui Notas e Pesos'!Q43</f>
        <v>0</v>
      </c>
      <c r="V43" s="553">
        <f>IF(AND(T43&lt;&gt;0,U43&lt;&gt;0,$C43&lt;&gt;0),(T43*letrapeso(T44)*$A$145+U43*letrapeso(U44)*$A$146)/(letrapeso(T44)*$A$145+letrapeso(U44)*$A$146),0)</f>
        <v>0</v>
      </c>
      <c r="W43" s="259">
        <f>'Digitar aqui Notas e Pesos'!S43</f>
        <v>0</v>
      </c>
      <c r="X43" s="116">
        <f>'Digitar aqui Notas e Pesos'!T43</f>
        <v>0</v>
      </c>
      <c r="Y43" s="553">
        <f>IF(AND(W43&lt;&gt;0,X43&lt;&gt;0,$C43&lt;&gt;0),(W43*letrapeso(W44)*$A$145+X43*letrapeso(X44)*$A$146)/(letrapeso(W44)*$A$145+letrapeso(X44)*$A$146),0)</f>
        <v>0</v>
      </c>
      <c r="Z43" s="259">
        <f>'Digitar aqui Notas e Pesos'!V43</f>
        <v>0</v>
      </c>
      <c r="AA43" s="116">
        <f>'Digitar aqui Notas e Pesos'!W43</f>
        <v>0</v>
      </c>
      <c r="AB43" s="553">
        <f>IF(AND(Z43&lt;&gt;0,AA43&lt;&gt;0,$C43&lt;&gt;0),(Z43*letrapeso(Z44)*$A$145+AA43*letrapeso(AA44)*$A$146)/(letrapeso(Z44)*$A$145+letrapeso(AA44)*$A$146),0)</f>
        <v>0</v>
      </c>
      <c r="AC43" s="259">
        <f>'Digitar aqui Notas e Pesos'!Y43</f>
        <v>0</v>
      </c>
      <c r="AD43" s="116">
        <f>'Digitar aqui Notas e Pesos'!Z43</f>
        <v>0</v>
      </c>
      <c r="AE43" s="553">
        <f>IF(AND(AC43&lt;&gt;0,AD43&lt;&gt;0,$C43&lt;&gt;0),(AC43*letrapeso(AC44)*$A$145+AD43*letrapeso(AD44)*$A$146)/(letrapeso(AC44)*$A$145+letrapeso(AD44)*$A$146),0)</f>
        <v>0</v>
      </c>
      <c r="AF43" s="259">
        <f>'Digitar aqui Notas e Pesos'!AB43</f>
        <v>0</v>
      </c>
      <c r="AG43" s="116">
        <f>'Digitar aqui Notas e Pesos'!AC43</f>
        <v>0</v>
      </c>
      <c r="AH43" s="573">
        <f>IF(AND(AF43&lt;&gt;0,AG43&lt;&gt;0,$C43&lt;&gt;0),(AF43*letrapeso(AF44)*$A$145+AG43*letrapeso(AG44)*$A$146)/(letrapeso(AF44)*$A$145+letrapeso(AG44)*$A$146),0)</f>
        <v>0</v>
      </c>
      <c r="AI43" s="8" t="str">
        <f>IF(letrapeso(C43),"Imprime","Não Imprime")</f>
        <v>Não Imprime</v>
      </c>
      <c r="AJ43" s="14" t="s">
        <v>28</v>
      </c>
      <c r="AK43" s="129">
        <f>G43*letrapeso(G44)*letrapeso($C43)</f>
        <v>0</v>
      </c>
      <c r="AL43" s="129">
        <f>H43*letrapeso(H44)*letrapeso($C43)</f>
        <v>0</v>
      </c>
      <c r="AM43" s="129">
        <f>J43*letrapeso(G44)*letrapeso($C43)</f>
        <v>0</v>
      </c>
      <c r="AN43" s="129">
        <f>K43*letrapeso(K44)*letrapeso($C43)</f>
        <v>0</v>
      </c>
      <c r="AO43" s="129">
        <f>L43*letrapeso(L44)*letrapeso($C43)</f>
        <v>0</v>
      </c>
      <c r="AP43" s="131"/>
      <c r="AQ43" s="129">
        <f>N43*letrapeso(N44)*letrapeso($C43)</f>
        <v>0</v>
      </c>
      <c r="AR43" s="129">
        <f>O43*letrapeso(O44)*letrapeso($C43)</f>
        <v>0</v>
      </c>
      <c r="AS43" s="131"/>
      <c r="AT43" s="129">
        <f>Q43*letrapeso(Q44)*letrapeso($C43)</f>
        <v>0</v>
      </c>
      <c r="AU43" s="129">
        <f>R43*letrapeso(R44)*letrapeso($C43)</f>
        <v>0</v>
      </c>
      <c r="AV43" s="131"/>
      <c r="AW43" s="129">
        <f>T43*letrapeso(T44)*letrapeso($C43)</f>
        <v>0</v>
      </c>
      <c r="AX43" s="129">
        <f>U43*letrapeso(U44)*letrapeso($C43)</f>
        <v>0</v>
      </c>
      <c r="AY43" s="131"/>
      <c r="AZ43" s="129">
        <f>W43*letrapeso(W44)*letrapeso($C43)</f>
        <v>0</v>
      </c>
      <c r="BA43" s="129">
        <f>X43*letrapeso(X44)*letrapeso($C43)</f>
        <v>0</v>
      </c>
      <c r="BB43" s="131"/>
      <c r="BC43" s="129">
        <f>Z43*letrapeso(Z44)*letrapeso($C43)</f>
        <v>0</v>
      </c>
      <c r="BD43" s="129">
        <f>AA43*letrapeso(AA44)*letrapeso($C43)</f>
        <v>0</v>
      </c>
      <c r="BE43" s="131"/>
      <c r="BF43" s="129">
        <f>AC43*letrapeso(AC44)*letrapeso($C43)</f>
        <v>0</v>
      </c>
      <c r="BG43" s="129">
        <f>AD43*letrapeso(AD44)*letrapeso($C43)</f>
        <v>0</v>
      </c>
      <c r="BH43" s="131"/>
      <c r="BI43" s="129">
        <f>AF43*letrapeso(AF44)*letrapeso($C43)</f>
        <v>0</v>
      </c>
      <c r="BJ43" s="129">
        <f>AG43*letrapeso(AG44)*letrapeso($C43)</f>
        <v>0</v>
      </c>
      <c r="BK43" s="131"/>
      <c r="BL43" s="171">
        <f>letrapeso(G44)</f>
        <v>0</v>
      </c>
      <c r="BM43" s="171">
        <f>letrapeso(H44)</f>
        <v>0</v>
      </c>
      <c r="BN43" s="41"/>
      <c r="BO43" s="171">
        <f>letrapeso(K44)</f>
        <v>0</v>
      </c>
      <c r="BP43" s="171">
        <f>letrapeso(L44)</f>
        <v>0</v>
      </c>
      <c r="BQ43" s="41"/>
      <c r="BR43" s="171">
        <f>letrapeso(N44)</f>
        <v>0</v>
      </c>
      <c r="BS43" s="171">
        <f>letrapeso(O44)</f>
        <v>0</v>
      </c>
      <c r="BT43" s="41"/>
      <c r="BU43" s="171">
        <f>letrapeso(Q44)</f>
        <v>0</v>
      </c>
      <c r="BV43" s="171">
        <f>letrapeso(R44)</f>
        <v>0</v>
      </c>
      <c r="BW43" s="41"/>
      <c r="BX43" s="171">
        <f>letrapeso(T44)</f>
        <v>0</v>
      </c>
      <c r="BY43" s="171">
        <f>letrapeso(U44)</f>
        <v>0</v>
      </c>
      <c r="BZ43" s="41"/>
      <c r="CA43" s="171">
        <f>letrapeso(W44)</f>
        <v>0</v>
      </c>
      <c r="CB43" s="171">
        <f>letrapeso(X44)</f>
        <v>0</v>
      </c>
      <c r="CC43" s="41"/>
      <c r="CD43" s="171">
        <f>letrapeso(Z44)</f>
        <v>0</v>
      </c>
      <c r="CE43" s="171">
        <f>letrapeso(AA44)</f>
        <v>0</v>
      </c>
      <c r="CF43" s="41"/>
      <c r="CG43" s="171">
        <f>letrapeso(AC44)</f>
        <v>0</v>
      </c>
      <c r="CH43" s="171">
        <f>letrapeso(AD44)</f>
        <v>0</v>
      </c>
      <c r="CI43" s="41"/>
      <c r="CJ43" s="171">
        <f>letrapeso(AF44)</f>
        <v>0</v>
      </c>
      <c r="CK43" s="171">
        <f>letrapeso(AG44)</f>
        <v>0</v>
      </c>
      <c r="CL43" s="41"/>
      <c r="CM43" s="41">
        <f>IF(ISTEXT($C43),(BL43+BO43+BR43+BU43+BX43+CA43+CD43+CG43+CJ43),0)</f>
        <v>0</v>
      </c>
      <c r="CN43" s="41">
        <f>IF(ISTEXT($C43),(BM43+BP43+BS43+BV43+BY43+CB43+CE43+CH43+CK43),0)</f>
        <v>0</v>
      </c>
    </row>
    <row r="44" spans="1:92" ht="15.75" hidden="1" thickBot="1" x14ac:dyDescent="0.25">
      <c r="A44" s="537" t="str">
        <f>TEXT(D43,"0,00")&amp;"       "&amp;TEXT(E43,"0,00")&amp;"       "&amp;TEXT(F43,"0,00")</f>
        <v>0,00       0,00       0,00</v>
      </c>
      <c r="B44" s="538"/>
      <c r="C44" s="230"/>
      <c r="D44" s="210"/>
      <c r="E44" s="208">
        <f>IF(ISTEXT($C44),(H44*letrapeso(H45)+#REF!*letrapeso(#REF!)+L44*letrapeso(L45)+O44*letrapeso(O45)+R44*letrapeso(R45)+#REF!*letrapeso(#REF!)+U44*letrapeso(U45)+X44*letrapeso(X45)+AA44*letrapeso(AA45)+AD44*letrapeso(AD45)+AG44*letrapeso(AG45))/(letrapeso(H45)+letrapeso(#REF!)+letrapeso(L45)+letrapeso(O45)+letrapeso(R45)+letrapeso(#REF!)+letrapeso(U45)+letrapeso(X45)+letrapeso(AA45)+letrapeso(AD45)+letrapeso(AG45)),0)</f>
        <v>0</v>
      </c>
      <c r="F44" s="209"/>
      <c r="G44" s="231" t="str">
        <f>PEsoLetra('Digitar aqui Notas e Pesos'!D44)</f>
        <v/>
      </c>
      <c r="H44" s="232" t="str">
        <f>PEsoLetra('Digitar aqui Notas e Pesos'!E44)</f>
        <v/>
      </c>
      <c r="I44" s="566"/>
      <c r="J44" s="490"/>
      <c r="K44" s="231" t="str">
        <f>PEsoLetra('Digitar aqui Notas e Pesos'!G44)</f>
        <v/>
      </c>
      <c r="L44" s="232" t="str">
        <f>PEsoLetra('Digitar aqui Notas e Pesos'!H44)</f>
        <v/>
      </c>
      <c r="M44" s="554"/>
      <c r="N44" s="231" t="str">
        <f>PEsoLetra('Digitar aqui Notas e Pesos'!J44)</f>
        <v/>
      </c>
      <c r="O44" s="232" t="str">
        <f>PEsoLetra('Digitar aqui Notas e Pesos'!K44)</f>
        <v/>
      </c>
      <c r="P44" s="554"/>
      <c r="Q44" s="231" t="str">
        <f>PEsoLetra('Digitar aqui Notas e Pesos'!M44)</f>
        <v/>
      </c>
      <c r="R44" s="232" t="str">
        <f>PEsoLetra('Digitar aqui Notas e Pesos'!N44)</f>
        <v/>
      </c>
      <c r="S44" s="554"/>
      <c r="T44" s="231" t="str">
        <f>PEsoLetra('Digitar aqui Notas e Pesos'!P44)</f>
        <v/>
      </c>
      <c r="U44" s="232" t="str">
        <f>PEsoLetra('Digitar aqui Notas e Pesos'!Q44)</f>
        <v/>
      </c>
      <c r="V44" s="554"/>
      <c r="W44" s="231" t="str">
        <f>PEsoLetra('Digitar aqui Notas e Pesos'!S44)</f>
        <v/>
      </c>
      <c r="X44" s="232" t="str">
        <f>PEsoLetra('Digitar aqui Notas e Pesos'!T44)</f>
        <v/>
      </c>
      <c r="Y44" s="554"/>
      <c r="Z44" s="231" t="str">
        <f>PEsoLetra('Digitar aqui Notas e Pesos'!V44)</f>
        <v/>
      </c>
      <c r="AA44" s="232" t="str">
        <f>PEsoLetra('Digitar aqui Notas e Pesos'!W44)</f>
        <v/>
      </c>
      <c r="AB44" s="554"/>
      <c r="AC44" s="231" t="str">
        <f>PEsoLetra('Digitar aqui Notas e Pesos'!Y44)</f>
        <v/>
      </c>
      <c r="AD44" s="232" t="str">
        <f>PEsoLetra('Digitar aqui Notas e Pesos'!Z44)</f>
        <v/>
      </c>
      <c r="AE44" s="554"/>
      <c r="AF44" s="231" t="str">
        <f>PEsoLetra('Digitar aqui Notas e Pesos'!AB44)</f>
        <v/>
      </c>
      <c r="AG44" s="232" t="str">
        <f>PEsoLetra('Digitar aqui Notas e Pesos'!AC44)</f>
        <v/>
      </c>
      <c r="AH44" s="574"/>
      <c r="AI44" s="19" t="str">
        <f>+AI43</f>
        <v>Não Imprime</v>
      </c>
      <c r="AJ44" s="1"/>
      <c r="AK44" s="130"/>
      <c r="AL44" s="130"/>
      <c r="AM44" s="130"/>
      <c r="AN44" s="130"/>
      <c r="AO44" s="130"/>
      <c r="AP44" s="131"/>
      <c r="AQ44" s="130"/>
      <c r="AR44" s="130"/>
      <c r="AS44" s="131"/>
      <c r="AT44" s="130"/>
      <c r="AU44" s="130"/>
      <c r="AV44" s="131"/>
      <c r="AW44" s="130"/>
      <c r="AX44" s="130"/>
      <c r="AY44" s="131"/>
      <c r="AZ44" s="130"/>
      <c r="BA44" s="130"/>
      <c r="BB44" s="131"/>
      <c r="BC44" s="130"/>
      <c r="BD44" s="130"/>
      <c r="BE44" s="131"/>
      <c r="BF44" s="130"/>
      <c r="BG44" s="130"/>
      <c r="BH44" s="131"/>
      <c r="BI44" s="130"/>
      <c r="BJ44" s="130"/>
      <c r="BK44" s="131"/>
      <c r="CM44" s="28"/>
      <c r="CN44" s="28"/>
    </row>
    <row r="45" spans="1:92" ht="15.75" hidden="1" thickBot="1" x14ac:dyDescent="0.25">
      <c r="A45" s="546" t="str">
        <f>'Digitar aqui Notas e Pesos'!A45</f>
        <v>Nome da Atividade 4 da Unidade 1</v>
      </c>
      <c r="B45" s="547"/>
      <c r="C45" s="229">
        <f>IF('Digitar aqui Notas e Pesos'!C45,PEsoLetra('Digitar aqui Notas e Pesos'!C45),0)</f>
        <v>0</v>
      </c>
      <c r="D45" s="208">
        <f>IF(ISTEXT($C45),(G45*letrapeso(G46)+K45*letrapeso(K46)+N45*letrapeso(N46)+Q45*letrapeso(Q46)+T45*letrapeso(T46)+W45*letrapeso(W46)+Z45*letrapeso(Z46)+AC45*letrapeso(AC46)+AF45*letrapeso(AF46))/(letrapeso(G46)+letrapeso(K46)+letrapeso(N46)+letrapeso(Q46)+letrapeso(T46)+letrapeso(W46)+letrapeso(Z46)+letrapeso(AC46)+letrapeso(AF46)),0)</f>
        <v>0</v>
      </c>
      <c r="E45" s="208">
        <f>IF(ISTEXT($C45),(H45*letrapeso(H46)+L45*letrapeso(L46)+O45*letrapeso(O46)+R45*letrapeso(R46)+U45*letrapeso(U46)+X45*letrapeso(X46)+AA45*letrapeso(AA46)+AD45*letrapeso(AD46)+AG45*letrapeso(AG46))/(letrapeso(H46)+letrapeso(L46)+letrapeso(O46)+letrapeso(R46)+letrapeso(U46)+letrapeso(X46)+letrapeso(AA46)+letrapeso(AD46)+letrapeso(AG46)),0)</f>
        <v>0</v>
      </c>
      <c r="F45" s="209">
        <f>IF(ISTEXT($C45),(D45*$A$145+E45*$A$146),0)</f>
        <v>0</v>
      </c>
      <c r="G45" s="259">
        <f>'Digitar aqui Notas e Pesos'!D45</f>
        <v>0</v>
      </c>
      <c r="H45" s="116">
        <f>'Digitar aqui Notas e Pesos'!E45</f>
        <v>0</v>
      </c>
      <c r="I45" s="565">
        <f>IF(AND(G45&lt;&gt;0,H45&lt;&gt;0,$C45&lt;&gt;0),(G45*letrapeso(G46)*$A$145+H45*letrapeso(H46)*$A$146)/(letrapeso(G46)*$A$145+letrapeso(H46)*$A$146),0)</f>
        <v>0</v>
      </c>
      <c r="J45" s="259">
        <f>'Digitar aqui Notas e Pesos'!F45</f>
        <v>0</v>
      </c>
      <c r="K45" s="259">
        <f>'Digitar aqui Notas e Pesos'!G45</f>
        <v>0</v>
      </c>
      <c r="L45" s="116">
        <f>'Digitar aqui Notas e Pesos'!H45</f>
        <v>0</v>
      </c>
      <c r="M45" s="553">
        <f>IF(AND(K45&lt;&gt;0,L45&lt;&gt;0,$C45&lt;&gt;0),(K45*letrapeso(K46)*$A$145+L45*letrapeso(L46)*$A$146)/(letrapeso(K46)*$A$145+letrapeso(L46)*$A$146),0)</f>
        <v>0</v>
      </c>
      <c r="N45" s="259">
        <f>'Digitar aqui Notas e Pesos'!J45</f>
        <v>0</v>
      </c>
      <c r="O45" s="116">
        <f>'Digitar aqui Notas e Pesos'!K45</f>
        <v>0</v>
      </c>
      <c r="P45" s="553">
        <f>IF(AND(N45&lt;&gt;0,O45&lt;&gt;0,$C45&lt;&gt;0),(N45*letrapeso(N46)*$A$145+O45*letrapeso(O46)*$A$146)/(letrapeso(N46)*$A$145+letrapeso(O46)*$A$146),0)</f>
        <v>0</v>
      </c>
      <c r="Q45" s="259">
        <f>'Digitar aqui Notas e Pesos'!M45</f>
        <v>0</v>
      </c>
      <c r="R45" s="116">
        <f>'Digitar aqui Notas e Pesos'!N45</f>
        <v>0</v>
      </c>
      <c r="S45" s="553">
        <f>IF(AND(Q45&lt;&gt;0,R45&lt;&gt;0,$C45&lt;&gt;0),(Q45*letrapeso(Q46)*$A$145+R45*letrapeso(R46)*$A$146)/(letrapeso(Q46)*$A$145+letrapeso(R46)*$A$146),0)</f>
        <v>0</v>
      </c>
      <c r="T45" s="259">
        <f>'Digitar aqui Notas e Pesos'!P45</f>
        <v>0</v>
      </c>
      <c r="U45" s="116">
        <f>'Digitar aqui Notas e Pesos'!Q45</f>
        <v>0</v>
      </c>
      <c r="V45" s="553">
        <f>IF(AND(T45&lt;&gt;0,U45&lt;&gt;0,$C45&lt;&gt;0),(T45*letrapeso(T46)*$A$145+U45*letrapeso(U46)*$A$146)/(letrapeso(T46)*$A$145+letrapeso(U46)*$A$146),0)</f>
        <v>0</v>
      </c>
      <c r="W45" s="259">
        <f>'Digitar aqui Notas e Pesos'!S45</f>
        <v>0</v>
      </c>
      <c r="X45" s="116">
        <f>'Digitar aqui Notas e Pesos'!T45</f>
        <v>0</v>
      </c>
      <c r="Y45" s="553">
        <f>IF(AND(W45&lt;&gt;0,X45&lt;&gt;0,$C45&lt;&gt;0),(W45*letrapeso(W46)*$A$145+X45*letrapeso(X46)*$A$146)/(letrapeso(W46)*$A$145+letrapeso(X46)*$A$146),0)</f>
        <v>0</v>
      </c>
      <c r="Z45" s="259">
        <f>'Digitar aqui Notas e Pesos'!V45</f>
        <v>0</v>
      </c>
      <c r="AA45" s="116">
        <f>'Digitar aqui Notas e Pesos'!W45</f>
        <v>0</v>
      </c>
      <c r="AB45" s="553">
        <f>IF(AND(Z45&lt;&gt;0,AA45&lt;&gt;0,$C45&lt;&gt;0),(Z45*letrapeso(Z46)*$A$145+AA45*letrapeso(AA46)*$A$146)/(letrapeso(Z46)*$A$145+letrapeso(AA46)*$A$146),0)</f>
        <v>0</v>
      </c>
      <c r="AC45" s="259">
        <f>'Digitar aqui Notas e Pesos'!Y45</f>
        <v>0</v>
      </c>
      <c r="AD45" s="116">
        <f>'Digitar aqui Notas e Pesos'!Z45</f>
        <v>0</v>
      </c>
      <c r="AE45" s="553">
        <f>IF(AND(AC45&lt;&gt;0,AD45&lt;&gt;0,$C45&lt;&gt;0),(AC45*letrapeso(AC46)*$A$145+AD45*letrapeso(AD46)*$A$146)/(letrapeso(AC46)*$A$145+letrapeso(AD46)*$A$146),0)</f>
        <v>0</v>
      </c>
      <c r="AF45" s="259">
        <f>'Digitar aqui Notas e Pesos'!AB45</f>
        <v>0</v>
      </c>
      <c r="AG45" s="116">
        <f>'Digitar aqui Notas e Pesos'!AC45</f>
        <v>0</v>
      </c>
      <c r="AH45" s="573">
        <f>IF(AND(AF45&lt;&gt;0,AG45&lt;&gt;0,$C45&lt;&gt;0),(AF45*letrapeso(AF46)*$A$145+AG45*letrapeso(AG46)*$A$146)/(letrapeso(AF46)*$A$145+letrapeso(AG46)*$A$146),0)</f>
        <v>0</v>
      </c>
      <c r="AI45" s="8" t="str">
        <f>IF(letrapeso(C45),"Imprime","Não Imprime")</f>
        <v>Não Imprime</v>
      </c>
      <c r="AJ45" s="14" t="s">
        <v>28</v>
      </c>
      <c r="AK45" s="129">
        <f>G45*letrapeso(G46)*letrapeso($C45)</f>
        <v>0</v>
      </c>
      <c r="AL45" s="129">
        <f>H45*letrapeso(H46)*letrapeso($C45)</f>
        <v>0</v>
      </c>
      <c r="AM45" s="129">
        <f>J45*letrapeso(G46)*letrapeso($C45)</f>
        <v>0</v>
      </c>
      <c r="AN45" s="129">
        <f>K45*letrapeso(K46)*letrapeso($C45)</f>
        <v>0</v>
      </c>
      <c r="AO45" s="129">
        <f>L45*letrapeso(L46)*letrapeso($C45)</f>
        <v>0</v>
      </c>
      <c r="AP45" s="131"/>
      <c r="AQ45" s="129">
        <f>N45*letrapeso(N46)*letrapeso($C45)</f>
        <v>0</v>
      </c>
      <c r="AR45" s="129">
        <f>O45*letrapeso(O46)*letrapeso($C45)</f>
        <v>0</v>
      </c>
      <c r="AS45" s="131"/>
      <c r="AT45" s="129">
        <f>Q45*letrapeso(Q46)*letrapeso($C45)</f>
        <v>0</v>
      </c>
      <c r="AU45" s="129">
        <f>R45*letrapeso(R46)*letrapeso($C45)</f>
        <v>0</v>
      </c>
      <c r="AV45" s="131"/>
      <c r="AW45" s="129">
        <f>T45*letrapeso(T46)*letrapeso($C45)</f>
        <v>0</v>
      </c>
      <c r="AX45" s="129">
        <f>U45*letrapeso(U46)*letrapeso($C45)</f>
        <v>0</v>
      </c>
      <c r="AY45" s="131"/>
      <c r="AZ45" s="129">
        <f>W45*letrapeso(W46)*letrapeso($C45)</f>
        <v>0</v>
      </c>
      <c r="BA45" s="129">
        <f>X45*letrapeso(X46)*letrapeso($C45)</f>
        <v>0</v>
      </c>
      <c r="BB45" s="131"/>
      <c r="BC45" s="129">
        <f>Z45*letrapeso(Z46)*letrapeso($C45)</f>
        <v>0</v>
      </c>
      <c r="BD45" s="129">
        <f>AA45*letrapeso(AA46)*letrapeso($C45)</f>
        <v>0</v>
      </c>
      <c r="BE45" s="131"/>
      <c r="BF45" s="129">
        <f>AC45*letrapeso(AC46)*letrapeso($C45)</f>
        <v>0</v>
      </c>
      <c r="BG45" s="129">
        <f>AD45*letrapeso(AD46)*letrapeso($C45)</f>
        <v>0</v>
      </c>
      <c r="BH45" s="131"/>
      <c r="BI45" s="129">
        <f>AF45*letrapeso(AF46)*letrapeso($C45)</f>
        <v>0</v>
      </c>
      <c r="BJ45" s="129">
        <f>AG45*letrapeso(AG46)*letrapeso($C45)</f>
        <v>0</v>
      </c>
      <c r="BK45" s="131"/>
      <c r="BL45" s="171">
        <f>letrapeso(G46)</f>
        <v>0</v>
      </c>
      <c r="BM45" s="171">
        <f>letrapeso(H46)</f>
        <v>0</v>
      </c>
      <c r="BN45" s="41"/>
      <c r="BO45" s="171">
        <f>letrapeso(K46)</f>
        <v>0</v>
      </c>
      <c r="BP45" s="171">
        <f>letrapeso(L46)</f>
        <v>0</v>
      </c>
      <c r="BQ45" s="41"/>
      <c r="BR45" s="171">
        <f>letrapeso(N46)</f>
        <v>0</v>
      </c>
      <c r="BS45" s="171">
        <f>letrapeso(O46)</f>
        <v>0</v>
      </c>
      <c r="BT45" s="41"/>
      <c r="BU45" s="171">
        <f>letrapeso(Q46)</f>
        <v>0</v>
      </c>
      <c r="BV45" s="171">
        <f>letrapeso(R46)</f>
        <v>0</v>
      </c>
      <c r="BW45" s="41"/>
      <c r="BX45" s="171">
        <f>letrapeso(T46)</f>
        <v>0</v>
      </c>
      <c r="BY45" s="171">
        <f>letrapeso(U46)</f>
        <v>0</v>
      </c>
      <c r="BZ45" s="41"/>
      <c r="CA45" s="171">
        <f>letrapeso(W46)</f>
        <v>0</v>
      </c>
      <c r="CB45" s="171">
        <f>letrapeso(X46)</f>
        <v>0</v>
      </c>
      <c r="CC45" s="41"/>
      <c r="CD45" s="171">
        <f>letrapeso(Z46)</f>
        <v>0</v>
      </c>
      <c r="CE45" s="171">
        <f>letrapeso(AA46)</f>
        <v>0</v>
      </c>
      <c r="CF45" s="41"/>
      <c r="CG45" s="171">
        <f>letrapeso(AC46)</f>
        <v>0</v>
      </c>
      <c r="CH45" s="171">
        <f>letrapeso(AD46)</f>
        <v>0</v>
      </c>
      <c r="CI45" s="41"/>
      <c r="CJ45" s="171">
        <f>letrapeso(AF46)</f>
        <v>0</v>
      </c>
      <c r="CK45" s="171">
        <f>letrapeso(AG46)</f>
        <v>0</v>
      </c>
      <c r="CL45" s="41"/>
      <c r="CM45" s="41">
        <f>IF(ISTEXT($C45),(BL45+BO45+BR45+BU45+BX45+CA45+CD45+CG45+CJ45),0)</f>
        <v>0</v>
      </c>
      <c r="CN45" s="41">
        <f>IF(ISTEXT($C45),(BM45+BP45+BS45+BV45+BY45+CB45+CE45+CH45+CK45),0)</f>
        <v>0</v>
      </c>
    </row>
    <row r="46" spans="1:92" ht="15.75" hidden="1" thickBot="1" x14ac:dyDescent="0.25">
      <c r="A46" s="537" t="str">
        <f>TEXT(D45,"0,00")&amp;"       "&amp;TEXT(E45,"0,00")&amp;"       "&amp;TEXT(F45,"0,00")</f>
        <v>0,00       0,00       0,00</v>
      </c>
      <c r="B46" s="538"/>
      <c r="C46" s="230"/>
      <c r="D46" s="210"/>
      <c r="E46" s="208">
        <f>IF(ISTEXT($C46),(H46*letrapeso(H47)+#REF!*letrapeso(#REF!)+L46*letrapeso(L47)+O46*letrapeso(O47)+R46*letrapeso(R47)+#REF!*letrapeso(#REF!)+U46*letrapeso(U47)+X46*letrapeso(X47)+AA46*letrapeso(AA47)+AD46*letrapeso(AD47)+AG46*letrapeso(AG47))/(letrapeso(H47)+letrapeso(#REF!)+letrapeso(L47)+letrapeso(O47)+letrapeso(R47)+letrapeso(#REF!)+letrapeso(U47)+letrapeso(X47)+letrapeso(AA47)+letrapeso(AD47)+letrapeso(AG47)),0)</f>
        <v>0</v>
      </c>
      <c r="F46" s="209"/>
      <c r="G46" s="231" t="str">
        <f>PEsoLetra('Digitar aqui Notas e Pesos'!D46)</f>
        <v/>
      </c>
      <c r="H46" s="232" t="str">
        <f>PEsoLetra('Digitar aqui Notas e Pesos'!E46)</f>
        <v/>
      </c>
      <c r="I46" s="566"/>
      <c r="J46" s="490"/>
      <c r="K46" s="231" t="str">
        <f>PEsoLetra('Digitar aqui Notas e Pesos'!G46)</f>
        <v/>
      </c>
      <c r="L46" s="232" t="str">
        <f>PEsoLetra('Digitar aqui Notas e Pesos'!H46)</f>
        <v/>
      </c>
      <c r="M46" s="554"/>
      <c r="N46" s="231" t="str">
        <f>PEsoLetra('Digitar aqui Notas e Pesos'!J46)</f>
        <v/>
      </c>
      <c r="O46" s="232" t="str">
        <f>PEsoLetra('Digitar aqui Notas e Pesos'!K46)</f>
        <v/>
      </c>
      <c r="P46" s="554"/>
      <c r="Q46" s="231" t="str">
        <f>PEsoLetra('Digitar aqui Notas e Pesos'!M46)</f>
        <v/>
      </c>
      <c r="R46" s="232" t="str">
        <f>PEsoLetra('Digitar aqui Notas e Pesos'!N46)</f>
        <v/>
      </c>
      <c r="S46" s="554"/>
      <c r="T46" s="231" t="str">
        <f>PEsoLetra('Digitar aqui Notas e Pesos'!P46)</f>
        <v/>
      </c>
      <c r="U46" s="232" t="str">
        <f>PEsoLetra('Digitar aqui Notas e Pesos'!Q46)</f>
        <v/>
      </c>
      <c r="V46" s="554"/>
      <c r="W46" s="231" t="str">
        <f>PEsoLetra('Digitar aqui Notas e Pesos'!S46)</f>
        <v/>
      </c>
      <c r="X46" s="232" t="str">
        <f>PEsoLetra('Digitar aqui Notas e Pesos'!T46)</f>
        <v/>
      </c>
      <c r="Y46" s="554"/>
      <c r="Z46" s="231" t="str">
        <f>PEsoLetra('Digitar aqui Notas e Pesos'!V46)</f>
        <v/>
      </c>
      <c r="AA46" s="232" t="str">
        <f>PEsoLetra('Digitar aqui Notas e Pesos'!W46)</f>
        <v/>
      </c>
      <c r="AB46" s="554"/>
      <c r="AC46" s="231" t="str">
        <f>PEsoLetra('Digitar aqui Notas e Pesos'!Y46)</f>
        <v/>
      </c>
      <c r="AD46" s="232" t="str">
        <f>PEsoLetra('Digitar aqui Notas e Pesos'!Z46)</f>
        <v/>
      </c>
      <c r="AE46" s="554"/>
      <c r="AF46" s="231" t="str">
        <f>PEsoLetra('Digitar aqui Notas e Pesos'!AB46)</f>
        <v/>
      </c>
      <c r="AG46" s="232" t="str">
        <f>PEsoLetra('Digitar aqui Notas e Pesos'!AC46)</f>
        <v/>
      </c>
      <c r="AH46" s="574"/>
      <c r="AI46" s="19" t="str">
        <f>+AI45</f>
        <v>Não Imprime</v>
      </c>
      <c r="AJ46" s="1"/>
      <c r="AK46" s="130"/>
      <c r="AL46" s="130"/>
      <c r="AM46" s="130"/>
      <c r="AN46" s="130"/>
      <c r="AO46" s="130"/>
      <c r="AP46" s="131"/>
      <c r="AQ46" s="130"/>
      <c r="AR46" s="130"/>
      <c r="AS46" s="131"/>
      <c r="AT46" s="130"/>
      <c r="AU46" s="130"/>
      <c r="AV46" s="131"/>
      <c r="AW46" s="130"/>
      <c r="AX46" s="130"/>
      <c r="AY46" s="131"/>
      <c r="AZ46" s="130"/>
      <c r="BA46" s="130"/>
      <c r="BB46" s="131"/>
      <c r="BC46" s="130"/>
      <c r="BD46" s="130"/>
      <c r="BE46" s="131"/>
      <c r="BF46" s="130"/>
      <c r="BG46" s="130"/>
      <c r="BH46" s="131"/>
      <c r="BI46" s="130"/>
      <c r="BJ46" s="130"/>
      <c r="BK46" s="131"/>
      <c r="CM46" s="28"/>
      <c r="CN46" s="28"/>
    </row>
    <row r="47" spans="1:92" ht="15.75" hidden="1" thickBot="1" x14ac:dyDescent="0.25">
      <c r="A47" s="546" t="str">
        <f>'Digitar aqui Notas e Pesos'!A47</f>
        <v>Nome da Atividade 5 da Unidade 1</v>
      </c>
      <c r="B47" s="547"/>
      <c r="C47" s="229">
        <f>IF('Digitar aqui Notas e Pesos'!C47,PEsoLetra('Digitar aqui Notas e Pesos'!C47),0)</f>
        <v>0</v>
      </c>
      <c r="D47" s="208">
        <f>IF(ISTEXT($C47),(G47*letrapeso(G48)+K47*letrapeso(K48)+N47*letrapeso(N48)+Q47*letrapeso(Q48)+T47*letrapeso(T48)+W47*letrapeso(W48)+Z47*letrapeso(Z48)+AC47*letrapeso(AC48)+AF47*letrapeso(AF48))/(letrapeso(G48)+letrapeso(K48)+letrapeso(N48)+letrapeso(Q48)+letrapeso(T48)+letrapeso(W48)+letrapeso(Z48)+letrapeso(AC48)+letrapeso(AF48)),0)</f>
        <v>0</v>
      </c>
      <c r="E47" s="208">
        <f>IF(ISTEXT($C47),(H47*letrapeso(H48)+L47*letrapeso(L48)+O47*letrapeso(O48)+R47*letrapeso(R48)+U47*letrapeso(U48)+X47*letrapeso(X48)+AA47*letrapeso(AA48)+AD47*letrapeso(AD48)+AG47*letrapeso(AG48))/(letrapeso(H48)+letrapeso(L48)+letrapeso(O48)+letrapeso(R48)+letrapeso(U48)+letrapeso(X48)+letrapeso(AA48)+letrapeso(AD48)+letrapeso(AG48)),0)</f>
        <v>0</v>
      </c>
      <c r="F47" s="209">
        <f>IF(ISTEXT($C47),(D47*$A$145+E47*$A$146),0)</f>
        <v>0</v>
      </c>
      <c r="G47" s="259">
        <f>'Digitar aqui Notas e Pesos'!D47</f>
        <v>0</v>
      </c>
      <c r="H47" s="116">
        <f>'Digitar aqui Notas e Pesos'!E47</f>
        <v>0</v>
      </c>
      <c r="I47" s="565">
        <f>IF(AND(G47&lt;&gt;0,H47&lt;&gt;0,$C47&lt;&gt;0),(G47*letrapeso(G48)*$A$145+H47*letrapeso(H48)*$A$146)/(letrapeso(G48)*$A$145+letrapeso(H48)*$A$146),0)</f>
        <v>0</v>
      </c>
      <c r="J47" s="259">
        <f>'Digitar aqui Notas e Pesos'!F47</f>
        <v>0</v>
      </c>
      <c r="K47" s="259">
        <f>'Digitar aqui Notas e Pesos'!G47</f>
        <v>0</v>
      </c>
      <c r="L47" s="116">
        <f>'Digitar aqui Notas e Pesos'!H47</f>
        <v>0</v>
      </c>
      <c r="M47" s="553">
        <f>IF(AND(K47&lt;&gt;0,L47&lt;&gt;0,$C47&lt;&gt;0),(K47*letrapeso(K48)*$A$145+L47*letrapeso(L48)*$A$146)/(letrapeso(K48)*$A$145+letrapeso(L48)*$A$146),0)</f>
        <v>0</v>
      </c>
      <c r="N47" s="259">
        <f>'Digitar aqui Notas e Pesos'!J47</f>
        <v>0</v>
      </c>
      <c r="O47" s="116">
        <f>'Digitar aqui Notas e Pesos'!K47</f>
        <v>0</v>
      </c>
      <c r="P47" s="553">
        <f>IF(AND(N47&lt;&gt;0,O47&lt;&gt;0,$C47&lt;&gt;0),(N47*letrapeso(N48)*$A$145+O47*letrapeso(O48)*$A$146)/(letrapeso(N48)*$A$145+letrapeso(O48)*$A$146),0)</f>
        <v>0</v>
      </c>
      <c r="Q47" s="259">
        <f>'Digitar aqui Notas e Pesos'!M47</f>
        <v>0</v>
      </c>
      <c r="R47" s="116">
        <f>'Digitar aqui Notas e Pesos'!N47</f>
        <v>0</v>
      </c>
      <c r="S47" s="553">
        <f>IF(AND(Q47&lt;&gt;0,R47&lt;&gt;0,$C47&lt;&gt;0),(Q47*letrapeso(Q48)*$A$145+R47*letrapeso(R48)*$A$146)/(letrapeso(Q48)*$A$145+letrapeso(R48)*$A$146),0)</f>
        <v>0</v>
      </c>
      <c r="T47" s="259">
        <f>'Digitar aqui Notas e Pesos'!P47</f>
        <v>0</v>
      </c>
      <c r="U47" s="116">
        <f>'Digitar aqui Notas e Pesos'!Q47</f>
        <v>0</v>
      </c>
      <c r="V47" s="553">
        <f>IF(AND(T47&lt;&gt;0,U47&lt;&gt;0,$C47&lt;&gt;0),(T47*letrapeso(T48)*$A$145+U47*letrapeso(U48)*$A$146)/(letrapeso(T48)*$A$145+letrapeso(U48)*$A$146),0)</f>
        <v>0</v>
      </c>
      <c r="W47" s="259">
        <f>'Digitar aqui Notas e Pesos'!S47</f>
        <v>0</v>
      </c>
      <c r="X47" s="116">
        <f>'Digitar aqui Notas e Pesos'!T47</f>
        <v>0</v>
      </c>
      <c r="Y47" s="553">
        <f>IF(AND(W47&lt;&gt;0,X47&lt;&gt;0,$C47&lt;&gt;0),(W47*letrapeso(W48)*$A$145+X47*letrapeso(X48)*$A$146)/(letrapeso(W48)*$A$145+letrapeso(X48)*$A$146),0)</f>
        <v>0</v>
      </c>
      <c r="Z47" s="259">
        <f>'Digitar aqui Notas e Pesos'!V47</f>
        <v>0</v>
      </c>
      <c r="AA47" s="116">
        <f>'Digitar aqui Notas e Pesos'!W47</f>
        <v>0</v>
      </c>
      <c r="AB47" s="553">
        <f>IF(AND(Z47&lt;&gt;0,AA47&lt;&gt;0,$C47&lt;&gt;0),(Z47*letrapeso(Z48)*$A$145+AA47*letrapeso(AA48)*$A$146)/(letrapeso(Z48)*$A$145+letrapeso(AA48)*$A$146),0)</f>
        <v>0</v>
      </c>
      <c r="AC47" s="259">
        <f>'Digitar aqui Notas e Pesos'!Y47</f>
        <v>0</v>
      </c>
      <c r="AD47" s="116">
        <f>'Digitar aqui Notas e Pesos'!Z47</f>
        <v>0</v>
      </c>
      <c r="AE47" s="553">
        <f>IF(AND(AC47&lt;&gt;0,AD47&lt;&gt;0,$C47&lt;&gt;0),(AC47*letrapeso(AC48)*$A$145+AD47*letrapeso(AD48)*$A$146)/(letrapeso(AC48)*$A$145+letrapeso(AD48)*$A$146),0)</f>
        <v>0</v>
      </c>
      <c r="AF47" s="259">
        <f>'Digitar aqui Notas e Pesos'!AB47</f>
        <v>0</v>
      </c>
      <c r="AG47" s="116">
        <f>'Digitar aqui Notas e Pesos'!AC47</f>
        <v>0</v>
      </c>
      <c r="AH47" s="573">
        <f>IF(AND(AF47&lt;&gt;0,AG47&lt;&gt;0,$C47&lt;&gt;0),(AF47*letrapeso(AF48)*$A$145+AG47*letrapeso(AG48)*$A$146)/(letrapeso(AF48)*$A$145+letrapeso(AG48)*$A$146),0)</f>
        <v>0</v>
      </c>
      <c r="AI47" s="8" t="str">
        <f>IF(letrapeso(C47),"Imprime","Não Imprime")</f>
        <v>Não Imprime</v>
      </c>
      <c r="AJ47" s="14" t="s">
        <v>28</v>
      </c>
      <c r="AK47" s="129">
        <f>G47*letrapeso(G48)*letrapeso($C47)</f>
        <v>0</v>
      </c>
      <c r="AL47" s="129">
        <f>H47*letrapeso(H48)*letrapeso($C47)</f>
        <v>0</v>
      </c>
      <c r="AM47" s="129">
        <f>J47*letrapeso(G48)*letrapeso($C47)</f>
        <v>0</v>
      </c>
      <c r="AN47" s="129">
        <f>K47*letrapeso(K48)*letrapeso($C47)</f>
        <v>0</v>
      </c>
      <c r="AO47" s="129">
        <f>L47*letrapeso(L48)*letrapeso($C47)</f>
        <v>0</v>
      </c>
      <c r="AP47" s="131"/>
      <c r="AQ47" s="129">
        <f>N47*letrapeso(N48)*letrapeso($C47)</f>
        <v>0</v>
      </c>
      <c r="AR47" s="129">
        <f>O47*letrapeso(O48)*letrapeso($C47)</f>
        <v>0</v>
      </c>
      <c r="AS47" s="131"/>
      <c r="AT47" s="129">
        <f>Q47*letrapeso(Q48)*letrapeso($C47)</f>
        <v>0</v>
      </c>
      <c r="AU47" s="129">
        <f>R47*letrapeso(R48)*letrapeso($C47)</f>
        <v>0</v>
      </c>
      <c r="AV47" s="131"/>
      <c r="AW47" s="129">
        <f>T47*letrapeso(T48)*letrapeso($C47)</f>
        <v>0</v>
      </c>
      <c r="AX47" s="129">
        <f>U47*letrapeso(U48)*letrapeso($C47)</f>
        <v>0</v>
      </c>
      <c r="AY47" s="131"/>
      <c r="AZ47" s="129">
        <f>W47*letrapeso(W48)*letrapeso($C47)</f>
        <v>0</v>
      </c>
      <c r="BA47" s="129">
        <f>X47*letrapeso(X48)*letrapeso($C47)</f>
        <v>0</v>
      </c>
      <c r="BB47" s="131"/>
      <c r="BC47" s="129">
        <f>Z47*letrapeso(Z48)*letrapeso($C47)</f>
        <v>0</v>
      </c>
      <c r="BD47" s="129">
        <f>AA47*letrapeso(AA48)*letrapeso($C47)</f>
        <v>0</v>
      </c>
      <c r="BE47" s="131"/>
      <c r="BF47" s="129">
        <f>AC47*letrapeso(AC48)*letrapeso($C47)</f>
        <v>0</v>
      </c>
      <c r="BG47" s="129">
        <f>AD47*letrapeso(AD48)*letrapeso($C47)</f>
        <v>0</v>
      </c>
      <c r="BH47" s="131"/>
      <c r="BI47" s="129">
        <f>AF47*letrapeso(AF48)*letrapeso($C47)</f>
        <v>0</v>
      </c>
      <c r="BJ47" s="129">
        <f>AG47*letrapeso(AG48)*letrapeso($C47)</f>
        <v>0</v>
      </c>
      <c r="BK47" s="131"/>
      <c r="BL47" s="171">
        <f>letrapeso(G48)</f>
        <v>0</v>
      </c>
      <c r="BM47" s="171">
        <f>letrapeso(H48)</f>
        <v>0</v>
      </c>
      <c r="BN47" s="41"/>
      <c r="BO47" s="171">
        <f>letrapeso(K48)</f>
        <v>0</v>
      </c>
      <c r="BP47" s="171">
        <f>letrapeso(L48)</f>
        <v>0</v>
      </c>
      <c r="BQ47" s="41"/>
      <c r="BR47" s="171">
        <f>letrapeso(N48)</f>
        <v>0</v>
      </c>
      <c r="BS47" s="171">
        <f>letrapeso(O48)</f>
        <v>0</v>
      </c>
      <c r="BT47" s="41"/>
      <c r="BU47" s="171">
        <f>letrapeso(Q48)</f>
        <v>0</v>
      </c>
      <c r="BV47" s="171">
        <f>letrapeso(R48)</f>
        <v>0</v>
      </c>
      <c r="BW47" s="41"/>
      <c r="BX47" s="171">
        <f>letrapeso(T48)</f>
        <v>0</v>
      </c>
      <c r="BY47" s="171">
        <f>letrapeso(U48)</f>
        <v>0</v>
      </c>
      <c r="BZ47" s="41"/>
      <c r="CA47" s="171">
        <f>letrapeso(W48)</f>
        <v>0</v>
      </c>
      <c r="CB47" s="171">
        <f>letrapeso(X48)</f>
        <v>0</v>
      </c>
      <c r="CC47" s="41"/>
      <c r="CD47" s="171">
        <f>letrapeso(Z48)</f>
        <v>0</v>
      </c>
      <c r="CE47" s="171">
        <f>letrapeso(AA48)</f>
        <v>0</v>
      </c>
      <c r="CF47" s="41"/>
      <c r="CG47" s="171">
        <f>letrapeso(AC48)</f>
        <v>0</v>
      </c>
      <c r="CH47" s="171">
        <f>letrapeso(AD48)</f>
        <v>0</v>
      </c>
      <c r="CI47" s="41"/>
      <c r="CJ47" s="171">
        <f>letrapeso(AF48)</f>
        <v>0</v>
      </c>
      <c r="CK47" s="171">
        <f>letrapeso(AG48)</f>
        <v>0</v>
      </c>
      <c r="CL47" s="41"/>
      <c r="CM47" s="41">
        <f>IF(ISTEXT($C47),(BL47+BO47+BR47+BU47+BX47+CA47+CD47+CG47+CJ47),0)</f>
        <v>0</v>
      </c>
      <c r="CN47" s="41">
        <f>IF(ISTEXT($C47),(BM47+BP47+BS47+BV47+BY47+CB47+CE47+CH47+CK47),0)</f>
        <v>0</v>
      </c>
    </row>
    <row r="48" spans="1:92" ht="15.75" hidden="1" thickBot="1" x14ac:dyDescent="0.25">
      <c r="A48" s="537" t="str">
        <f>TEXT(D47,"0,00")&amp;"       "&amp;TEXT(E47,"0,00")&amp;"       "&amp;TEXT(F47,"0,00")</f>
        <v>0,00       0,00       0,00</v>
      </c>
      <c r="B48" s="538"/>
      <c r="C48" s="230"/>
      <c r="D48" s="210"/>
      <c r="E48" s="208">
        <f>IF(ISTEXT($C48),(H48*letrapeso(H49)+#REF!*letrapeso(#REF!)+L48*letrapeso(L49)+O48*letrapeso(O49)+R48*letrapeso(R49)+#REF!*letrapeso(#REF!)+U48*letrapeso(U49)+X48*letrapeso(X49)+AA48*letrapeso(AA49)+AD48*letrapeso(AD49)+AG48*letrapeso(AG49))/(letrapeso(H49)+letrapeso(#REF!)+letrapeso(L49)+letrapeso(O49)+letrapeso(R49)+letrapeso(#REF!)+letrapeso(U49)+letrapeso(X49)+letrapeso(AA49)+letrapeso(AD49)+letrapeso(AG49)),0)</f>
        <v>0</v>
      </c>
      <c r="F48" s="209"/>
      <c r="G48" s="231" t="str">
        <f>PEsoLetra('Digitar aqui Notas e Pesos'!D48)</f>
        <v/>
      </c>
      <c r="H48" s="232" t="str">
        <f>PEsoLetra('Digitar aqui Notas e Pesos'!E48)</f>
        <v/>
      </c>
      <c r="I48" s="566"/>
      <c r="J48" s="490"/>
      <c r="K48" s="231" t="str">
        <f>PEsoLetra('Digitar aqui Notas e Pesos'!G48)</f>
        <v/>
      </c>
      <c r="L48" s="232" t="str">
        <f>PEsoLetra('Digitar aqui Notas e Pesos'!H48)</f>
        <v/>
      </c>
      <c r="M48" s="554"/>
      <c r="N48" s="231" t="str">
        <f>PEsoLetra('Digitar aqui Notas e Pesos'!J48)</f>
        <v/>
      </c>
      <c r="O48" s="232" t="str">
        <f>PEsoLetra('Digitar aqui Notas e Pesos'!K48)</f>
        <v/>
      </c>
      <c r="P48" s="554"/>
      <c r="Q48" s="231" t="str">
        <f>PEsoLetra('Digitar aqui Notas e Pesos'!M48)</f>
        <v/>
      </c>
      <c r="R48" s="232" t="str">
        <f>PEsoLetra('Digitar aqui Notas e Pesos'!N48)</f>
        <v/>
      </c>
      <c r="S48" s="554"/>
      <c r="T48" s="231" t="str">
        <f>PEsoLetra('Digitar aqui Notas e Pesos'!P48)</f>
        <v/>
      </c>
      <c r="U48" s="232" t="str">
        <f>PEsoLetra('Digitar aqui Notas e Pesos'!Q48)</f>
        <v/>
      </c>
      <c r="V48" s="554"/>
      <c r="W48" s="231" t="str">
        <f>PEsoLetra('Digitar aqui Notas e Pesos'!S48)</f>
        <v/>
      </c>
      <c r="X48" s="232" t="str">
        <f>PEsoLetra('Digitar aqui Notas e Pesos'!T48)</f>
        <v/>
      </c>
      <c r="Y48" s="554"/>
      <c r="Z48" s="231" t="str">
        <f>PEsoLetra('Digitar aqui Notas e Pesos'!V48)</f>
        <v/>
      </c>
      <c r="AA48" s="232" t="str">
        <f>PEsoLetra('Digitar aqui Notas e Pesos'!W48)</f>
        <v/>
      </c>
      <c r="AB48" s="554"/>
      <c r="AC48" s="231" t="str">
        <f>PEsoLetra('Digitar aqui Notas e Pesos'!Y48)</f>
        <v/>
      </c>
      <c r="AD48" s="232" t="str">
        <f>PEsoLetra('Digitar aqui Notas e Pesos'!Z48)</f>
        <v/>
      </c>
      <c r="AE48" s="554"/>
      <c r="AF48" s="231" t="str">
        <f>PEsoLetra('Digitar aqui Notas e Pesos'!AB48)</f>
        <v/>
      </c>
      <c r="AG48" s="232" t="str">
        <f>PEsoLetra('Digitar aqui Notas e Pesos'!AC48)</f>
        <v/>
      </c>
      <c r="AH48" s="574"/>
      <c r="AI48" s="19" t="str">
        <f>+AI47</f>
        <v>Não Imprime</v>
      </c>
      <c r="AJ48" s="1"/>
      <c r="AK48" s="130"/>
      <c r="AL48" s="130"/>
      <c r="AM48" s="130"/>
      <c r="AN48" s="130"/>
      <c r="AO48" s="130"/>
      <c r="AP48" s="131"/>
      <c r="AQ48" s="130"/>
      <c r="AR48" s="130"/>
      <c r="AS48" s="131"/>
      <c r="AT48" s="130"/>
      <c r="AU48" s="130"/>
      <c r="AV48" s="131"/>
      <c r="AW48" s="130"/>
      <c r="AX48" s="130"/>
      <c r="AY48" s="131"/>
      <c r="AZ48" s="130"/>
      <c r="BA48" s="130"/>
      <c r="BB48" s="131"/>
      <c r="BC48" s="130"/>
      <c r="BD48" s="130"/>
      <c r="BE48" s="131"/>
      <c r="BF48" s="130"/>
      <c r="BG48" s="130"/>
      <c r="BH48" s="131"/>
      <c r="BI48" s="130"/>
      <c r="BJ48" s="130"/>
      <c r="BK48" s="131"/>
      <c r="CM48" s="28"/>
      <c r="CN48" s="28"/>
    </row>
    <row r="49" spans="1:92" ht="15.75" hidden="1" thickBot="1" x14ac:dyDescent="0.25">
      <c r="A49" s="546" t="str">
        <f>'Digitar aqui Notas e Pesos'!A49</f>
        <v>Nome da Atividade 6 da Unidade 1</v>
      </c>
      <c r="B49" s="547"/>
      <c r="C49" s="229">
        <f>IF('Digitar aqui Notas e Pesos'!C49,PEsoLetra('Digitar aqui Notas e Pesos'!C49),0)</f>
        <v>0</v>
      </c>
      <c r="D49" s="208">
        <f>IF(ISTEXT($C49),(G49*letrapeso(G50)+K49*letrapeso(K50)+N49*letrapeso(N50)+Q49*letrapeso(Q50)+T49*letrapeso(T50)+W49*letrapeso(W50)+Z49*letrapeso(Z50)+AC49*letrapeso(AC50)+AF49*letrapeso(AF50))/(letrapeso(G50)+letrapeso(K50)+letrapeso(N50)+letrapeso(Q50)+letrapeso(T50)+letrapeso(W50)+letrapeso(Z50)+letrapeso(AC50)+letrapeso(AF50)),0)</f>
        <v>0</v>
      </c>
      <c r="E49" s="208">
        <f>IF(ISTEXT($C49),(H49*letrapeso(H50)+L49*letrapeso(L50)+O49*letrapeso(O50)+R49*letrapeso(R50)+U49*letrapeso(U50)+X49*letrapeso(X50)+AA49*letrapeso(AA50)+AD49*letrapeso(AD50)+AG49*letrapeso(AG50))/(letrapeso(H50)+letrapeso(L50)+letrapeso(O50)+letrapeso(R50)+letrapeso(U50)+letrapeso(X50)+letrapeso(AA50)+letrapeso(AD50)+letrapeso(AG50)),0)</f>
        <v>0</v>
      </c>
      <c r="F49" s="209">
        <f>IF(ISTEXT($C49),(D49*$A$145+E49*$A$146),0)</f>
        <v>0</v>
      </c>
      <c r="G49" s="259">
        <f>'Digitar aqui Notas e Pesos'!D49</f>
        <v>0</v>
      </c>
      <c r="H49" s="116">
        <f>'Digitar aqui Notas e Pesos'!E49</f>
        <v>0</v>
      </c>
      <c r="I49" s="565">
        <f>IF(AND(G49&lt;&gt;0,H49&lt;&gt;0,$C49&lt;&gt;0),(G49*letrapeso(G50)*$A$145+H49*letrapeso(H50)*$A$146)/(letrapeso(G50)*$A$145+letrapeso(H50)*$A$146),0)</f>
        <v>0</v>
      </c>
      <c r="J49" s="259">
        <f>'Digitar aqui Notas e Pesos'!F49</f>
        <v>0</v>
      </c>
      <c r="K49" s="259">
        <f>'Digitar aqui Notas e Pesos'!G49</f>
        <v>0</v>
      </c>
      <c r="L49" s="116">
        <f>'Digitar aqui Notas e Pesos'!H49</f>
        <v>0</v>
      </c>
      <c r="M49" s="553">
        <f>IF(AND(K49&lt;&gt;0,L49&lt;&gt;0,$C49&lt;&gt;0),(K49*letrapeso(K50)*$A$145+L49*letrapeso(L50)*$A$146)/(letrapeso(K50)*$A$145+letrapeso(L50)*$A$146),0)</f>
        <v>0</v>
      </c>
      <c r="N49" s="259">
        <f>'Digitar aqui Notas e Pesos'!J49</f>
        <v>0</v>
      </c>
      <c r="O49" s="116">
        <f>'Digitar aqui Notas e Pesos'!K49</f>
        <v>0</v>
      </c>
      <c r="P49" s="553">
        <f>IF(AND(N49&lt;&gt;0,O49&lt;&gt;0,$C49&lt;&gt;0),(N49*letrapeso(N50)*$A$145+O49*letrapeso(O50)*$A$146)/(letrapeso(N50)*$A$145+letrapeso(O50)*$A$146),0)</f>
        <v>0</v>
      </c>
      <c r="Q49" s="259">
        <f>'Digitar aqui Notas e Pesos'!M49</f>
        <v>0</v>
      </c>
      <c r="R49" s="116">
        <f>'Digitar aqui Notas e Pesos'!N49</f>
        <v>0</v>
      </c>
      <c r="S49" s="553">
        <f>IF(AND(Q49&lt;&gt;0,R49&lt;&gt;0,$C49&lt;&gt;0),(Q49*letrapeso(Q50)*$A$145+R49*letrapeso(R50)*$A$146)/(letrapeso(Q50)*$A$145+letrapeso(R50)*$A$146),0)</f>
        <v>0</v>
      </c>
      <c r="T49" s="259">
        <f>'Digitar aqui Notas e Pesos'!P49</f>
        <v>0</v>
      </c>
      <c r="U49" s="116">
        <f>'Digitar aqui Notas e Pesos'!Q49</f>
        <v>0</v>
      </c>
      <c r="V49" s="553">
        <f>IF(AND(T49&lt;&gt;0,U49&lt;&gt;0,$C49&lt;&gt;0),(T49*letrapeso(T50)*$A$145+U49*letrapeso(U50)*$A$146)/(letrapeso(T50)*$A$145+letrapeso(U50)*$A$146),0)</f>
        <v>0</v>
      </c>
      <c r="W49" s="259">
        <f>'Digitar aqui Notas e Pesos'!S49</f>
        <v>0</v>
      </c>
      <c r="X49" s="116">
        <f>'Digitar aqui Notas e Pesos'!T49</f>
        <v>0</v>
      </c>
      <c r="Y49" s="553">
        <f>IF(AND(W49&lt;&gt;0,X49&lt;&gt;0,$C49&lt;&gt;0),(W49*letrapeso(W50)*$A$145+X49*letrapeso(X50)*$A$146)/(letrapeso(W50)*$A$145+letrapeso(X50)*$A$146),0)</f>
        <v>0</v>
      </c>
      <c r="Z49" s="259">
        <f>'Digitar aqui Notas e Pesos'!V49</f>
        <v>0</v>
      </c>
      <c r="AA49" s="116">
        <f>'Digitar aqui Notas e Pesos'!W49</f>
        <v>0</v>
      </c>
      <c r="AB49" s="553">
        <f>IF(AND(Z49&lt;&gt;0,AA49&lt;&gt;0,$C49&lt;&gt;0),(Z49*letrapeso(Z50)*$A$145+AA49*letrapeso(AA50)*$A$146)/(letrapeso(Z50)*$A$145+letrapeso(AA50)*$A$146),0)</f>
        <v>0</v>
      </c>
      <c r="AC49" s="259">
        <f>'Digitar aqui Notas e Pesos'!Y49</f>
        <v>0</v>
      </c>
      <c r="AD49" s="116">
        <f>'Digitar aqui Notas e Pesos'!Z49</f>
        <v>0</v>
      </c>
      <c r="AE49" s="553">
        <f>IF(AND(AC49&lt;&gt;0,AD49&lt;&gt;0,$C49&lt;&gt;0),(AC49*letrapeso(AC50)*$A$145+AD49*letrapeso(AD50)*$A$146)/(letrapeso(AC50)*$A$145+letrapeso(AD50)*$A$146),0)</f>
        <v>0</v>
      </c>
      <c r="AF49" s="259">
        <f>'Digitar aqui Notas e Pesos'!AB49</f>
        <v>0</v>
      </c>
      <c r="AG49" s="116">
        <f>'Digitar aqui Notas e Pesos'!AC49</f>
        <v>0</v>
      </c>
      <c r="AH49" s="573">
        <f>IF(AND(AF49&lt;&gt;0,AG49&lt;&gt;0,$C49&lt;&gt;0),(AF49*letrapeso(AF50)*$A$145+AG49*letrapeso(AG50)*$A$146)/(letrapeso(AF50)*$A$145+letrapeso(AG50)*$A$146),0)</f>
        <v>0</v>
      </c>
      <c r="AI49" s="8" t="str">
        <f>IF(letrapeso(C49),"Imprime","Não Imprime")</f>
        <v>Não Imprime</v>
      </c>
      <c r="AJ49" s="14" t="s">
        <v>28</v>
      </c>
      <c r="AK49" s="129">
        <f>G49*letrapeso(G50)*letrapeso($C49)</f>
        <v>0</v>
      </c>
      <c r="AL49" s="129">
        <f>H49*letrapeso(H50)*letrapeso($C49)</f>
        <v>0</v>
      </c>
      <c r="AM49" s="129">
        <f>J49*letrapeso(G50)*letrapeso($C49)</f>
        <v>0</v>
      </c>
      <c r="AN49" s="129">
        <f>K49*letrapeso(K50)*letrapeso($C49)</f>
        <v>0</v>
      </c>
      <c r="AO49" s="129">
        <f>L49*letrapeso(L50)*letrapeso($C49)</f>
        <v>0</v>
      </c>
      <c r="AP49" s="131"/>
      <c r="AQ49" s="129">
        <f>N49*letrapeso(N50)*letrapeso($C49)</f>
        <v>0</v>
      </c>
      <c r="AR49" s="129">
        <f>O49*letrapeso(O50)*letrapeso($C49)</f>
        <v>0</v>
      </c>
      <c r="AS49" s="131"/>
      <c r="AT49" s="129">
        <f>Q49*letrapeso(Q50)*letrapeso($C49)</f>
        <v>0</v>
      </c>
      <c r="AU49" s="129">
        <f>R49*letrapeso(R50)*letrapeso($C49)</f>
        <v>0</v>
      </c>
      <c r="AV49" s="131"/>
      <c r="AW49" s="129">
        <f>T49*letrapeso(T50)*letrapeso($C49)</f>
        <v>0</v>
      </c>
      <c r="AX49" s="129">
        <f>U49*letrapeso(U50)*letrapeso($C49)</f>
        <v>0</v>
      </c>
      <c r="AY49" s="131"/>
      <c r="AZ49" s="129">
        <f>W49*letrapeso(W50)*letrapeso($C49)</f>
        <v>0</v>
      </c>
      <c r="BA49" s="129">
        <f>X49*letrapeso(X50)*letrapeso($C49)</f>
        <v>0</v>
      </c>
      <c r="BB49" s="131"/>
      <c r="BC49" s="129">
        <f>Z49*letrapeso(Z50)*letrapeso($C49)</f>
        <v>0</v>
      </c>
      <c r="BD49" s="129">
        <f>AA49*letrapeso(AA50)*letrapeso($C49)</f>
        <v>0</v>
      </c>
      <c r="BE49" s="131"/>
      <c r="BF49" s="129">
        <f>AC49*letrapeso(AC50)*letrapeso($C49)</f>
        <v>0</v>
      </c>
      <c r="BG49" s="129">
        <f>AD49*letrapeso(AD50)*letrapeso($C49)</f>
        <v>0</v>
      </c>
      <c r="BH49" s="131"/>
      <c r="BI49" s="129">
        <f>AF49*letrapeso(AF50)*letrapeso($C49)</f>
        <v>0</v>
      </c>
      <c r="BJ49" s="129">
        <f>AG49*letrapeso(AG50)*letrapeso($C49)</f>
        <v>0</v>
      </c>
      <c r="BK49" s="131"/>
      <c r="BL49" s="171">
        <f>letrapeso(G50)</f>
        <v>0</v>
      </c>
      <c r="BM49" s="171">
        <f>letrapeso(H50)</f>
        <v>0</v>
      </c>
      <c r="BN49" s="41"/>
      <c r="BO49" s="171">
        <f>letrapeso(K50)</f>
        <v>0</v>
      </c>
      <c r="BP49" s="171">
        <f>letrapeso(L50)</f>
        <v>0</v>
      </c>
      <c r="BQ49" s="41"/>
      <c r="BR49" s="171">
        <f>letrapeso(N50)</f>
        <v>0</v>
      </c>
      <c r="BS49" s="171">
        <f>letrapeso(O50)</f>
        <v>0</v>
      </c>
      <c r="BT49" s="41"/>
      <c r="BU49" s="171">
        <f>letrapeso(Q50)</f>
        <v>0</v>
      </c>
      <c r="BV49" s="171">
        <f>letrapeso(R50)</f>
        <v>0</v>
      </c>
      <c r="BW49" s="41"/>
      <c r="BX49" s="171">
        <f>letrapeso(T50)</f>
        <v>0</v>
      </c>
      <c r="BY49" s="171">
        <f>letrapeso(U50)</f>
        <v>0</v>
      </c>
      <c r="BZ49" s="41"/>
      <c r="CA49" s="171">
        <f>letrapeso(W50)</f>
        <v>0</v>
      </c>
      <c r="CB49" s="171">
        <f>letrapeso(X50)</f>
        <v>0</v>
      </c>
      <c r="CC49" s="41"/>
      <c r="CD49" s="171">
        <f>letrapeso(Z50)</f>
        <v>0</v>
      </c>
      <c r="CE49" s="171">
        <f>letrapeso(AA50)</f>
        <v>0</v>
      </c>
      <c r="CF49" s="41"/>
      <c r="CG49" s="171">
        <f>letrapeso(AC50)</f>
        <v>0</v>
      </c>
      <c r="CH49" s="171">
        <f>letrapeso(AD50)</f>
        <v>0</v>
      </c>
      <c r="CI49" s="41"/>
      <c r="CJ49" s="171">
        <f>letrapeso(AF50)</f>
        <v>0</v>
      </c>
      <c r="CK49" s="171">
        <f>letrapeso(AG50)</f>
        <v>0</v>
      </c>
      <c r="CL49" s="41"/>
      <c r="CM49" s="41">
        <f>IF(ISTEXT($C49),(BL49+BO49+BR49+BU49+BX49+CA49+CD49+CG49+CJ49),0)</f>
        <v>0</v>
      </c>
      <c r="CN49" s="41">
        <f>IF(ISTEXT($C49),(BM49+BP49+BS49+BV49+BY49+CB49+CE49+CH49+CK49),0)</f>
        <v>0</v>
      </c>
    </row>
    <row r="50" spans="1:92" ht="15.75" hidden="1" thickBot="1" x14ac:dyDescent="0.25">
      <c r="A50" s="537" t="str">
        <f>TEXT(D49,"0,00")&amp;"       "&amp;TEXT(E49,"0,00")&amp;"       "&amp;TEXT(F49,"0,00")</f>
        <v>0,00       0,00       0,00</v>
      </c>
      <c r="B50" s="538"/>
      <c r="C50" s="230"/>
      <c r="D50" s="210"/>
      <c r="E50" s="208">
        <f>IF(ISTEXT($C50),(H50*letrapeso(H51)+#REF!*letrapeso(#REF!)+L50*letrapeso(L51)+O50*letrapeso(O51)+R50*letrapeso(R51)+#REF!*letrapeso(#REF!)+U50*letrapeso(U51)+X50*letrapeso(X51)+AA50*letrapeso(AA51)+AD50*letrapeso(AD51)+AG50*letrapeso(AG51))/(letrapeso(H51)+letrapeso(#REF!)+letrapeso(L51)+letrapeso(O51)+letrapeso(R51)+letrapeso(#REF!)+letrapeso(U51)+letrapeso(X51)+letrapeso(AA51)+letrapeso(AD51)+letrapeso(AG51)),0)</f>
        <v>0</v>
      </c>
      <c r="F50" s="209"/>
      <c r="G50" s="231" t="str">
        <f>PEsoLetra('Digitar aqui Notas e Pesos'!D50)</f>
        <v/>
      </c>
      <c r="H50" s="232" t="str">
        <f>PEsoLetra('Digitar aqui Notas e Pesos'!E50)</f>
        <v/>
      </c>
      <c r="I50" s="566"/>
      <c r="J50" s="490"/>
      <c r="K50" s="231" t="str">
        <f>PEsoLetra('Digitar aqui Notas e Pesos'!G50)</f>
        <v/>
      </c>
      <c r="L50" s="232" t="str">
        <f>PEsoLetra('Digitar aqui Notas e Pesos'!H50)</f>
        <v/>
      </c>
      <c r="M50" s="554"/>
      <c r="N50" s="231" t="str">
        <f>PEsoLetra('Digitar aqui Notas e Pesos'!J50)</f>
        <v/>
      </c>
      <c r="O50" s="232" t="str">
        <f>PEsoLetra('Digitar aqui Notas e Pesos'!K50)</f>
        <v/>
      </c>
      <c r="P50" s="554"/>
      <c r="Q50" s="231" t="str">
        <f>PEsoLetra('Digitar aqui Notas e Pesos'!M50)</f>
        <v/>
      </c>
      <c r="R50" s="232" t="str">
        <f>PEsoLetra('Digitar aqui Notas e Pesos'!N50)</f>
        <v/>
      </c>
      <c r="S50" s="554"/>
      <c r="T50" s="231" t="str">
        <f>PEsoLetra('Digitar aqui Notas e Pesos'!P50)</f>
        <v/>
      </c>
      <c r="U50" s="232" t="str">
        <f>PEsoLetra('Digitar aqui Notas e Pesos'!Q50)</f>
        <v/>
      </c>
      <c r="V50" s="554"/>
      <c r="W50" s="231" t="str">
        <f>PEsoLetra('Digitar aqui Notas e Pesos'!S50)</f>
        <v/>
      </c>
      <c r="X50" s="232" t="str">
        <f>PEsoLetra('Digitar aqui Notas e Pesos'!T50)</f>
        <v/>
      </c>
      <c r="Y50" s="554"/>
      <c r="Z50" s="231" t="str">
        <f>PEsoLetra('Digitar aqui Notas e Pesos'!V50)</f>
        <v/>
      </c>
      <c r="AA50" s="232" t="str">
        <f>PEsoLetra('Digitar aqui Notas e Pesos'!W50)</f>
        <v/>
      </c>
      <c r="AB50" s="554"/>
      <c r="AC50" s="231" t="str">
        <f>PEsoLetra('Digitar aqui Notas e Pesos'!Y50)</f>
        <v/>
      </c>
      <c r="AD50" s="232" t="str">
        <f>PEsoLetra('Digitar aqui Notas e Pesos'!Z50)</f>
        <v/>
      </c>
      <c r="AE50" s="554"/>
      <c r="AF50" s="231" t="str">
        <f>PEsoLetra('Digitar aqui Notas e Pesos'!AB50)</f>
        <v/>
      </c>
      <c r="AG50" s="232" t="str">
        <f>PEsoLetra('Digitar aqui Notas e Pesos'!AC50)</f>
        <v/>
      </c>
      <c r="AH50" s="574"/>
      <c r="AI50" s="19" t="str">
        <f>+AI49</f>
        <v>Não Imprime</v>
      </c>
      <c r="AJ50" s="1"/>
      <c r="AK50" s="130"/>
      <c r="AL50" s="130"/>
      <c r="AM50" s="130"/>
      <c r="AN50" s="130"/>
      <c r="AO50" s="130"/>
      <c r="AP50" s="131"/>
      <c r="AQ50" s="130"/>
      <c r="AR50" s="130"/>
      <c r="AS50" s="131"/>
      <c r="AT50" s="130"/>
      <c r="AU50" s="130"/>
      <c r="AV50" s="131"/>
      <c r="AW50" s="130"/>
      <c r="AX50" s="130"/>
      <c r="AY50" s="131"/>
      <c r="AZ50" s="130"/>
      <c r="BA50" s="130"/>
      <c r="BB50" s="131"/>
      <c r="BC50" s="130"/>
      <c r="BD50" s="130"/>
      <c r="BE50" s="131"/>
      <c r="BF50" s="130"/>
      <c r="BG50" s="130"/>
      <c r="BH50" s="131"/>
      <c r="BI50" s="130"/>
      <c r="BJ50" s="130"/>
      <c r="BK50" s="131"/>
      <c r="CM50" s="171"/>
      <c r="CN50" s="28"/>
    </row>
    <row r="51" spans="1:92" ht="15.75" hidden="1" thickBot="1" x14ac:dyDescent="0.25">
      <c r="A51" s="546" t="str">
        <f>'Digitar aqui Notas e Pesos'!A51</f>
        <v>Nome da Atividade 7 da Unidade 1</v>
      </c>
      <c r="B51" s="547"/>
      <c r="C51" s="229">
        <f>IF('Digitar aqui Notas e Pesos'!C51,PEsoLetra('Digitar aqui Notas e Pesos'!C51),0)</f>
        <v>0</v>
      </c>
      <c r="D51" s="208">
        <f>IF(ISTEXT($C51),(G51*letrapeso(G52)+K51*letrapeso(K52)+N51*letrapeso(N52)+Q51*letrapeso(Q52)+T51*letrapeso(T52)+W51*letrapeso(W52)+Z51*letrapeso(Z52)+AC51*letrapeso(AC52)+AF51*letrapeso(AF52))/(letrapeso(G52)+letrapeso(K52)+letrapeso(N52)+letrapeso(Q52)+letrapeso(T52)+letrapeso(W52)+letrapeso(Z52)+letrapeso(AC52)+letrapeso(AF52)),0)</f>
        <v>0</v>
      </c>
      <c r="E51" s="208">
        <f>IF(ISTEXT($C51),(H51*letrapeso(H52)+L51*letrapeso(L52)+O51*letrapeso(O52)+R51*letrapeso(R52)+U51*letrapeso(U52)+X51*letrapeso(X52)+AA51*letrapeso(AA52)+AD51*letrapeso(AD52)+AG51*letrapeso(AG52))/(letrapeso(H52)+letrapeso(L52)+letrapeso(O52)+letrapeso(R52)+letrapeso(U52)+letrapeso(X52)+letrapeso(AA52)+letrapeso(AD52)+letrapeso(AG52)),0)</f>
        <v>0</v>
      </c>
      <c r="F51" s="209">
        <f>IF(ISTEXT($C51),(D51*$A$145+E51*$A$146),0)</f>
        <v>0</v>
      </c>
      <c r="G51" s="115">
        <f>'Digitar aqui Notas e Pesos'!D51</f>
        <v>0</v>
      </c>
      <c r="H51" s="116">
        <f>'Digitar aqui Notas e Pesos'!E51</f>
        <v>0</v>
      </c>
      <c r="I51" s="565">
        <f>IF(AND(G51&lt;&gt;0,H51&lt;&gt;0,$C51&lt;&gt;0),(G51*letrapeso(G52)*$A$145+H51*letrapeso(H52)*$A$146)/(letrapeso(G52)*$A$145+letrapeso(H52)*$A$146),0)</f>
        <v>0</v>
      </c>
      <c r="J51" s="259">
        <f>'Digitar aqui Notas e Pesos'!F51</f>
        <v>0</v>
      </c>
      <c r="K51" s="115">
        <f>'Digitar aqui Notas e Pesos'!G51</f>
        <v>0</v>
      </c>
      <c r="L51" s="116">
        <f>'Digitar aqui Notas e Pesos'!H51</f>
        <v>0</v>
      </c>
      <c r="M51" s="553">
        <f>IF(AND(K51&lt;&gt;0,L51&lt;&gt;0,$C51&lt;&gt;0),(K51*letrapeso(K52)*$A$145+L51*letrapeso(L52)*$A$146)/(letrapeso(K52)*$A$145+letrapeso(L52)*$A$146),0)</f>
        <v>0</v>
      </c>
      <c r="N51" s="115">
        <f>'Digitar aqui Notas e Pesos'!J51</f>
        <v>0</v>
      </c>
      <c r="O51" s="116">
        <f>'Digitar aqui Notas e Pesos'!K51</f>
        <v>0</v>
      </c>
      <c r="P51" s="553">
        <f>IF(AND(N51&lt;&gt;0,O51&lt;&gt;0,$C51&lt;&gt;0),(N51*letrapeso(N52)*$A$145+O51*letrapeso(O52)*$A$146)/(letrapeso(N52)*$A$145+letrapeso(O52)*$A$146),0)</f>
        <v>0</v>
      </c>
      <c r="Q51" s="115">
        <f>'Digitar aqui Notas e Pesos'!M51</f>
        <v>0</v>
      </c>
      <c r="R51" s="116">
        <f>'Digitar aqui Notas e Pesos'!N51</f>
        <v>0</v>
      </c>
      <c r="S51" s="553">
        <f>IF(AND(Q51&lt;&gt;0,R51&lt;&gt;0,$C51&lt;&gt;0),(Q51*letrapeso(Q52)*$A$145+R51*letrapeso(R52)*$A$146)/(letrapeso(Q52)*$A$145+letrapeso(R52)*$A$146),0)</f>
        <v>0</v>
      </c>
      <c r="T51" s="115">
        <f>'Digitar aqui Notas e Pesos'!P51</f>
        <v>0</v>
      </c>
      <c r="U51" s="116">
        <f>'Digitar aqui Notas e Pesos'!Q51</f>
        <v>0</v>
      </c>
      <c r="V51" s="553">
        <f>IF(AND(T51&lt;&gt;0,U51&lt;&gt;0,$C51&lt;&gt;0),(T51*letrapeso(T52)*$A$145+U51*letrapeso(U52)*$A$146)/(letrapeso(T52)*$A$145+letrapeso(U52)*$A$146),0)</f>
        <v>0</v>
      </c>
      <c r="W51" s="115">
        <f>'Digitar aqui Notas e Pesos'!S51</f>
        <v>0</v>
      </c>
      <c r="X51" s="116">
        <f>'Digitar aqui Notas e Pesos'!T51</f>
        <v>0</v>
      </c>
      <c r="Y51" s="553">
        <f>IF(AND(W51&lt;&gt;0,X51&lt;&gt;0,$C51&lt;&gt;0),(W51*letrapeso(W52)*$A$145+X51*letrapeso(X52)*$A$146)/(letrapeso(W52)*$A$145+letrapeso(X52)*$A$146),0)</f>
        <v>0</v>
      </c>
      <c r="Z51" s="115">
        <f>'Digitar aqui Notas e Pesos'!V51</f>
        <v>0</v>
      </c>
      <c r="AA51" s="116">
        <f>'Digitar aqui Notas e Pesos'!W51</f>
        <v>0</v>
      </c>
      <c r="AB51" s="553">
        <f>IF(AND(Z51&lt;&gt;0,AA51&lt;&gt;0,$C51&lt;&gt;0),(Z51*letrapeso(Z52)*$A$145+AA51*letrapeso(AA52)*$A$146)/(letrapeso(Z52)*$A$145+letrapeso(AA52)*$A$146),0)</f>
        <v>0</v>
      </c>
      <c r="AC51" s="115">
        <f>'Digitar aqui Notas e Pesos'!Y51</f>
        <v>0</v>
      </c>
      <c r="AD51" s="116">
        <f>'Digitar aqui Notas e Pesos'!Z51</f>
        <v>0</v>
      </c>
      <c r="AE51" s="553">
        <f>IF(AND(AC51&lt;&gt;0,AD51&lt;&gt;0,$C51&lt;&gt;0),(AC51*letrapeso(AC52)*$A$145+AD51*letrapeso(AD52)*$A$146)/(letrapeso(AC52)*$A$145+letrapeso(AD52)*$A$146),0)</f>
        <v>0</v>
      </c>
      <c r="AF51" s="115">
        <f>'Digitar aqui Notas e Pesos'!AB51</f>
        <v>0</v>
      </c>
      <c r="AG51" s="116">
        <f>'Digitar aqui Notas e Pesos'!AC51</f>
        <v>0</v>
      </c>
      <c r="AH51" s="573">
        <f>IF(AND(AF51&lt;&gt;0,AG51&lt;&gt;0,$C51&lt;&gt;0),(AF51*letrapeso(AF52)*$A$145+AG51*letrapeso(AG52)*$A$146)/(letrapeso(AF52)*$A$145+letrapeso(AG52)*$A$146),0)</f>
        <v>0</v>
      </c>
      <c r="AI51" s="8" t="str">
        <f>IF(letrapeso(C51),"Imprime","Não Imprime")</f>
        <v>Não Imprime</v>
      </c>
      <c r="AJ51" s="14" t="s">
        <v>28</v>
      </c>
      <c r="AK51" s="129">
        <f>G51*letrapeso(G52)*letrapeso($C51)</f>
        <v>0</v>
      </c>
      <c r="AL51" s="129">
        <f>H51*letrapeso(H52)*letrapeso($C51)</f>
        <v>0</v>
      </c>
      <c r="AM51" s="129">
        <f>J51*letrapeso(G52)*letrapeso($C51)</f>
        <v>0</v>
      </c>
      <c r="AN51" s="129">
        <f>K51*letrapeso(K52)*letrapeso($C51)</f>
        <v>0</v>
      </c>
      <c r="AO51" s="129">
        <f>L51*letrapeso(L52)*letrapeso($C51)</f>
        <v>0</v>
      </c>
      <c r="AP51" s="131"/>
      <c r="AQ51" s="129">
        <f>N51*letrapeso(N52)*letrapeso($C51)</f>
        <v>0</v>
      </c>
      <c r="AR51" s="129">
        <f>O51*letrapeso(O52)*letrapeso($C51)</f>
        <v>0</v>
      </c>
      <c r="AS51" s="131"/>
      <c r="AT51" s="129">
        <f>Q51*letrapeso(Q52)*letrapeso($C51)</f>
        <v>0</v>
      </c>
      <c r="AU51" s="129">
        <f>R51*letrapeso(R52)*letrapeso($C51)</f>
        <v>0</v>
      </c>
      <c r="AV51" s="131"/>
      <c r="AW51" s="129">
        <f>T51*letrapeso(T52)*letrapeso($C51)</f>
        <v>0</v>
      </c>
      <c r="AX51" s="129">
        <f>U51*letrapeso(U52)*letrapeso($C51)</f>
        <v>0</v>
      </c>
      <c r="AY51" s="131"/>
      <c r="AZ51" s="129">
        <f>W51*letrapeso(W52)*letrapeso($C51)</f>
        <v>0</v>
      </c>
      <c r="BA51" s="129">
        <f>X51*letrapeso(X52)*letrapeso($C51)</f>
        <v>0</v>
      </c>
      <c r="BB51" s="131"/>
      <c r="BC51" s="129">
        <f>Z51*letrapeso(Z52)*letrapeso($C51)</f>
        <v>0</v>
      </c>
      <c r="BD51" s="129">
        <f>AA51*letrapeso(AA52)*letrapeso($C51)</f>
        <v>0</v>
      </c>
      <c r="BE51" s="131"/>
      <c r="BF51" s="129">
        <f>AC51*letrapeso(AC52)*letrapeso($C51)</f>
        <v>0</v>
      </c>
      <c r="BG51" s="129">
        <f>AD51*letrapeso(AD52)*letrapeso($C51)</f>
        <v>0</v>
      </c>
      <c r="BH51" s="131"/>
      <c r="BI51" s="129">
        <f>AF51*letrapeso(AF52)*letrapeso($C51)</f>
        <v>0</v>
      </c>
      <c r="BJ51" s="129">
        <f>AG51*letrapeso(AG52)*letrapeso($C51)</f>
        <v>0</v>
      </c>
      <c r="BK51" s="131"/>
      <c r="BL51" s="171">
        <f>letrapeso(G52)</f>
        <v>0</v>
      </c>
      <c r="BM51" s="171">
        <f>letrapeso(H52)</f>
        <v>0</v>
      </c>
      <c r="BN51" s="41"/>
      <c r="BO51" s="171">
        <f>letrapeso(K52)</f>
        <v>0</v>
      </c>
      <c r="BP51" s="171">
        <f>letrapeso(L52)</f>
        <v>0</v>
      </c>
      <c r="BQ51" s="41"/>
      <c r="BR51" s="171">
        <f>letrapeso(N52)</f>
        <v>0</v>
      </c>
      <c r="BS51" s="171">
        <f>letrapeso(O52)</f>
        <v>0</v>
      </c>
      <c r="BT51" s="41"/>
      <c r="BU51" s="171">
        <f>letrapeso(Q52)</f>
        <v>0</v>
      </c>
      <c r="BV51" s="171">
        <f>letrapeso(R52)</f>
        <v>0</v>
      </c>
      <c r="BW51" s="41"/>
      <c r="BX51" s="171">
        <f>letrapeso(T52)</f>
        <v>0</v>
      </c>
      <c r="BY51" s="171">
        <f>letrapeso(U52)</f>
        <v>0</v>
      </c>
      <c r="BZ51" s="41"/>
      <c r="CA51" s="171">
        <f>letrapeso(W52)</f>
        <v>0</v>
      </c>
      <c r="CB51" s="171">
        <f>letrapeso(X52)</f>
        <v>0</v>
      </c>
      <c r="CC51" s="41"/>
      <c r="CD51" s="171">
        <f>letrapeso(Z52)</f>
        <v>0</v>
      </c>
      <c r="CE51" s="171">
        <f>letrapeso(AA52)</f>
        <v>0</v>
      </c>
      <c r="CF51" s="41"/>
      <c r="CG51" s="171">
        <f>letrapeso(AC52)</f>
        <v>0</v>
      </c>
      <c r="CH51" s="171">
        <f>letrapeso(AD52)</f>
        <v>0</v>
      </c>
      <c r="CI51" s="41"/>
      <c r="CJ51" s="171">
        <f>letrapeso(AF52)</f>
        <v>0</v>
      </c>
      <c r="CK51" s="171">
        <f>letrapeso(AG52)</f>
        <v>0</v>
      </c>
      <c r="CL51" s="41"/>
      <c r="CM51" s="41">
        <f>IF(ISTEXT($C51),(BL51+BO51+BR51+BU51+BX51+CA51+CD51+CG51+CJ51),0)</f>
        <v>0</v>
      </c>
      <c r="CN51" s="41">
        <f>IF(ISTEXT($C51),(BM51+BP51+BS51+BV51+BY51+CB51+CE51+CH51+CK51),0)</f>
        <v>0</v>
      </c>
    </row>
    <row r="52" spans="1:92" ht="15.75" hidden="1" thickBot="1" x14ac:dyDescent="0.25">
      <c r="A52" s="537" t="str">
        <f>TEXT(D51,"0,00")&amp;"       "&amp;TEXT(E51,"0,00")&amp;"       "&amp;TEXT(F51,"0,00")</f>
        <v>0,00       0,00       0,00</v>
      </c>
      <c r="B52" s="538"/>
      <c r="C52" s="233"/>
      <c r="D52" s="210"/>
      <c r="E52" s="208"/>
      <c r="F52" s="209"/>
      <c r="G52" s="231" t="str">
        <f>PEsoLetra('Digitar aqui Notas e Pesos'!D52)</f>
        <v/>
      </c>
      <c r="H52" s="232" t="str">
        <f>PEsoLetra('Digitar aqui Notas e Pesos'!E52)</f>
        <v/>
      </c>
      <c r="I52" s="565"/>
      <c r="J52" s="491"/>
      <c r="K52" s="231" t="str">
        <f>PEsoLetra('Digitar aqui Notas e Pesos'!G52)</f>
        <v/>
      </c>
      <c r="L52" s="232" t="str">
        <f>PEsoLetra('Digitar aqui Notas e Pesos'!H52)</f>
        <v/>
      </c>
      <c r="M52" s="553"/>
      <c r="N52" s="231" t="str">
        <f>PEsoLetra('Digitar aqui Notas e Pesos'!J52)</f>
        <v/>
      </c>
      <c r="O52" s="232" t="str">
        <f>PEsoLetra('Digitar aqui Notas e Pesos'!K52)</f>
        <v/>
      </c>
      <c r="P52" s="553"/>
      <c r="Q52" s="231" t="str">
        <f>PEsoLetra('Digitar aqui Notas e Pesos'!M52)</f>
        <v/>
      </c>
      <c r="R52" s="232" t="str">
        <f>PEsoLetra('Digitar aqui Notas e Pesos'!N52)</f>
        <v/>
      </c>
      <c r="S52" s="553"/>
      <c r="T52" s="231" t="str">
        <f>PEsoLetra('Digitar aqui Notas e Pesos'!P52)</f>
        <v/>
      </c>
      <c r="U52" s="232" t="str">
        <f>PEsoLetra('Digitar aqui Notas e Pesos'!Q52)</f>
        <v/>
      </c>
      <c r="V52" s="553"/>
      <c r="W52" s="231" t="str">
        <f>PEsoLetra('Digitar aqui Notas e Pesos'!S52)</f>
        <v/>
      </c>
      <c r="X52" s="232" t="str">
        <f>PEsoLetra('Digitar aqui Notas e Pesos'!T52)</f>
        <v/>
      </c>
      <c r="Y52" s="553"/>
      <c r="Z52" s="231" t="str">
        <f>PEsoLetra('Digitar aqui Notas e Pesos'!V52)</f>
        <v/>
      </c>
      <c r="AA52" s="232" t="str">
        <f>PEsoLetra('Digitar aqui Notas e Pesos'!W52)</f>
        <v/>
      </c>
      <c r="AB52" s="553"/>
      <c r="AC52" s="231" t="str">
        <f>PEsoLetra('Digitar aqui Notas e Pesos'!Y52)</f>
        <v/>
      </c>
      <c r="AD52" s="232" t="str">
        <f>PEsoLetra('Digitar aqui Notas e Pesos'!Z52)</f>
        <v/>
      </c>
      <c r="AE52" s="553"/>
      <c r="AF52" s="231" t="str">
        <f>PEsoLetra('Digitar aqui Notas e Pesos'!AB52)</f>
        <v/>
      </c>
      <c r="AG52" s="232" t="str">
        <f>PEsoLetra('Digitar aqui Notas e Pesos'!AC52)</f>
        <v/>
      </c>
      <c r="AH52" s="573"/>
      <c r="AI52" s="19" t="str">
        <f>+AI51</f>
        <v>Não Imprime</v>
      </c>
      <c r="AJ52" s="18" t="s">
        <v>29</v>
      </c>
      <c r="AK52" s="132">
        <f>IF(ISTEXT($C37),(letrapeso(G40)*letrapeso($C39)+letrapeso(G42)*letrapeso($C41)+letrapeso(G44)*letrapeso($C43)+letrapeso(G46)*letrapeso($C45)+letrapeso(G48)*letrapeso($C47)+letrapeso(G50)*letrapeso($C49)+letrapeso(G52)*letrapeso($C51))/(letrapeso($C39)+letrapeso($C41)+letrapeso($C43)+letrapeso($C45)+letrapeso($C47)+letrapeso($C49)+letrapeso($C51)),0)</f>
        <v>8</v>
      </c>
      <c r="AL52" s="132">
        <f>IF(ISTEXT($C37),(letrapeso(H40)*letrapeso($C39)+letrapeso(H42)*letrapeso($C41)+letrapeso(H44)*letrapeso($C43)+letrapeso(H46)*letrapeso($C45)+letrapeso(H48)*letrapeso($C47)+letrapeso(H50)*letrapeso($C49)+letrapeso(H52)*letrapeso($C51))/(letrapeso($C39)+letrapeso($C41)+letrapeso($C43)+letrapeso($C45)+letrapeso($C47)+letrapeso($C49)+letrapeso($C51)),0)</f>
        <v>8</v>
      </c>
      <c r="AM52" s="132">
        <f>IF(ISTEXT($C37),(letrapeso(G40)*letrapeso($C39)+letrapeso(G42)*letrapeso($C41)+letrapeso(G44)*letrapeso($C43)+letrapeso(G46)*letrapeso($C45)+letrapeso(G48)*letrapeso($C47)+letrapeso(G50)*letrapeso($C49)+letrapeso(G52)*letrapeso($C51))/(letrapeso($C39)+letrapeso($C41)+letrapeso($C43)+letrapeso($C45)+letrapeso($C47)+letrapeso($C49)+letrapeso($C51)),0)</f>
        <v>8</v>
      </c>
      <c r="AN52" s="132">
        <f>IF(ISTEXT($C37),(letrapeso(K40)*letrapeso($C39)+letrapeso(K42)*letrapeso($C41)+letrapeso(K44)*letrapeso($C43)+letrapeso(K46)*letrapeso($C45)+letrapeso(K48)*letrapeso($C47)+letrapeso(K50)*letrapeso($C49)+letrapeso(K52)*letrapeso($C51))/(letrapeso($C39)+letrapeso($C41)+letrapeso($C43)+letrapeso($C45)+letrapeso($C47)+letrapeso($C49)+letrapeso($C51)),0)</f>
        <v>0</v>
      </c>
      <c r="AO52" s="132">
        <f>IF(ISTEXT($C37),(letrapeso(L40)*letrapeso($C39)+letrapeso(L42)*letrapeso($C41)+letrapeso(L44)*letrapeso($C43)+letrapeso(L46)*letrapeso($C45)+letrapeso(L48)*letrapeso($C47)+letrapeso(L50)*letrapeso($C49)+letrapeso(L52)*letrapeso($C51))/(letrapeso($C39)+letrapeso($C41)+letrapeso($C43)+letrapeso($C45)+letrapeso($C47)+letrapeso($C49)+letrapeso($C51)),0)</f>
        <v>0</v>
      </c>
      <c r="AP52" s="131"/>
      <c r="AQ52" s="132">
        <f>IF(ISTEXT($C37),(letrapeso(N40)*letrapeso($C39)+letrapeso(N42)*letrapeso($C41)+letrapeso(N44)*letrapeso($C43)+letrapeso(N46)*letrapeso($C45)+letrapeso(N48)*letrapeso($C47)+letrapeso(N50)*letrapeso($C49)+letrapeso(N52)*letrapeso($C51))/(letrapeso($C39)+letrapeso($C41)+letrapeso($C43)+letrapeso($C45)+letrapeso($C47)+letrapeso($C49)+letrapeso($C51)),0)</f>
        <v>0</v>
      </c>
      <c r="AR52" s="132">
        <f>IF(ISTEXT($C37),(letrapeso(O40)*letrapeso($C39)+letrapeso(O42)*letrapeso($C41)+letrapeso(O44)*letrapeso($C43)+letrapeso(O46)*letrapeso($C45)+letrapeso(O48)*letrapeso($C47)+letrapeso(O50)*letrapeso($C49)+letrapeso(O52)*letrapeso($C51))/(letrapeso($C39)+letrapeso($C41)+letrapeso($C43)+letrapeso($C45)+letrapeso($C47)+letrapeso($C49)+letrapeso($C51)),0)</f>
        <v>0</v>
      </c>
      <c r="AS52" s="131"/>
      <c r="AT52" s="132">
        <f>IF(ISTEXT($C37),(letrapeso(Q40)*letrapeso($C39)+letrapeso(Q42)*letrapeso($C41)+letrapeso(Q44)*letrapeso($C43)+letrapeso(Q46)*letrapeso($C45)+letrapeso(Q48)*letrapeso($C47)+letrapeso(Q50)*letrapeso($C49)+letrapeso(Q52)*letrapeso($C51))/(letrapeso($C39)+letrapeso($C41)+letrapeso($C43)+letrapeso($C45)+letrapeso($C47)+letrapeso($C49)+letrapeso($C51)),0)</f>
        <v>0</v>
      </c>
      <c r="AU52" s="132">
        <f>IF(ISTEXT($C37),(letrapeso(R40)*letrapeso($C39)+letrapeso(R42)*letrapeso($C41)+letrapeso(R44)*letrapeso($C43)+letrapeso(R46)*letrapeso($C45)+letrapeso(R48)*letrapeso($C47)+letrapeso(R50)*letrapeso($C49)+letrapeso(R52)*letrapeso($C51))/(letrapeso($C39)+letrapeso($C41)+letrapeso($C43)+letrapeso($C45)+letrapeso($C47)+letrapeso($C49)+letrapeso($C51)),0)</f>
        <v>0</v>
      </c>
      <c r="AV52" s="131"/>
      <c r="AW52" s="132">
        <f>IF(ISTEXT($C37),(letrapeso(T40)*letrapeso($C39)+letrapeso(T42)*letrapeso($C41)+letrapeso(T44)*letrapeso($C43)+letrapeso(T46)*letrapeso($C45)+letrapeso(T48)*letrapeso($C47)+letrapeso(T50)*letrapeso($C49)+letrapeso(T52)*letrapeso($C51))/(letrapeso($C39)+letrapeso($C41)+letrapeso($C43)+letrapeso($C45)+letrapeso($C47)+letrapeso($C49)+letrapeso($C51)),0)</f>
        <v>0</v>
      </c>
      <c r="AX52" s="132">
        <f>IF(ISTEXT($C37),(letrapeso(U40)*letrapeso($C39)+letrapeso(U42)*letrapeso($C41)+letrapeso(U44)*letrapeso($C43)+letrapeso(U46)*letrapeso($C45)+letrapeso(U48)*letrapeso($C47)+letrapeso(U50)*letrapeso($C49)+letrapeso(U52)*letrapeso($C51))/(letrapeso($C39)+letrapeso($C41)+letrapeso($C43)+letrapeso($C45)+letrapeso($C47)+letrapeso($C49)+letrapeso($C51)),0)</f>
        <v>0</v>
      </c>
      <c r="AY52" s="131"/>
      <c r="AZ52" s="132">
        <f>IF(ISTEXT($C37),(letrapeso(W40)*letrapeso($C39)+letrapeso(W42)*letrapeso($C41)+letrapeso(W44)*letrapeso($C43)+letrapeso(W46)*letrapeso($C45)+letrapeso(W48)*letrapeso($C47)+letrapeso(W50)*letrapeso($C49)+letrapeso(W52)*letrapeso($C51))/(letrapeso($C39)+letrapeso($C41)+letrapeso($C43)+letrapeso($C45)+letrapeso($C47)+letrapeso($C49)+letrapeso($C51)),0)</f>
        <v>0</v>
      </c>
      <c r="BA52" s="132">
        <f>IF(ISTEXT($C37),(letrapeso(X40)*letrapeso($C39)+letrapeso(X42)*letrapeso($C41)+letrapeso(X44)*letrapeso($C43)+letrapeso(X46)*letrapeso($C45)+letrapeso(X48)*letrapeso($C47)+letrapeso(X50)*letrapeso($C49)+letrapeso(X52)*letrapeso($C51))/(letrapeso($C39)+letrapeso($C41)+letrapeso($C43)+letrapeso($C45)+letrapeso($C47)+letrapeso($C49)+letrapeso($C51)),0)</f>
        <v>0</v>
      </c>
      <c r="BB52" s="131"/>
      <c r="BC52" s="132">
        <f>IF(ISTEXT($C37),(letrapeso(Z40)*letrapeso($C39)+letrapeso(Z42)*letrapeso($C41)+letrapeso(Z44)*letrapeso($C43)+letrapeso(Z46)*letrapeso($C45)+letrapeso(Z48)*letrapeso($C47)+letrapeso(Z50)*letrapeso($C49)+letrapeso(Z52)*letrapeso($C51))/(letrapeso($C39)+letrapeso($C41)+letrapeso($C43)+letrapeso($C45)+letrapeso($C47)+letrapeso($C49)+letrapeso($C51)),0)</f>
        <v>0</v>
      </c>
      <c r="BD52" s="132">
        <f>IF(ISTEXT($C37),(letrapeso(AA40)*letrapeso($C39)+letrapeso(AA42)*letrapeso($C41)+letrapeso(AA44)*letrapeso($C43)+letrapeso(AA46)*letrapeso($C45)+letrapeso(AA48)*letrapeso($C47)+letrapeso(AA50)*letrapeso($C49)+letrapeso(AA52)*letrapeso($C51))/(letrapeso($C39)+letrapeso($C41)+letrapeso($C43)+letrapeso($C45)+letrapeso($C47)+letrapeso($C49)+letrapeso($C51)),0)</f>
        <v>0</v>
      </c>
      <c r="BE52" s="131"/>
      <c r="BF52" s="132">
        <f>IF(ISTEXT($C37),(letrapeso(AC40)*letrapeso($C39)+letrapeso(AC42)*letrapeso($C41)+letrapeso(AC44)*letrapeso($C43)+letrapeso(AC46)*letrapeso($C45)+letrapeso(AC48)*letrapeso($C47)+letrapeso(AC50)*letrapeso($C49)+letrapeso(AC52)*letrapeso($C51))/(letrapeso($C39)+letrapeso($C41)+letrapeso($C43)+letrapeso($C45)+letrapeso($C47)+letrapeso($C49)+letrapeso($C51)),0)</f>
        <v>0</v>
      </c>
      <c r="BG52" s="132">
        <f>IF(ISTEXT($C37),(letrapeso(AD40)*letrapeso($C39)+letrapeso(AD42)*letrapeso($C41)+letrapeso(AD44)*letrapeso($C43)+letrapeso(AD46)*letrapeso($C45)+letrapeso(AD48)*letrapeso($C47)+letrapeso(AD50)*letrapeso($C49)+letrapeso(AD52)*letrapeso($C51))/(letrapeso($C39)+letrapeso($C41)+letrapeso($C43)+letrapeso($C45)+letrapeso($C47)+letrapeso($C49)+letrapeso($C51)),0)</f>
        <v>0</v>
      </c>
      <c r="BH52" s="131"/>
      <c r="BI52" s="132">
        <f>IF(ISTEXT($C37),(letrapeso(AF40)*letrapeso($C39)+letrapeso(AF42)*letrapeso($C41)+letrapeso(AF44)*letrapeso($C43)+letrapeso(AF46)*letrapeso($C45)+letrapeso(AF48)*letrapeso($C47)+letrapeso(AF50)*letrapeso($C49)+letrapeso(AF52)*letrapeso($C51))/(letrapeso($C39)+letrapeso($C41)+letrapeso($C43)+letrapeso($C45)+letrapeso($C47)+letrapeso($C49)+letrapeso($C51)),0)</f>
        <v>0</v>
      </c>
      <c r="BJ52" s="132">
        <f>IF(ISTEXT($C37),(letrapeso(AG40)*letrapeso($C39)+letrapeso(AG42)*letrapeso($C41)+letrapeso(AG44)*letrapeso($C43)+letrapeso(AG46)*letrapeso($C45)+letrapeso(AG48)*letrapeso($C47)+letrapeso(AG50)*letrapeso($C49)+letrapeso(AG52)*letrapeso($C51))/(letrapeso($C39)+letrapeso($C41)+letrapeso($C43)+letrapeso($C45)+letrapeso($C47)+letrapeso($C49)+letrapeso($C51)),0)</f>
        <v>0</v>
      </c>
      <c r="BK52" s="131"/>
    </row>
    <row r="53" spans="1:92" ht="15.75" hidden="1" thickBot="1" x14ac:dyDescent="0.25">
      <c r="A53" s="191" t="str">
        <f>'Digitar aqui Notas e Pesos'!A53</f>
        <v>Bradesco Financiamentos</v>
      </c>
      <c r="B53" s="192"/>
      <c r="C53" s="193" t="str">
        <f>IF('Digitar aqui Notas e Pesos'!C53,PEsoLetra('Digitar aqui Notas e Pesos'!C53),0)</f>
        <v>mb</v>
      </c>
      <c r="D53" s="213">
        <f>IF(letrapeso(C53),(letrapeso($C55)*D55+letrapeso($C57)*D57+letrapeso($C59)*D59+letrapeso($C61)*D61+letrapeso($C63)*D63+letrapeso($C65)*D65+letrapeso($C67)*D67)/(letrapeso($C55)+letrapeso($C57)+letrapeso($C59)+letrapeso($C61)+letrapeso($C63)+letrapeso($C65)+letrapeso($C67)),0)</f>
        <v>2</v>
      </c>
      <c r="E53" s="214">
        <f>IF(letrapeso(C53),(letrapeso($C55)*E55+letrapeso($C57)*E57+letrapeso($C59)*E59+letrapeso($C61)*E61+letrapeso($C63)*E63+letrapeso($C65)*E65+letrapeso($C67)*E67)/(letrapeso($C55)+letrapeso($C57)+letrapeso($C59)+letrapeso($C61)+letrapeso($C63)+letrapeso($C65)+letrapeso($C67)),0)</f>
        <v>2</v>
      </c>
      <c r="F53" s="215">
        <f>IF(letrapeso(C53),(letrapeso($C55)*F55+letrapeso($C57)*F57+letrapeso($C59)*F59+letrapeso($C61)*F61+letrapeso($C63)*F63+letrapeso($C65)*F65+letrapeso($C67)*F67)/(letrapeso($C55)+letrapeso($C57)+letrapeso($C59)+letrapeso($C61)+letrapeso($C63)+letrapeso($C65)+letrapeso($C67)),0)</f>
        <v>2</v>
      </c>
      <c r="G53" s="220"/>
      <c r="H53" s="221"/>
      <c r="I53" s="222"/>
      <c r="J53" s="489"/>
      <c r="K53" s="220"/>
      <c r="L53" s="221"/>
      <c r="M53" s="222"/>
      <c r="N53" s="220"/>
      <c r="O53" s="221"/>
      <c r="P53" s="222"/>
      <c r="Q53" s="220"/>
      <c r="R53" s="221"/>
      <c r="S53" s="222"/>
      <c r="T53" s="220"/>
      <c r="U53" s="221"/>
      <c r="V53" s="222"/>
      <c r="W53" s="220"/>
      <c r="X53" s="221"/>
      <c r="Y53" s="222"/>
      <c r="Z53" s="220"/>
      <c r="AA53" s="221"/>
      <c r="AB53" s="222"/>
      <c r="AC53" s="220"/>
      <c r="AD53" s="221"/>
      <c r="AE53" s="222"/>
      <c r="AF53" s="220"/>
      <c r="AG53" s="221"/>
      <c r="AH53" s="223"/>
      <c r="AI53" s="8" t="str">
        <f>IF(letrapeso(C53),"Imprime","Não Imprime")</f>
        <v>Imprime</v>
      </c>
      <c r="AJ53" s="15"/>
      <c r="AK53" s="133"/>
      <c r="AL53" s="133"/>
      <c r="AM53" s="133"/>
      <c r="AN53" s="133"/>
      <c r="AO53" s="133"/>
      <c r="AP53" s="134"/>
      <c r="AQ53" s="133"/>
      <c r="AR53" s="133"/>
      <c r="AS53" s="134"/>
      <c r="AT53" s="133"/>
      <c r="AU53" s="133"/>
      <c r="AV53" s="134"/>
      <c r="AW53" s="133"/>
      <c r="AX53" s="133"/>
      <c r="AY53" s="134"/>
      <c r="AZ53" s="133"/>
      <c r="BA53" s="133"/>
      <c r="BB53" s="134"/>
      <c r="BC53" s="133"/>
      <c r="BD53" s="133"/>
      <c r="BE53" s="134"/>
      <c r="BF53" s="133"/>
      <c r="BG53" s="133"/>
      <c r="BH53" s="134"/>
      <c r="BI53" s="133"/>
      <c r="BJ53" s="133"/>
      <c r="BK53" s="134"/>
    </row>
    <row r="54" spans="1:92" ht="15.75" hidden="1" thickBot="1" x14ac:dyDescent="0.25">
      <c r="A54" s="567"/>
      <c r="B54" s="568"/>
      <c r="C54" s="228"/>
      <c r="D54" s="214"/>
      <c r="E54" s="214"/>
      <c r="F54" s="215"/>
      <c r="G54" s="224"/>
      <c r="H54" s="225"/>
      <c r="I54" s="226"/>
      <c r="J54" s="490"/>
      <c r="K54" s="224"/>
      <c r="L54" s="225"/>
      <c r="M54" s="226"/>
      <c r="N54" s="224"/>
      <c r="O54" s="225"/>
      <c r="P54" s="226"/>
      <c r="Q54" s="224"/>
      <c r="R54" s="225"/>
      <c r="S54" s="226"/>
      <c r="T54" s="224"/>
      <c r="U54" s="225"/>
      <c r="V54" s="226"/>
      <c r="W54" s="224"/>
      <c r="X54" s="225"/>
      <c r="Y54" s="226"/>
      <c r="Z54" s="224"/>
      <c r="AA54" s="225"/>
      <c r="AB54" s="226"/>
      <c r="AC54" s="224"/>
      <c r="AD54" s="225"/>
      <c r="AE54" s="226"/>
      <c r="AF54" s="224"/>
      <c r="AG54" s="225"/>
      <c r="AH54" s="227"/>
      <c r="AI54" s="19" t="str">
        <f>+AI53</f>
        <v>Imprime</v>
      </c>
      <c r="AJ54" s="15" t="s">
        <v>26</v>
      </c>
      <c r="AK54" s="128">
        <f>IF(SUM(AK55:AK67),SUM(AK55:AK67)/(letrapeso(G56)*letrapeso($C55)+letrapeso(G58)*letrapeso($C57)+letrapeso(G60)*letrapeso($C59)+letrapeso(G62)*letrapeso($C61)+letrapeso(G64)*letrapeso($C63)+letrapeso(G66)*letrapeso($C65)+letrapeso(G68)*letrapeso($C67)),0)</f>
        <v>2</v>
      </c>
      <c r="AL54" s="128">
        <f>IF(SUM(AL55:AL67),SUM(AL55:AL67)/(letrapeso(H56)*letrapeso($C55)+letrapeso(H58)*letrapeso($C57)+letrapeso(H60)*letrapeso($C59)+letrapeso(H62)*letrapeso($C61)+letrapeso(H64)*letrapeso($C63)+letrapeso(H66)*letrapeso($C65)+letrapeso(H68)*letrapeso($C67)),0)</f>
        <v>2</v>
      </c>
      <c r="AM54" s="128">
        <f>IF(SUM(AM55:AM67),SUM(AM55:AM67)/(letrapeso(G56)*letrapeso($C55)+letrapeso(G58)*letrapeso($C57)+letrapeso(G60)*letrapeso($C59)+letrapeso(G62)*letrapeso($C61)+letrapeso(G64)*letrapeso($C63)+letrapeso(G66)*letrapeso($C65)+letrapeso(G68)*letrapeso($C67)),0)</f>
        <v>1</v>
      </c>
      <c r="AN54" s="128">
        <f>IF(SUM(AN55:AN67),SUM(AN55:AN67)/(letrapeso(K56)*letrapeso($C55)+letrapeso(K58)*letrapeso($C57)+letrapeso(K60)*letrapeso($C59)+letrapeso(K62)*letrapeso($C61)+letrapeso(K64)*letrapeso($C63)+letrapeso(K66)*letrapeso($C65)+letrapeso(K68)*letrapeso($C67)),0)</f>
        <v>0</v>
      </c>
      <c r="AO54" s="128">
        <f>IF(SUM(AO55:AO67),SUM(AO55:AO67)/(letrapeso(L56)*letrapeso($C55)+letrapeso(L58)*letrapeso($C57)+letrapeso(L60)*letrapeso($C59)+letrapeso(L62)*letrapeso($C61)+letrapeso(L64)*letrapeso($C63)+letrapeso(L66)*letrapeso($C65)+letrapeso(L68)*letrapeso($C67)),0)</f>
        <v>0</v>
      </c>
      <c r="AQ54" s="128">
        <f>IF(SUM(AQ55:AQ67),SUM(AQ55:AQ67)/(letrapeso(N56)*letrapeso($C55)+letrapeso(N58)*letrapeso($C57)+letrapeso(N60)*letrapeso($C59)+letrapeso(N62)*letrapeso($C61)+letrapeso(N64)*letrapeso($C63)+letrapeso(N66)*letrapeso($C65)+letrapeso(N68)*letrapeso($C67)),0)</f>
        <v>0</v>
      </c>
      <c r="AR54" s="128">
        <f>IF(SUM(AR55:AR67),SUM(AR55:AR67)/(letrapeso(O56)*letrapeso($C55)+letrapeso(O58)*letrapeso($C57)+letrapeso(O60)*letrapeso($C59)+letrapeso(O62)*letrapeso($C61)+letrapeso(O64)*letrapeso($C63)+letrapeso(O66)*letrapeso($C65)+letrapeso(O68)*letrapeso($C67)),0)</f>
        <v>0</v>
      </c>
      <c r="AS54" s="28"/>
      <c r="AT54" s="128">
        <f>IF(SUM(AT55:AT67),SUM(AT55:AT67)/(letrapeso(Q56)*letrapeso($C55)+letrapeso(Q58)*letrapeso($C57)+letrapeso(Q60)*letrapeso($C59)+letrapeso(Q62)*letrapeso($C61)+letrapeso(Q64)*letrapeso($C63)+letrapeso(Q66)*letrapeso($C65)+letrapeso(Q68)*letrapeso($C67)),0)</f>
        <v>0</v>
      </c>
      <c r="AU54" s="128">
        <f>IF(SUM(AU55:AU67),SUM(AU55:AU67)/(letrapeso(R56)*letrapeso($C55)+letrapeso(R58)*letrapeso($C57)+letrapeso(R60)*letrapeso($C59)+letrapeso(R62)*letrapeso($C61)+letrapeso(R64)*letrapeso($C63)+letrapeso(R66)*letrapeso($C65)+letrapeso(R68)*letrapeso($C67)),0)</f>
        <v>0</v>
      </c>
      <c r="AV54" s="28"/>
      <c r="AW54" s="128">
        <f>IF(SUM(AW55:AW67),SUM(AW55:AW67)/(letrapeso(T56)*letrapeso($C55)+letrapeso(T58)*letrapeso($C57)+letrapeso(T60)*letrapeso($C59)+letrapeso(T62)*letrapeso($C61)+letrapeso(T64)*letrapeso($C63)+letrapeso(T66)*letrapeso($C65)+letrapeso(T68)*letrapeso($C67)),0)</f>
        <v>0</v>
      </c>
      <c r="AX54" s="128">
        <f>IF(SUM(AX55:AX67),SUM(AX55:AX67)/(letrapeso(U56)*letrapeso($C55)+letrapeso(U58)*letrapeso($C57)+letrapeso(U60)*letrapeso($C59)+letrapeso(U62)*letrapeso($C61)+letrapeso(U64)*letrapeso($C63)+letrapeso(U66)*letrapeso($C65)+letrapeso(U68)*letrapeso($C67)),0)</f>
        <v>0</v>
      </c>
      <c r="AY54" s="28"/>
      <c r="AZ54" s="128">
        <f>IF(SUM(AZ55:AZ67),SUM(AZ55:AZ67)/(letrapeso(W56)*letrapeso($C55)+letrapeso(W58)*letrapeso($C57)+letrapeso(W60)*letrapeso($C59)+letrapeso(W62)*letrapeso($C61)+letrapeso(W64)*letrapeso($C63)+letrapeso(W66)*letrapeso($C65)+letrapeso(W68)*letrapeso($C67)),0)</f>
        <v>0</v>
      </c>
      <c r="BA54" s="128">
        <f>IF(SUM(BA55:BA67),SUM(BA55:BA67)/(letrapeso(X56)*letrapeso($C55)+letrapeso(X58)*letrapeso($C57)+letrapeso(X60)*letrapeso($C59)+letrapeso(X62)*letrapeso($C61)+letrapeso(X64)*letrapeso($C63)+letrapeso(X66)*letrapeso($C65)+letrapeso(X68)*letrapeso($C67)),0)</f>
        <v>0</v>
      </c>
      <c r="BB54" s="28"/>
      <c r="BC54" s="128">
        <f>IF(SUM(BC55:BC67),SUM(BC55:BC67)/(letrapeso(Z56)*letrapeso($C55)+letrapeso(Z58)*letrapeso($C57)+letrapeso(Z60)*letrapeso($C59)+letrapeso(Z62)*letrapeso($C61)+letrapeso(Z64)*letrapeso($C63)+letrapeso(Z66)*letrapeso($C65)+letrapeso(Z68)*letrapeso($C67)),0)</f>
        <v>0</v>
      </c>
      <c r="BD54" s="128">
        <f>IF(SUM(BD55:BD67),SUM(BD55:BD67)/(letrapeso(AA56)*letrapeso($C55)+letrapeso(AA58)*letrapeso($C57)+letrapeso(AA60)*letrapeso($C59)+letrapeso(AA62)*letrapeso($C61)+letrapeso(AA64)*letrapeso($C63)+letrapeso(AA66)*letrapeso($C65)+letrapeso(AA68)*letrapeso($C67)),0)</f>
        <v>0</v>
      </c>
      <c r="BE54" s="28"/>
      <c r="BF54" s="128">
        <f>IF(SUM(BF55:BF67),SUM(BF55:BF67)/(letrapeso(AC56)*letrapeso($C55)+letrapeso(AC58)*letrapeso($C57)+letrapeso(AC60)*letrapeso($C59)+letrapeso(AC62)*letrapeso($C61)+letrapeso(AC64)*letrapeso($C63)+letrapeso(AC66)*letrapeso($C65)+letrapeso(AC68)*letrapeso($C67)),0)</f>
        <v>0</v>
      </c>
      <c r="BG54" s="128">
        <f>IF(SUM(BG55:BG67),SUM(BG55:BG67)/(letrapeso(AD56)*letrapeso($C55)+letrapeso(AD58)*letrapeso($C57)+letrapeso(AD60)*letrapeso($C59)+letrapeso(AD62)*letrapeso($C61)+letrapeso(AD64)*letrapeso($C63)+letrapeso(AD66)*letrapeso($C65)+letrapeso(AD68)*letrapeso($C67)),0)</f>
        <v>0</v>
      </c>
      <c r="BH54" s="28"/>
      <c r="BI54" s="128">
        <f>IF(SUM(BI55:BI67),SUM(BI55:BI67)/(letrapeso(AF56)*letrapeso($C55)+letrapeso(AF58)*letrapeso($C57)+letrapeso(AF60)*letrapeso($C59)+letrapeso(AF62)*letrapeso($C61)+letrapeso(AF64)*letrapeso($C63)+letrapeso(AF66)*letrapeso($C65)+letrapeso(AF68)*letrapeso($C67)),0)</f>
        <v>0</v>
      </c>
      <c r="BJ54" s="128">
        <f>IF(SUM(BJ55:BJ67),SUM(BJ55:BJ67)/(letrapeso(AG56)*letrapeso($C55)+letrapeso(AG58)*letrapeso($C57)+letrapeso(AG60)*letrapeso($C59)+letrapeso(AG62)*letrapeso($C61)+letrapeso(AG64)*letrapeso($C63)+letrapeso(AG66)*letrapeso($C65)+letrapeso(AG68)*letrapeso($C67)),0)</f>
        <v>0</v>
      </c>
      <c r="BK54" s="28"/>
    </row>
    <row r="55" spans="1:92" ht="15.75" hidden="1" thickBot="1" x14ac:dyDescent="0.25">
      <c r="A55" s="546" t="str">
        <f>'Digitar aqui Notas e Pesos'!A55</f>
        <v>Bradesco Financiamentos</v>
      </c>
      <c r="B55" s="547"/>
      <c r="C55" s="229" t="str">
        <f>IF('Digitar aqui Notas e Pesos'!C55,PEsoLetra('Digitar aqui Notas e Pesos'!C55),0)</f>
        <v>a</v>
      </c>
      <c r="D55" s="208">
        <f>IF(ISTEXT($C55),(G55*letrapeso(G56)+K55*letrapeso(K56)+N55*letrapeso(N56)+Q55*letrapeso(Q56)+T55*letrapeso(T56)+W55*letrapeso(W56)+Z55*letrapeso(Z56)+AC55*letrapeso(AC56)+AF55*letrapeso(AF56))/(letrapeso(G56)+letrapeso(K56)+letrapeso(N56)+letrapeso(Q56)+letrapeso(T56)+letrapeso(W56)+letrapeso(Z56)+letrapeso(AC56)+letrapeso(AF56)),0)</f>
        <v>2</v>
      </c>
      <c r="E55" s="208">
        <f>IF(ISTEXT($C55),(H55*letrapeso(H56)+L55*letrapeso(L56)+O55*letrapeso(O56)+R55*letrapeso(R56)+U55*letrapeso(U56)+X55*letrapeso(X56)+AA55*letrapeso(AA56)+AD55*letrapeso(AD56)+AG55*letrapeso(AG56))/(letrapeso(H56)+letrapeso(L56)+letrapeso(O56)+letrapeso(R56)+letrapeso(U56)+letrapeso(X56)+letrapeso(AA56)+letrapeso(AD56)+letrapeso(AG56)),0)</f>
        <v>2</v>
      </c>
      <c r="F55" s="209">
        <f>IF(ISTEXT($C55),(D55*$A$145+E55*$A$146),0)</f>
        <v>2</v>
      </c>
      <c r="G55" s="259">
        <f>'Digitar aqui Notas e Pesos'!D55</f>
        <v>2</v>
      </c>
      <c r="H55" s="116">
        <f>'Digitar aqui Notas e Pesos'!E55</f>
        <v>2</v>
      </c>
      <c r="I55" s="565">
        <f>IF(AND(G55&lt;&gt;0,H55&lt;&gt;0,$C55&lt;&gt;0),(G55*letrapeso(G56)*$A$145+H55*letrapeso(H56)*$A$146)/(letrapeso(G56)*$A$145+letrapeso(H56)*$A$146),0)</f>
        <v>2</v>
      </c>
      <c r="J55" s="259">
        <f>'Digitar aqui Notas e Pesos'!F55</f>
        <v>1</v>
      </c>
      <c r="K55" s="259">
        <f>'Digitar aqui Notas e Pesos'!G55</f>
        <v>0</v>
      </c>
      <c r="L55" s="116">
        <f>'Digitar aqui Notas e Pesos'!H55</f>
        <v>0</v>
      </c>
      <c r="M55" s="553">
        <f>IF(AND(K55&lt;&gt;0,L55&lt;&gt;0,$C55&lt;&gt;0),(K55*letrapeso(K56)*$A$145+L55*letrapeso(L56)*$A$146)/(letrapeso(K56)*$A$145+letrapeso(L56)*$A$146),0)</f>
        <v>0</v>
      </c>
      <c r="N55" s="259">
        <f>'Digitar aqui Notas e Pesos'!J55</f>
        <v>0</v>
      </c>
      <c r="O55" s="116">
        <f>'Digitar aqui Notas e Pesos'!K55</f>
        <v>0</v>
      </c>
      <c r="P55" s="553">
        <f>IF(AND(N55&lt;&gt;0,O55&lt;&gt;0,$C55&lt;&gt;0),(N55*letrapeso(N56)*$A$145+O55*letrapeso(O56)*$A$146)/(letrapeso(N56)*$A$145+letrapeso(O56)*$A$146),0)</f>
        <v>0</v>
      </c>
      <c r="Q55" s="259">
        <f>'Digitar aqui Notas e Pesos'!M55</f>
        <v>0</v>
      </c>
      <c r="R55" s="116">
        <f>'Digitar aqui Notas e Pesos'!N55</f>
        <v>0</v>
      </c>
      <c r="S55" s="553">
        <f>IF(AND(Q55&lt;&gt;0,R55&lt;&gt;0,$C55&lt;&gt;0),(Q55*letrapeso(Q56)*$A$145+R55*letrapeso(R56)*$A$146)/(letrapeso(Q56)*$A$145+letrapeso(R56)*$A$146),0)</f>
        <v>0</v>
      </c>
      <c r="T55" s="259">
        <f>'Digitar aqui Notas e Pesos'!P55</f>
        <v>0</v>
      </c>
      <c r="U55" s="116">
        <f>'Digitar aqui Notas e Pesos'!Q55</f>
        <v>0</v>
      </c>
      <c r="V55" s="553">
        <f>IF(AND(T55&lt;&gt;0,U55&lt;&gt;0,$C55&lt;&gt;0),(T55*letrapeso(T56)*$A$145+U55*letrapeso(U56)*$A$146)/(letrapeso(T56)*$A$145+letrapeso(U56)*$A$146),0)</f>
        <v>0</v>
      </c>
      <c r="W55" s="259">
        <f>'Digitar aqui Notas e Pesos'!S55</f>
        <v>0</v>
      </c>
      <c r="X55" s="116">
        <f>'Digitar aqui Notas e Pesos'!T55</f>
        <v>0</v>
      </c>
      <c r="Y55" s="553">
        <f>IF(AND(W55&lt;&gt;0,X55&lt;&gt;0,$C55&lt;&gt;0),(W55*letrapeso(W56)*$A$145+X55*letrapeso(X56)*$A$146)/(letrapeso(W56)*$A$145+letrapeso(X56)*$A$146),0)</f>
        <v>0</v>
      </c>
      <c r="Z55" s="259">
        <f>'Digitar aqui Notas e Pesos'!V55</f>
        <v>0</v>
      </c>
      <c r="AA55" s="116">
        <f>'Digitar aqui Notas e Pesos'!W55</f>
        <v>0</v>
      </c>
      <c r="AB55" s="553">
        <f>IF(AND(Z55&lt;&gt;0,AA55&lt;&gt;0,$C55&lt;&gt;0),(Z55*letrapeso(Z56)*$A$145+AA55*letrapeso(AA56)*$A$146)/(letrapeso(Z56)*$A$145+letrapeso(AA56)*$A$146),0)</f>
        <v>0</v>
      </c>
      <c r="AC55" s="259">
        <f>'Digitar aqui Notas e Pesos'!Y55</f>
        <v>0</v>
      </c>
      <c r="AD55" s="116">
        <f>'Digitar aqui Notas e Pesos'!Z55</f>
        <v>0</v>
      </c>
      <c r="AE55" s="553">
        <f>IF(AND(AC55&lt;&gt;0,AD55&lt;&gt;0,$C55&lt;&gt;0),(AC55*letrapeso(AC56)*$A$145+AD55*letrapeso(AD56)*$A$146)/(letrapeso(AC56)*$A$145+letrapeso(AD56)*$A$146),0)</f>
        <v>0</v>
      </c>
      <c r="AF55" s="259">
        <f>'Digitar aqui Notas e Pesos'!AB55</f>
        <v>0</v>
      </c>
      <c r="AG55" s="116">
        <f>'Digitar aqui Notas e Pesos'!AC55</f>
        <v>0</v>
      </c>
      <c r="AH55" s="573">
        <f>IF(AND(AF55&lt;&gt;0,AG55&lt;&gt;0,$C55&lt;&gt;0),(AF55*letrapeso(AF56)*$A$145+AG55*letrapeso(AG56)*$A$146)/(letrapeso(AF56)*$A$145+letrapeso(AG56)*$A$146),0)</f>
        <v>0</v>
      </c>
      <c r="AI55" s="8" t="str">
        <f>IF(letrapeso(C55),"Imprime","Não Imprime")</f>
        <v>Imprime</v>
      </c>
      <c r="AJ55" s="14" t="s">
        <v>28</v>
      </c>
      <c r="AK55" s="129">
        <f>G55*letrapeso(G56)*letrapeso($C55)</f>
        <v>128</v>
      </c>
      <c r="AL55" s="129">
        <f>H55*letrapeso(H56)*letrapeso($C55)</f>
        <v>128</v>
      </c>
      <c r="AM55" s="129">
        <f>J55*letrapeso(G56)*letrapeso($C55)</f>
        <v>64</v>
      </c>
      <c r="AN55" s="129">
        <f>K55*letrapeso(K56)*letrapeso($C55)</f>
        <v>0</v>
      </c>
      <c r="AO55" s="129">
        <f>L55*letrapeso(L56)*letrapeso($C55)</f>
        <v>0</v>
      </c>
      <c r="AP55" s="44"/>
      <c r="AQ55" s="129">
        <f>N55*letrapeso(N56)*letrapeso($C55)</f>
        <v>0</v>
      </c>
      <c r="AR55" s="129">
        <f>O55*letrapeso(O56)*letrapeso($C55)</f>
        <v>0</v>
      </c>
      <c r="AS55" s="44"/>
      <c r="AT55" s="129">
        <f>Q55*letrapeso(Q56)*letrapeso($C55)</f>
        <v>0</v>
      </c>
      <c r="AU55" s="129">
        <f>R55*letrapeso(R56)*letrapeso($C55)</f>
        <v>0</v>
      </c>
      <c r="AV55" s="44"/>
      <c r="AW55" s="129">
        <f>T55*letrapeso(T56)*letrapeso($C55)</f>
        <v>0</v>
      </c>
      <c r="AX55" s="129">
        <f>U55*letrapeso(U56)*letrapeso($C55)</f>
        <v>0</v>
      </c>
      <c r="AY55" s="44"/>
      <c r="AZ55" s="129">
        <f>W55*letrapeso(W56)*letrapeso($C55)</f>
        <v>0</v>
      </c>
      <c r="BA55" s="129">
        <f>X55*letrapeso(X56)*letrapeso($C55)</f>
        <v>0</v>
      </c>
      <c r="BB55" s="44"/>
      <c r="BC55" s="129">
        <f>Z55*letrapeso(Z56)*letrapeso($C55)</f>
        <v>0</v>
      </c>
      <c r="BD55" s="129">
        <f>AA55*letrapeso(AA56)*letrapeso($C55)</f>
        <v>0</v>
      </c>
      <c r="BE55" s="44"/>
      <c r="BF55" s="129">
        <f>AC55*letrapeso(AC56)*letrapeso($C55)</f>
        <v>0</v>
      </c>
      <c r="BG55" s="129">
        <f>AD55*letrapeso(AD56)*letrapeso($C55)</f>
        <v>0</v>
      </c>
      <c r="BH55" s="44"/>
      <c r="BI55" s="129">
        <f>AF55*letrapeso(AF56)*letrapeso($C55)</f>
        <v>0</v>
      </c>
      <c r="BJ55" s="129">
        <f>AG55*letrapeso(AG56)*letrapeso($C55)</f>
        <v>0</v>
      </c>
      <c r="BK55" s="44"/>
      <c r="BL55" s="171">
        <f>letrapeso(G56)</f>
        <v>8</v>
      </c>
      <c r="BM55" s="171">
        <f>letrapeso(H56)</f>
        <v>8</v>
      </c>
      <c r="BN55" s="41"/>
      <c r="BO55" s="171">
        <f>letrapeso(K56)</f>
        <v>0</v>
      </c>
      <c r="BP55" s="171">
        <f>letrapeso(L56)</f>
        <v>0</v>
      </c>
      <c r="BQ55" s="41"/>
      <c r="BR55" s="171">
        <f>letrapeso(N56)</f>
        <v>0</v>
      </c>
      <c r="BS55" s="171">
        <f>letrapeso(O56)</f>
        <v>0</v>
      </c>
      <c r="BT55" s="41"/>
      <c r="BU55" s="171">
        <f>letrapeso(Q56)</f>
        <v>0</v>
      </c>
      <c r="BV55" s="171">
        <f>letrapeso(R56)</f>
        <v>0</v>
      </c>
      <c r="BW55" s="41"/>
      <c r="BX55" s="171">
        <f>letrapeso(T56)</f>
        <v>0</v>
      </c>
      <c r="BY55" s="171">
        <f>letrapeso(U56)</f>
        <v>0</v>
      </c>
      <c r="BZ55" s="41"/>
      <c r="CA55" s="171">
        <f>letrapeso(W56)</f>
        <v>0</v>
      </c>
      <c r="CB55" s="171">
        <f>letrapeso(X56)</f>
        <v>0</v>
      </c>
      <c r="CC55" s="41"/>
      <c r="CD55" s="171">
        <f>letrapeso(Z56)</f>
        <v>0</v>
      </c>
      <c r="CE55" s="171">
        <f>letrapeso(AA56)</f>
        <v>0</v>
      </c>
      <c r="CF55" s="41"/>
      <c r="CG55" s="171">
        <f>letrapeso(AC56)</f>
        <v>0</v>
      </c>
      <c r="CH55" s="171">
        <f>letrapeso(AD56)</f>
        <v>0</v>
      </c>
      <c r="CI55" s="41"/>
      <c r="CJ55" s="171">
        <f>letrapeso(AF56)</f>
        <v>0</v>
      </c>
      <c r="CK55" s="171">
        <f>letrapeso(AG56)</f>
        <v>0</v>
      </c>
      <c r="CL55" s="41"/>
      <c r="CM55" s="41">
        <f>IF(ISTEXT($C55),(BL55+BO55+BR55+BU55+BX55+CA55+CD55+CG55+CJ55),0)</f>
        <v>8</v>
      </c>
      <c r="CN55" s="41">
        <f>IF(ISTEXT($C55),(BM55+BP55+BS55+BV55+BY55+CB55+CE55+CH55+CK55),0)</f>
        <v>8</v>
      </c>
    </row>
    <row r="56" spans="1:92" ht="15.75" hidden="1" thickBot="1" x14ac:dyDescent="0.25">
      <c r="A56" s="537" t="str">
        <f>TEXT(D55,"0,00")&amp;"       "&amp;TEXT(E55,"0,00")&amp;"       "&amp;TEXT(F55,"0,00")</f>
        <v>2,00       2,00       2,00</v>
      </c>
      <c r="B56" s="538"/>
      <c r="C56" s="230"/>
      <c r="D56" s="210"/>
      <c r="E56" s="208">
        <f>IF(ISTEXT($C56),(H56*letrapeso(H57)+#REF!*letrapeso(#REF!)+L56*letrapeso(L57)+O56*letrapeso(O57)+R56*letrapeso(R57)+#REF!*letrapeso(#REF!)+U56*letrapeso(U57)+X56*letrapeso(X57)+AA56*letrapeso(AA57)+AD56*letrapeso(AD57)+AG56*letrapeso(AG57))/(letrapeso(H57)+letrapeso(#REF!)+letrapeso(L57)+letrapeso(O57)+letrapeso(R57)+letrapeso(#REF!)+letrapeso(U57)+letrapeso(X57)+letrapeso(AA57)+letrapeso(AD57)+letrapeso(AG57)),0)</f>
        <v>0</v>
      </c>
      <c r="F56" s="209"/>
      <c r="G56" s="231" t="str">
        <f>PEsoLetra('Digitar aqui Notas e Pesos'!D56)</f>
        <v>a</v>
      </c>
      <c r="H56" s="232" t="str">
        <f>PEsoLetra('Digitar aqui Notas e Pesos'!E56)</f>
        <v>a</v>
      </c>
      <c r="I56" s="566"/>
      <c r="J56" s="490"/>
      <c r="K56" s="231" t="str">
        <f>PEsoLetra('Digitar aqui Notas e Pesos'!G56)</f>
        <v/>
      </c>
      <c r="L56" s="232" t="str">
        <f>PEsoLetra('Digitar aqui Notas e Pesos'!H56)</f>
        <v/>
      </c>
      <c r="M56" s="554"/>
      <c r="N56" s="231" t="str">
        <f>PEsoLetra('Digitar aqui Notas e Pesos'!J56)</f>
        <v/>
      </c>
      <c r="O56" s="232" t="str">
        <f>PEsoLetra('Digitar aqui Notas e Pesos'!K56)</f>
        <v/>
      </c>
      <c r="P56" s="554"/>
      <c r="Q56" s="231" t="str">
        <f>PEsoLetra('Digitar aqui Notas e Pesos'!M56)</f>
        <v/>
      </c>
      <c r="R56" s="232" t="str">
        <f>PEsoLetra('Digitar aqui Notas e Pesos'!N56)</f>
        <v/>
      </c>
      <c r="S56" s="554"/>
      <c r="T56" s="231" t="str">
        <f>PEsoLetra('Digitar aqui Notas e Pesos'!P56)</f>
        <v/>
      </c>
      <c r="U56" s="232" t="str">
        <f>PEsoLetra('Digitar aqui Notas e Pesos'!Q56)</f>
        <v/>
      </c>
      <c r="V56" s="554"/>
      <c r="W56" s="231" t="str">
        <f>PEsoLetra('Digitar aqui Notas e Pesos'!S56)</f>
        <v/>
      </c>
      <c r="X56" s="232" t="str">
        <f>PEsoLetra('Digitar aqui Notas e Pesos'!T56)</f>
        <v/>
      </c>
      <c r="Y56" s="554"/>
      <c r="Z56" s="231" t="str">
        <f>PEsoLetra('Digitar aqui Notas e Pesos'!V56)</f>
        <v/>
      </c>
      <c r="AA56" s="232" t="str">
        <f>PEsoLetra('Digitar aqui Notas e Pesos'!W56)</f>
        <v/>
      </c>
      <c r="AB56" s="554"/>
      <c r="AC56" s="231" t="str">
        <f>PEsoLetra('Digitar aqui Notas e Pesos'!Y56)</f>
        <v/>
      </c>
      <c r="AD56" s="232" t="str">
        <f>PEsoLetra('Digitar aqui Notas e Pesos'!Z56)</f>
        <v/>
      </c>
      <c r="AE56" s="554"/>
      <c r="AF56" s="231" t="str">
        <f>PEsoLetra('Digitar aqui Notas e Pesos'!AB56)</f>
        <v/>
      </c>
      <c r="AG56" s="232" t="str">
        <f>PEsoLetra('Digitar aqui Notas e Pesos'!AC56)</f>
        <v/>
      </c>
      <c r="AH56" s="574"/>
      <c r="AI56" s="19" t="str">
        <f>+AI55</f>
        <v>Imprime</v>
      </c>
      <c r="AJ56" s="1"/>
      <c r="AK56" s="130"/>
      <c r="AL56" s="130"/>
      <c r="AM56" s="130"/>
      <c r="AN56" s="130"/>
      <c r="AO56" s="130"/>
      <c r="AQ56" s="130"/>
      <c r="AR56" s="130"/>
      <c r="AS56" s="28"/>
      <c r="AT56" s="130"/>
      <c r="AU56" s="130"/>
      <c r="AV56" s="28"/>
      <c r="AW56" s="130"/>
      <c r="AX56" s="130"/>
      <c r="AY56" s="28"/>
      <c r="AZ56" s="130"/>
      <c r="BA56" s="130"/>
      <c r="BB56" s="28"/>
      <c r="BC56" s="130"/>
      <c r="BD56" s="130"/>
      <c r="BE56" s="28"/>
      <c r="BF56" s="130"/>
      <c r="BG56" s="130"/>
      <c r="BH56" s="28"/>
      <c r="BI56" s="130"/>
      <c r="BJ56" s="130"/>
      <c r="BK56" s="28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171"/>
      <c r="CN56" s="171"/>
    </row>
    <row r="57" spans="1:92" ht="15.75" hidden="1" thickBot="1" x14ac:dyDescent="0.25">
      <c r="A57" s="546" t="str">
        <f>'Digitar aqui Notas e Pesos'!A57</f>
        <v>Nome da Atividade 3 da Unidade 3</v>
      </c>
      <c r="B57" s="547"/>
      <c r="C57" s="229">
        <f>IF('Digitar aqui Notas e Pesos'!C57,PEsoLetra('Digitar aqui Notas e Pesos'!C57),0)</f>
        <v>0</v>
      </c>
      <c r="D57" s="208">
        <f>IF(ISTEXT($C57),(G57*letrapeso(G58)+K57*letrapeso(K58)+N57*letrapeso(N58)+Q57*letrapeso(Q58)+T57*letrapeso(T58)+W57*letrapeso(W58)+Z57*letrapeso(Z58)+AC57*letrapeso(AC58)+AF57*letrapeso(AF58))/(letrapeso(G58)+letrapeso(K58)+letrapeso(N58)+letrapeso(Q58)+letrapeso(T58)+letrapeso(W58)+letrapeso(Z58)+letrapeso(AC58)+letrapeso(AF58)),0)</f>
        <v>0</v>
      </c>
      <c r="E57" s="208">
        <f>IF(ISTEXT($C57),(H57*letrapeso(H58)+L57*letrapeso(L58)+O57*letrapeso(O58)+R57*letrapeso(R58)+U57*letrapeso(U58)+X57*letrapeso(X58)+AA57*letrapeso(AA58)+AD57*letrapeso(AD58)+AG57*letrapeso(AG58))/(letrapeso(H58)+letrapeso(L58)+letrapeso(O58)+letrapeso(R58)+letrapeso(U58)+letrapeso(X58)+letrapeso(AA58)+letrapeso(AD58)+letrapeso(AG58)),0)</f>
        <v>0</v>
      </c>
      <c r="F57" s="209">
        <f>IF(ISTEXT($C57),(D57*$A$145+E57*$A$146),0)</f>
        <v>0</v>
      </c>
      <c r="G57" s="259">
        <f>'Digitar aqui Notas e Pesos'!D57</f>
        <v>0</v>
      </c>
      <c r="H57" s="116">
        <f>'Digitar aqui Notas e Pesos'!E57</f>
        <v>0</v>
      </c>
      <c r="I57" s="565">
        <f>IF(AND(G57&lt;&gt;0,H57&lt;&gt;0,$C57&lt;&gt;0),(G57*letrapeso(G58)*$A$145+H57*letrapeso(H58)*$A$146)/(letrapeso(G58)*$A$145+letrapeso(H58)*$A$146),0)</f>
        <v>0</v>
      </c>
      <c r="J57" s="259">
        <f>'Digitar aqui Notas e Pesos'!F57</f>
        <v>0</v>
      </c>
      <c r="K57" s="259">
        <f>'Digitar aqui Notas e Pesos'!G57</f>
        <v>0</v>
      </c>
      <c r="L57" s="116">
        <f>'Digitar aqui Notas e Pesos'!H57</f>
        <v>0</v>
      </c>
      <c r="M57" s="553">
        <f>IF(AND(K57&lt;&gt;0,L57&lt;&gt;0,$C57&lt;&gt;0),(K57*letrapeso(K58)*$A$145+L57*letrapeso(L58)*$A$146)/(letrapeso(K58)*$A$145+letrapeso(L58)*$A$146),0)</f>
        <v>0</v>
      </c>
      <c r="N57" s="259">
        <f>'Digitar aqui Notas e Pesos'!J57</f>
        <v>0</v>
      </c>
      <c r="O57" s="116">
        <f>'Digitar aqui Notas e Pesos'!K57</f>
        <v>0</v>
      </c>
      <c r="P57" s="553">
        <f>IF(AND(N57&lt;&gt;0,O57&lt;&gt;0,$C57&lt;&gt;0),(N57*letrapeso(N58)*$A$145+O57*letrapeso(O58)*$A$146)/(letrapeso(N58)*$A$145+letrapeso(O58)*$A$146),0)</f>
        <v>0</v>
      </c>
      <c r="Q57" s="259">
        <f>'Digitar aqui Notas e Pesos'!M57</f>
        <v>0</v>
      </c>
      <c r="R57" s="116">
        <f>'Digitar aqui Notas e Pesos'!N57</f>
        <v>0</v>
      </c>
      <c r="S57" s="553">
        <f>IF(AND(Q57&lt;&gt;0,R57&lt;&gt;0,$C57&lt;&gt;0),(Q57*letrapeso(Q58)*$A$145+R57*letrapeso(R58)*$A$146)/(letrapeso(Q58)*$A$145+letrapeso(R58)*$A$146),0)</f>
        <v>0</v>
      </c>
      <c r="T57" s="259">
        <f>'Digitar aqui Notas e Pesos'!P57</f>
        <v>0</v>
      </c>
      <c r="U57" s="116">
        <f>'Digitar aqui Notas e Pesos'!Q57</f>
        <v>0</v>
      </c>
      <c r="V57" s="553">
        <f>IF(AND(T57&lt;&gt;0,U57&lt;&gt;0,$C57&lt;&gt;0),(T57*letrapeso(T58)*$A$145+U57*letrapeso(U58)*$A$146)/(letrapeso(T58)*$A$145+letrapeso(U58)*$A$146),0)</f>
        <v>0</v>
      </c>
      <c r="W57" s="259">
        <f>'Digitar aqui Notas e Pesos'!S57</f>
        <v>0</v>
      </c>
      <c r="X57" s="116">
        <f>'Digitar aqui Notas e Pesos'!T57</f>
        <v>0</v>
      </c>
      <c r="Y57" s="553">
        <f>IF(AND(W57&lt;&gt;0,X57&lt;&gt;0,$C57&lt;&gt;0),(W57*letrapeso(W58)*$A$145+X57*letrapeso(X58)*$A$146)/(letrapeso(W58)*$A$145+letrapeso(X58)*$A$146),0)</f>
        <v>0</v>
      </c>
      <c r="Z57" s="259">
        <f>'Digitar aqui Notas e Pesos'!V57</f>
        <v>0</v>
      </c>
      <c r="AA57" s="116">
        <f>'Digitar aqui Notas e Pesos'!W57</f>
        <v>0</v>
      </c>
      <c r="AB57" s="553">
        <f>IF(AND(Z57&lt;&gt;0,AA57&lt;&gt;0,$C57&lt;&gt;0),(Z57*letrapeso(Z58)*$A$145+AA57*letrapeso(AA58)*$A$146)/(letrapeso(Z58)*$A$145+letrapeso(AA58)*$A$146),0)</f>
        <v>0</v>
      </c>
      <c r="AC57" s="259">
        <f>'Digitar aqui Notas e Pesos'!Y57</f>
        <v>0</v>
      </c>
      <c r="AD57" s="116">
        <f>'Digitar aqui Notas e Pesos'!Z57</f>
        <v>0</v>
      </c>
      <c r="AE57" s="553">
        <f>IF(AND(AC57&lt;&gt;0,AD57&lt;&gt;0,$C57&lt;&gt;0),(AC57*letrapeso(AC58)*$A$145+AD57*letrapeso(AD58)*$A$146)/(letrapeso(AC58)*$A$145+letrapeso(AD58)*$A$146),0)</f>
        <v>0</v>
      </c>
      <c r="AF57" s="259">
        <f>'Digitar aqui Notas e Pesos'!AB57</f>
        <v>0</v>
      </c>
      <c r="AG57" s="116">
        <f>'Digitar aqui Notas e Pesos'!AC57</f>
        <v>0</v>
      </c>
      <c r="AH57" s="573">
        <f>IF(AND(AF57&lt;&gt;0,AG57&lt;&gt;0,$C57&lt;&gt;0),(AF57*letrapeso(AF58)*$A$145+AG57*letrapeso(AG58)*$A$146)/(letrapeso(AF58)*$A$145+letrapeso(AG58)*$A$146),0)</f>
        <v>0</v>
      </c>
      <c r="AI57" s="8" t="str">
        <f>IF(letrapeso(C57),"Imprime","Não Imprime")</f>
        <v>Não Imprime</v>
      </c>
      <c r="AJ57" s="14" t="s">
        <v>28</v>
      </c>
      <c r="AK57" s="129">
        <f>G57*letrapeso(G58)*letrapeso($C57)</f>
        <v>0</v>
      </c>
      <c r="AL57" s="129">
        <f>H57*letrapeso(H58)*letrapeso($C57)</f>
        <v>0</v>
      </c>
      <c r="AM57" s="129">
        <f>J57*letrapeso(G58)*letrapeso($C57)</f>
        <v>0</v>
      </c>
      <c r="AN57" s="129">
        <f>K57*letrapeso(K58)*letrapeso($C57)</f>
        <v>0</v>
      </c>
      <c r="AO57" s="129">
        <f>L57*letrapeso(L58)*letrapeso($C57)</f>
        <v>0</v>
      </c>
      <c r="AP57" s="131"/>
      <c r="AQ57" s="129">
        <f>N57*letrapeso(N58)*letrapeso($C57)</f>
        <v>0</v>
      </c>
      <c r="AR57" s="129">
        <f>O57*letrapeso(O58)*letrapeso($C57)</f>
        <v>0</v>
      </c>
      <c r="AS57" s="131"/>
      <c r="AT57" s="129">
        <f>Q57*letrapeso(Q58)*letrapeso($C57)</f>
        <v>0</v>
      </c>
      <c r="AU57" s="129">
        <f>R57*letrapeso(R58)*letrapeso($C57)</f>
        <v>0</v>
      </c>
      <c r="AV57" s="131"/>
      <c r="AW57" s="129">
        <f>T57*letrapeso(T58)*letrapeso($C57)</f>
        <v>0</v>
      </c>
      <c r="AX57" s="129">
        <f>U57*letrapeso(U58)*letrapeso($C57)</f>
        <v>0</v>
      </c>
      <c r="AY57" s="131"/>
      <c r="AZ57" s="129">
        <f>W57*letrapeso(W58)*letrapeso($C57)</f>
        <v>0</v>
      </c>
      <c r="BA57" s="129">
        <f>X57*letrapeso(X58)*letrapeso($C57)</f>
        <v>0</v>
      </c>
      <c r="BB57" s="131"/>
      <c r="BC57" s="129">
        <f>Z57*letrapeso(Z58)*letrapeso($C57)</f>
        <v>0</v>
      </c>
      <c r="BD57" s="129">
        <f>AA57*letrapeso(AA58)*letrapeso($C57)</f>
        <v>0</v>
      </c>
      <c r="BE57" s="131"/>
      <c r="BF57" s="129">
        <f>AC57*letrapeso(AC58)*letrapeso($C57)</f>
        <v>0</v>
      </c>
      <c r="BG57" s="129">
        <f>AD57*letrapeso(AD58)*letrapeso($C57)</f>
        <v>0</v>
      </c>
      <c r="BH57" s="131"/>
      <c r="BI57" s="129">
        <f>AF57*letrapeso(AF58)*letrapeso($C57)</f>
        <v>0</v>
      </c>
      <c r="BJ57" s="129">
        <f>AG57*letrapeso(AG58)*letrapeso($C57)</f>
        <v>0</v>
      </c>
      <c r="BK57" s="131"/>
      <c r="BL57" s="171">
        <f>letrapeso(G58)</f>
        <v>0</v>
      </c>
      <c r="BM57" s="171">
        <f>letrapeso(H58)</f>
        <v>0</v>
      </c>
      <c r="BN57" s="41"/>
      <c r="BO57" s="171">
        <f>letrapeso(K58)</f>
        <v>0</v>
      </c>
      <c r="BP57" s="171">
        <f>letrapeso(L58)</f>
        <v>0</v>
      </c>
      <c r="BQ57" s="41"/>
      <c r="BR57" s="171">
        <f>letrapeso(N58)</f>
        <v>0</v>
      </c>
      <c r="BS57" s="171">
        <f>letrapeso(O58)</f>
        <v>0</v>
      </c>
      <c r="BT57" s="41"/>
      <c r="BU57" s="171">
        <f>letrapeso(Q58)</f>
        <v>0</v>
      </c>
      <c r="BV57" s="171">
        <f>letrapeso(R58)</f>
        <v>0</v>
      </c>
      <c r="BW57" s="41"/>
      <c r="BX57" s="171">
        <f>letrapeso(T58)</f>
        <v>0</v>
      </c>
      <c r="BY57" s="171">
        <f>letrapeso(U58)</f>
        <v>0</v>
      </c>
      <c r="BZ57" s="41"/>
      <c r="CA57" s="171">
        <f>letrapeso(W58)</f>
        <v>0</v>
      </c>
      <c r="CB57" s="171">
        <f>letrapeso(X58)</f>
        <v>0</v>
      </c>
      <c r="CC57" s="41"/>
      <c r="CD57" s="171">
        <f>letrapeso(Z58)</f>
        <v>0</v>
      </c>
      <c r="CE57" s="171">
        <f>letrapeso(AA58)</f>
        <v>0</v>
      </c>
      <c r="CF57" s="41"/>
      <c r="CG57" s="171">
        <f>letrapeso(AC58)</f>
        <v>0</v>
      </c>
      <c r="CH57" s="171">
        <f>letrapeso(AD58)</f>
        <v>0</v>
      </c>
      <c r="CI57" s="41"/>
      <c r="CJ57" s="171">
        <f>letrapeso(AF58)</f>
        <v>0</v>
      </c>
      <c r="CK57" s="171">
        <f>letrapeso(AG58)</f>
        <v>0</v>
      </c>
      <c r="CL57" s="41"/>
      <c r="CM57" s="41">
        <f>IF(ISTEXT($C57),(BL57+BO57+BR57+BU57+BX57+CA57+CD57+CG57+CJ57),0)</f>
        <v>0</v>
      </c>
      <c r="CN57" s="41">
        <f>IF(ISTEXT($C57),(BM57+BP57+BS57+BV57+BY57+CB57+CE57+CH57+CK57),0)</f>
        <v>0</v>
      </c>
    </row>
    <row r="58" spans="1:92" ht="15.75" hidden="1" thickBot="1" x14ac:dyDescent="0.25">
      <c r="A58" s="537" t="str">
        <f>TEXT(D57,"0,00")&amp;"       "&amp;TEXT(E57,"0,00")&amp;"       "&amp;TEXT(F57,"0,00")</f>
        <v>0,00       0,00       0,00</v>
      </c>
      <c r="B58" s="538"/>
      <c r="C58" s="230"/>
      <c r="D58" s="210"/>
      <c r="E58" s="208">
        <f>IF(ISTEXT($C58),(H58*letrapeso(H59)+#REF!*letrapeso(#REF!)+L58*letrapeso(L59)+O58*letrapeso(O59)+R58*letrapeso(R59)+#REF!*letrapeso(#REF!)+U58*letrapeso(U59)+X58*letrapeso(X59)+AA58*letrapeso(AA59)+AD58*letrapeso(AD59)+AG58*letrapeso(AG59))/(letrapeso(H59)+letrapeso(#REF!)+letrapeso(L59)+letrapeso(O59)+letrapeso(R59)+letrapeso(#REF!)+letrapeso(U59)+letrapeso(X59)+letrapeso(AA59)+letrapeso(AD59)+letrapeso(AG59)),0)</f>
        <v>0</v>
      </c>
      <c r="F58" s="209"/>
      <c r="G58" s="231" t="str">
        <f>PEsoLetra('Digitar aqui Notas e Pesos'!D58)</f>
        <v/>
      </c>
      <c r="H58" s="232" t="str">
        <f>PEsoLetra('Digitar aqui Notas e Pesos'!E58)</f>
        <v/>
      </c>
      <c r="I58" s="566"/>
      <c r="J58" s="490"/>
      <c r="K58" s="231" t="str">
        <f>PEsoLetra('Digitar aqui Notas e Pesos'!G58)</f>
        <v/>
      </c>
      <c r="L58" s="232" t="str">
        <f>PEsoLetra('Digitar aqui Notas e Pesos'!H58)</f>
        <v/>
      </c>
      <c r="M58" s="554"/>
      <c r="N58" s="231" t="str">
        <f>PEsoLetra('Digitar aqui Notas e Pesos'!J58)</f>
        <v/>
      </c>
      <c r="O58" s="232" t="str">
        <f>PEsoLetra('Digitar aqui Notas e Pesos'!K58)</f>
        <v/>
      </c>
      <c r="P58" s="554"/>
      <c r="Q58" s="231" t="str">
        <f>PEsoLetra('Digitar aqui Notas e Pesos'!M58)</f>
        <v/>
      </c>
      <c r="R58" s="232" t="str">
        <f>PEsoLetra('Digitar aqui Notas e Pesos'!N58)</f>
        <v/>
      </c>
      <c r="S58" s="554"/>
      <c r="T58" s="231" t="str">
        <f>PEsoLetra('Digitar aqui Notas e Pesos'!P58)</f>
        <v/>
      </c>
      <c r="U58" s="232" t="str">
        <f>PEsoLetra('Digitar aqui Notas e Pesos'!Q58)</f>
        <v/>
      </c>
      <c r="V58" s="554"/>
      <c r="W58" s="231" t="str">
        <f>PEsoLetra('Digitar aqui Notas e Pesos'!S58)</f>
        <v/>
      </c>
      <c r="X58" s="232" t="str">
        <f>PEsoLetra('Digitar aqui Notas e Pesos'!T58)</f>
        <v/>
      </c>
      <c r="Y58" s="554"/>
      <c r="Z58" s="231" t="str">
        <f>PEsoLetra('Digitar aqui Notas e Pesos'!V58)</f>
        <v/>
      </c>
      <c r="AA58" s="232" t="str">
        <f>PEsoLetra('Digitar aqui Notas e Pesos'!W58)</f>
        <v/>
      </c>
      <c r="AB58" s="554"/>
      <c r="AC58" s="231" t="str">
        <f>PEsoLetra('Digitar aqui Notas e Pesos'!Y58)</f>
        <v/>
      </c>
      <c r="AD58" s="232" t="str">
        <f>PEsoLetra('Digitar aqui Notas e Pesos'!Z58)</f>
        <v/>
      </c>
      <c r="AE58" s="554"/>
      <c r="AF58" s="231" t="str">
        <f>PEsoLetra('Digitar aqui Notas e Pesos'!AB58)</f>
        <v/>
      </c>
      <c r="AG58" s="232" t="str">
        <f>PEsoLetra('Digitar aqui Notas e Pesos'!AC58)</f>
        <v/>
      </c>
      <c r="AH58" s="574"/>
      <c r="AI58" s="19" t="str">
        <f>+AI57</f>
        <v>Não Imprime</v>
      </c>
      <c r="AJ58" s="1"/>
      <c r="AK58" s="130"/>
      <c r="AL58" s="130"/>
      <c r="AM58" s="130"/>
      <c r="AN58" s="130"/>
      <c r="AO58" s="130"/>
      <c r="AP58" s="131"/>
      <c r="AQ58" s="130"/>
      <c r="AR58" s="130"/>
      <c r="AS58" s="131"/>
      <c r="AT58" s="130"/>
      <c r="AU58" s="130"/>
      <c r="AV58" s="131"/>
      <c r="AW58" s="130"/>
      <c r="AX58" s="130"/>
      <c r="AY58" s="131"/>
      <c r="AZ58" s="130"/>
      <c r="BA58" s="130"/>
      <c r="BB58" s="131"/>
      <c r="BC58" s="130"/>
      <c r="BD58" s="130"/>
      <c r="BE58" s="131"/>
      <c r="BF58" s="130"/>
      <c r="BG58" s="130"/>
      <c r="BH58" s="131"/>
      <c r="BI58" s="130"/>
      <c r="BJ58" s="130"/>
      <c r="BK58" s="131"/>
      <c r="CM58" s="28"/>
      <c r="CN58" s="28"/>
    </row>
    <row r="59" spans="1:92" ht="15.75" hidden="1" thickBot="1" x14ac:dyDescent="0.25">
      <c r="A59" s="546" t="str">
        <f>'Digitar aqui Notas e Pesos'!A59</f>
        <v>Nome da Atividade 3 da Unidade 3</v>
      </c>
      <c r="B59" s="547"/>
      <c r="C59" s="229">
        <f>IF('Digitar aqui Notas e Pesos'!C59,PEsoLetra('Digitar aqui Notas e Pesos'!C59),0)</f>
        <v>0</v>
      </c>
      <c r="D59" s="208">
        <f>IF(ISTEXT($C59),(G59*letrapeso(G60)+K59*letrapeso(K60)+N59*letrapeso(N60)+Q59*letrapeso(Q60)+T59*letrapeso(T60)+W59*letrapeso(W60)+Z59*letrapeso(Z60)+AC59*letrapeso(AC60)+AF59*letrapeso(AF60))/(letrapeso(G60)+letrapeso(K60)+letrapeso(N60)+letrapeso(Q60)+letrapeso(T60)+letrapeso(W60)+letrapeso(Z60)+letrapeso(AC60)+letrapeso(AF60)),0)</f>
        <v>0</v>
      </c>
      <c r="E59" s="208">
        <f>IF(ISTEXT($C59),(H59*letrapeso(H60)+L59*letrapeso(L60)+O59*letrapeso(O60)+R59*letrapeso(R60)+U59*letrapeso(U60)+X59*letrapeso(X60)+AA59*letrapeso(AA60)+AD59*letrapeso(AD60)+AG59*letrapeso(AG60))/(letrapeso(H60)+letrapeso(L60)+letrapeso(O60)+letrapeso(R60)+letrapeso(U60)+letrapeso(X60)+letrapeso(AA60)+letrapeso(AD60)+letrapeso(AG60)),0)</f>
        <v>0</v>
      </c>
      <c r="F59" s="209">
        <f>IF(ISTEXT($C59),(D59*$A$145+E59*$A$146),0)</f>
        <v>0</v>
      </c>
      <c r="G59" s="259">
        <f>'Digitar aqui Notas e Pesos'!D59</f>
        <v>0</v>
      </c>
      <c r="H59" s="116">
        <f>'Digitar aqui Notas e Pesos'!E59</f>
        <v>0</v>
      </c>
      <c r="I59" s="565">
        <f>IF(AND(G59&lt;&gt;0,H59&lt;&gt;0,$C59&lt;&gt;0),(G59*letrapeso(G60)*$A$145+H59*letrapeso(H60)*$A$146)/(letrapeso(G60)*$A$145+letrapeso(H60)*$A$146),0)</f>
        <v>0</v>
      </c>
      <c r="J59" s="259">
        <f>'Digitar aqui Notas e Pesos'!F59</f>
        <v>0</v>
      </c>
      <c r="K59" s="259">
        <f>'Digitar aqui Notas e Pesos'!G59</f>
        <v>0</v>
      </c>
      <c r="L59" s="116">
        <f>'Digitar aqui Notas e Pesos'!H59</f>
        <v>0</v>
      </c>
      <c r="M59" s="553">
        <f>IF(AND(K59&lt;&gt;0,L59&lt;&gt;0,$C59&lt;&gt;0),(K59*letrapeso(K60)*$A$145+L59*letrapeso(L60)*$A$146)/(letrapeso(K60)*$A$145+letrapeso(L60)*$A$146),0)</f>
        <v>0</v>
      </c>
      <c r="N59" s="259">
        <f>'Digitar aqui Notas e Pesos'!J59</f>
        <v>0</v>
      </c>
      <c r="O59" s="116">
        <f>'Digitar aqui Notas e Pesos'!K59</f>
        <v>0</v>
      </c>
      <c r="P59" s="553">
        <f>IF(AND(N59&lt;&gt;0,O59&lt;&gt;0,$C59&lt;&gt;0),(N59*letrapeso(N60)*$A$145+O59*letrapeso(O60)*$A$146)/(letrapeso(N60)*$A$145+letrapeso(O60)*$A$146),0)</f>
        <v>0</v>
      </c>
      <c r="Q59" s="259">
        <f>'Digitar aqui Notas e Pesos'!M59</f>
        <v>0</v>
      </c>
      <c r="R59" s="116">
        <f>'Digitar aqui Notas e Pesos'!N59</f>
        <v>0</v>
      </c>
      <c r="S59" s="553">
        <f>IF(AND(Q59&lt;&gt;0,R59&lt;&gt;0,$C59&lt;&gt;0),(Q59*letrapeso(Q60)*$A$145+R59*letrapeso(R60)*$A$146)/(letrapeso(Q60)*$A$145+letrapeso(R60)*$A$146),0)</f>
        <v>0</v>
      </c>
      <c r="T59" s="259">
        <f>'Digitar aqui Notas e Pesos'!P59</f>
        <v>0</v>
      </c>
      <c r="U59" s="116">
        <f>'Digitar aqui Notas e Pesos'!Q59</f>
        <v>0</v>
      </c>
      <c r="V59" s="553">
        <f>IF(AND(T59&lt;&gt;0,U59&lt;&gt;0,$C59&lt;&gt;0),(T59*letrapeso(T60)*$A$145+U59*letrapeso(U60)*$A$146)/(letrapeso(T60)*$A$145+letrapeso(U60)*$A$146),0)</f>
        <v>0</v>
      </c>
      <c r="W59" s="259">
        <f>'Digitar aqui Notas e Pesos'!S59</f>
        <v>0</v>
      </c>
      <c r="X59" s="116">
        <f>'Digitar aqui Notas e Pesos'!T59</f>
        <v>0</v>
      </c>
      <c r="Y59" s="553">
        <f>IF(AND(W59&lt;&gt;0,X59&lt;&gt;0,$C59&lt;&gt;0),(W59*letrapeso(W60)*$A$145+X59*letrapeso(X60)*$A$146)/(letrapeso(W60)*$A$145+letrapeso(X60)*$A$146),0)</f>
        <v>0</v>
      </c>
      <c r="Z59" s="259">
        <f>'Digitar aqui Notas e Pesos'!V59</f>
        <v>0</v>
      </c>
      <c r="AA59" s="116">
        <f>'Digitar aqui Notas e Pesos'!W59</f>
        <v>0</v>
      </c>
      <c r="AB59" s="553">
        <f>IF(AND(Z59&lt;&gt;0,AA59&lt;&gt;0,$C59&lt;&gt;0),(Z59*letrapeso(Z60)*$A$145+AA59*letrapeso(AA60)*$A$146)/(letrapeso(Z60)*$A$145+letrapeso(AA60)*$A$146),0)</f>
        <v>0</v>
      </c>
      <c r="AC59" s="259">
        <f>'Digitar aqui Notas e Pesos'!Y59</f>
        <v>0</v>
      </c>
      <c r="AD59" s="116">
        <f>'Digitar aqui Notas e Pesos'!Z59</f>
        <v>0</v>
      </c>
      <c r="AE59" s="553">
        <f>IF(AND(AC59&lt;&gt;0,AD59&lt;&gt;0,$C59&lt;&gt;0),(AC59*letrapeso(AC60)*$A$145+AD59*letrapeso(AD60)*$A$146)/(letrapeso(AC60)*$A$145+letrapeso(AD60)*$A$146),0)</f>
        <v>0</v>
      </c>
      <c r="AF59" s="259">
        <f>'Digitar aqui Notas e Pesos'!AB59</f>
        <v>0</v>
      </c>
      <c r="AG59" s="116">
        <f>'Digitar aqui Notas e Pesos'!AC59</f>
        <v>0</v>
      </c>
      <c r="AH59" s="573">
        <f>IF(AND(AF59&lt;&gt;0,AG59&lt;&gt;0,$C59&lt;&gt;0),(AF59*letrapeso(AF60)*$A$145+AG59*letrapeso(AG60)*$A$146)/(letrapeso(AF60)*$A$145+letrapeso(AG60)*$A$146),0)</f>
        <v>0</v>
      </c>
      <c r="AI59" s="8" t="str">
        <f>IF(letrapeso(C59),"Imprime","Não Imprime")</f>
        <v>Não Imprime</v>
      </c>
      <c r="AJ59" s="14" t="s">
        <v>28</v>
      </c>
      <c r="AK59" s="129">
        <f>G59*letrapeso(G60)*letrapeso($C59)</f>
        <v>0</v>
      </c>
      <c r="AL59" s="129">
        <f>H59*letrapeso(H60)*letrapeso($C59)</f>
        <v>0</v>
      </c>
      <c r="AM59" s="129">
        <f>J59*letrapeso(G60)*letrapeso($C59)</f>
        <v>0</v>
      </c>
      <c r="AN59" s="129">
        <f>K59*letrapeso(K60)*letrapeso($C59)</f>
        <v>0</v>
      </c>
      <c r="AO59" s="129">
        <f>L59*letrapeso(L60)*letrapeso($C59)</f>
        <v>0</v>
      </c>
      <c r="AP59" s="131"/>
      <c r="AQ59" s="129">
        <f>N59*letrapeso(N60)*letrapeso($C59)</f>
        <v>0</v>
      </c>
      <c r="AR59" s="129">
        <f>O59*letrapeso(O60)*letrapeso($C59)</f>
        <v>0</v>
      </c>
      <c r="AS59" s="131"/>
      <c r="AT59" s="129">
        <f>Q59*letrapeso(Q60)*letrapeso($C59)</f>
        <v>0</v>
      </c>
      <c r="AU59" s="129">
        <f>R59*letrapeso(R60)*letrapeso($C59)</f>
        <v>0</v>
      </c>
      <c r="AV59" s="131"/>
      <c r="AW59" s="129">
        <f>T59*letrapeso(T60)*letrapeso($C59)</f>
        <v>0</v>
      </c>
      <c r="AX59" s="129">
        <f>U59*letrapeso(U60)*letrapeso($C59)</f>
        <v>0</v>
      </c>
      <c r="AY59" s="131"/>
      <c r="AZ59" s="129">
        <f>W59*letrapeso(W60)*letrapeso($C59)</f>
        <v>0</v>
      </c>
      <c r="BA59" s="129">
        <f>X59*letrapeso(X60)*letrapeso($C59)</f>
        <v>0</v>
      </c>
      <c r="BB59" s="131"/>
      <c r="BC59" s="129">
        <f>Z59*letrapeso(Z60)*letrapeso($C59)</f>
        <v>0</v>
      </c>
      <c r="BD59" s="129">
        <f>AA59*letrapeso(AA60)*letrapeso($C59)</f>
        <v>0</v>
      </c>
      <c r="BE59" s="131"/>
      <c r="BF59" s="129">
        <f>AC59*letrapeso(AC60)*letrapeso($C59)</f>
        <v>0</v>
      </c>
      <c r="BG59" s="129">
        <f>AD59*letrapeso(AD60)*letrapeso($C59)</f>
        <v>0</v>
      </c>
      <c r="BH59" s="131"/>
      <c r="BI59" s="129">
        <f>AF59*letrapeso(AF60)*letrapeso($C59)</f>
        <v>0</v>
      </c>
      <c r="BJ59" s="129">
        <f>AG59*letrapeso(AG60)*letrapeso($C59)</f>
        <v>0</v>
      </c>
      <c r="BK59" s="131"/>
      <c r="BL59" s="171">
        <f>letrapeso(G60)</f>
        <v>0</v>
      </c>
      <c r="BM59" s="171">
        <f>letrapeso(H60)</f>
        <v>0</v>
      </c>
      <c r="BN59" s="41"/>
      <c r="BO59" s="171">
        <f>letrapeso(K60)</f>
        <v>0</v>
      </c>
      <c r="BP59" s="171">
        <f>letrapeso(L60)</f>
        <v>0</v>
      </c>
      <c r="BQ59" s="41"/>
      <c r="BR59" s="171">
        <f>letrapeso(N60)</f>
        <v>0</v>
      </c>
      <c r="BS59" s="171">
        <f>letrapeso(O60)</f>
        <v>0</v>
      </c>
      <c r="BT59" s="41"/>
      <c r="BU59" s="171">
        <f>letrapeso(Q60)</f>
        <v>0</v>
      </c>
      <c r="BV59" s="171">
        <f>letrapeso(R60)</f>
        <v>0</v>
      </c>
      <c r="BW59" s="41"/>
      <c r="BX59" s="171">
        <f>letrapeso(T60)</f>
        <v>0</v>
      </c>
      <c r="BY59" s="171">
        <f>letrapeso(U60)</f>
        <v>0</v>
      </c>
      <c r="BZ59" s="41"/>
      <c r="CA59" s="171">
        <f>letrapeso(W60)</f>
        <v>0</v>
      </c>
      <c r="CB59" s="171">
        <f>letrapeso(X60)</f>
        <v>0</v>
      </c>
      <c r="CC59" s="41"/>
      <c r="CD59" s="171">
        <f>letrapeso(Z60)</f>
        <v>0</v>
      </c>
      <c r="CE59" s="171">
        <f>letrapeso(AA60)</f>
        <v>0</v>
      </c>
      <c r="CF59" s="41"/>
      <c r="CG59" s="171">
        <f>letrapeso(AC60)</f>
        <v>0</v>
      </c>
      <c r="CH59" s="171">
        <f>letrapeso(AD60)</f>
        <v>0</v>
      </c>
      <c r="CI59" s="41"/>
      <c r="CJ59" s="171">
        <f>letrapeso(AF60)</f>
        <v>0</v>
      </c>
      <c r="CK59" s="171">
        <f>letrapeso(AG60)</f>
        <v>0</v>
      </c>
      <c r="CL59" s="41"/>
      <c r="CM59" s="41">
        <f>IF(ISTEXT($C59),(BL59+BO59+BR59+BU59+BX59+CA59+CD59+CG59+CJ59),0)</f>
        <v>0</v>
      </c>
      <c r="CN59" s="41">
        <f>IF(ISTEXT($C59),(BM59+BP59+BS59+BV59+BY59+CB59+CE59+CH59+CK59),0)</f>
        <v>0</v>
      </c>
    </row>
    <row r="60" spans="1:92" ht="15.75" hidden="1" thickBot="1" x14ac:dyDescent="0.25">
      <c r="A60" s="537" t="str">
        <f>TEXT(D59,"0,00")&amp;"       "&amp;TEXT(E59,"0,00")&amp;"       "&amp;TEXT(F59,"0,00")</f>
        <v>0,00       0,00       0,00</v>
      </c>
      <c r="B60" s="538"/>
      <c r="C60" s="230"/>
      <c r="D60" s="210"/>
      <c r="E60" s="208">
        <f>IF(ISTEXT($C60),(H60*letrapeso(H61)+#REF!*letrapeso(#REF!)+L60*letrapeso(L61)+O60*letrapeso(O61)+R60*letrapeso(R61)+#REF!*letrapeso(#REF!)+U60*letrapeso(U61)+X60*letrapeso(X61)+AA60*letrapeso(AA61)+AD60*letrapeso(AD61)+AG60*letrapeso(AG61))/(letrapeso(H61)+letrapeso(#REF!)+letrapeso(L61)+letrapeso(O61)+letrapeso(R61)+letrapeso(#REF!)+letrapeso(U61)+letrapeso(X61)+letrapeso(AA61)+letrapeso(AD61)+letrapeso(AG61)),0)</f>
        <v>0</v>
      </c>
      <c r="F60" s="209"/>
      <c r="G60" s="231" t="str">
        <f>PEsoLetra('Digitar aqui Notas e Pesos'!D60)</f>
        <v/>
      </c>
      <c r="H60" s="232" t="str">
        <f>PEsoLetra('Digitar aqui Notas e Pesos'!E60)</f>
        <v/>
      </c>
      <c r="I60" s="566"/>
      <c r="J60" s="490"/>
      <c r="K60" s="231" t="str">
        <f>PEsoLetra('Digitar aqui Notas e Pesos'!G60)</f>
        <v/>
      </c>
      <c r="L60" s="232" t="str">
        <f>PEsoLetra('Digitar aqui Notas e Pesos'!H60)</f>
        <v/>
      </c>
      <c r="M60" s="554"/>
      <c r="N60" s="231" t="str">
        <f>PEsoLetra('Digitar aqui Notas e Pesos'!J60)</f>
        <v/>
      </c>
      <c r="O60" s="232" t="str">
        <f>PEsoLetra('Digitar aqui Notas e Pesos'!K60)</f>
        <v/>
      </c>
      <c r="P60" s="554"/>
      <c r="Q60" s="231" t="str">
        <f>PEsoLetra('Digitar aqui Notas e Pesos'!M60)</f>
        <v/>
      </c>
      <c r="R60" s="232" t="str">
        <f>PEsoLetra('Digitar aqui Notas e Pesos'!N60)</f>
        <v/>
      </c>
      <c r="S60" s="554"/>
      <c r="T60" s="231" t="str">
        <f>PEsoLetra('Digitar aqui Notas e Pesos'!P60)</f>
        <v/>
      </c>
      <c r="U60" s="232" t="str">
        <f>PEsoLetra('Digitar aqui Notas e Pesos'!Q60)</f>
        <v/>
      </c>
      <c r="V60" s="554"/>
      <c r="W60" s="231" t="str">
        <f>PEsoLetra('Digitar aqui Notas e Pesos'!S60)</f>
        <v/>
      </c>
      <c r="X60" s="232" t="str">
        <f>PEsoLetra('Digitar aqui Notas e Pesos'!T60)</f>
        <v/>
      </c>
      <c r="Y60" s="554"/>
      <c r="Z60" s="231" t="str">
        <f>PEsoLetra('Digitar aqui Notas e Pesos'!V60)</f>
        <v/>
      </c>
      <c r="AA60" s="232" t="str">
        <f>PEsoLetra('Digitar aqui Notas e Pesos'!W60)</f>
        <v/>
      </c>
      <c r="AB60" s="554"/>
      <c r="AC60" s="231" t="str">
        <f>PEsoLetra('Digitar aqui Notas e Pesos'!Y60)</f>
        <v/>
      </c>
      <c r="AD60" s="232" t="str">
        <f>PEsoLetra('Digitar aqui Notas e Pesos'!Z60)</f>
        <v/>
      </c>
      <c r="AE60" s="554"/>
      <c r="AF60" s="231" t="str">
        <f>PEsoLetra('Digitar aqui Notas e Pesos'!AB60)</f>
        <v/>
      </c>
      <c r="AG60" s="232" t="str">
        <f>PEsoLetra('Digitar aqui Notas e Pesos'!AC60)</f>
        <v/>
      </c>
      <c r="AH60" s="574"/>
      <c r="AI60" s="19" t="str">
        <f>+AI59</f>
        <v>Não Imprime</v>
      </c>
      <c r="AJ60" s="1"/>
      <c r="AK60" s="130"/>
      <c r="AL60" s="130"/>
      <c r="AM60" s="130"/>
      <c r="AN60" s="130"/>
      <c r="AO60" s="130"/>
      <c r="AP60" s="131"/>
      <c r="AQ60" s="130"/>
      <c r="AR60" s="130"/>
      <c r="AS60" s="131"/>
      <c r="AT60" s="130"/>
      <c r="AU60" s="130"/>
      <c r="AV60" s="131"/>
      <c r="AW60" s="130"/>
      <c r="AX60" s="130"/>
      <c r="AY60" s="131"/>
      <c r="AZ60" s="130"/>
      <c r="BA60" s="130"/>
      <c r="BB60" s="131"/>
      <c r="BC60" s="130"/>
      <c r="BD60" s="130"/>
      <c r="BE60" s="131"/>
      <c r="BF60" s="130"/>
      <c r="BG60" s="130"/>
      <c r="BH60" s="131"/>
      <c r="BI60" s="130"/>
      <c r="BJ60" s="130"/>
      <c r="BK60" s="131"/>
      <c r="CM60" s="28"/>
      <c r="CN60" s="28"/>
    </row>
    <row r="61" spans="1:92" ht="15.75" hidden="1" thickBot="1" x14ac:dyDescent="0.25">
      <c r="A61" s="546" t="str">
        <f>'Digitar aqui Notas e Pesos'!A61</f>
        <v>Nome da Atividade 4 da Unidade 3</v>
      </c>
      <c r="B61" s="547"/>
      <c r="C61" s="229">
        <f>IF('Digitar aqui Notas e Pesos'!C61,PEsoLetra('Digitar aqui Notas e Pesos'!C61),0)</f>
        <v>0</v>
      </c>
      <c r="D61" s="208">
        <f>IF(ISTEXT($C61),(G61*letrapeso(G62)+K61*letrapeso(K62)+N61*letrapeso(N62)+Q61*letrapeso(Q62)+T61*letrapeso(T62)+W61*letrapeso(W62)+Z61*letrapeso(Z62)+AC61*letrapeso(AC62)+AF61*letrapeso(AF62))/(letrapeso(G62)+letrapeso(K62)+letrapeso(N62)+letrapeso(Q62)+letrapeso(T62)+letrapeso(W62)+letrapeso(Z62)+letrapeso(AC62)+letrapeso(AF62)),0)</f>
        <v>0</v>
      </c>
      <c r="E61" s="208">
        <f>IF(ISTEXT($C61),(H61*letrapeso(H62)+L61*letrapeso(L62)+O61*letrapeso(O62)+R61*letrapeso(R62)+U61*letrapeso(U62)+X61*letrapeso(X62)+AA61*letrapeso(AA62)+AD61*letrapeso(AD62)+AG61*letrapeso(AG62))/(letrapeso(H62)+letrapeso(L62)+letrapeso(O62)+letrapeso(R62)+letrapeso(U62)+letrapeso(X62)+letrapeso(AA62)+letrapeso(AD62)+letrapeso(AG62)),0)</f>
        <v>0</v>
      </c>
      <c r="F61" s="209">
        <f>IF(ISTEXT($C61),(D61*$A$145+E61*$A$146),0)</f>
        <v>0</v>
      </c>
      <c r="G61" s="259">
        <f>'Digitar aqui Notas e Pesos'!D61</f>
        <v>0</v>
      </c>
      <c r="H61" s="116">
        <f>'Digitar aqui Notas e Pesos'!E61</f>
        <v>0</v>
      </c>
      <c r="I61" s="565">
        <f>IF(AND(G61&lt;&gt;0,H61&lt;&gt;0,$C61&lt;&gt;0),(G61*letrapeso(G62)*$A$145+H61*letrapeso(H62)*$A$146)/(letrapeso(G62)*$A$145+letrapeso(H62)*$A$146),0)</f>
        <v>0</v>
      </c>
      <c r="J61" s="259">
        <f>'Digitar aqui Notas e Pesos'!F61</f>
        <v>0</v>
      </c>
      <c r="K61" s="259">
        <f>'Digitar aqui Notas e Pesos'!G61</f>
        <v>0</v>
      </c>
      <c r="L61" s="116">
        <f>'Digitar aqui Notas e Pesos'!H61</f>
        <v>0</v>
      </c>
      <c r="M61" s="553">
        <f>IF(AND(K61&lt;&gt;0,L61&lt;&gt;0,$C61&lt;&gt;0),(K61*letrapeso(K62)*$A$145+L61*letrapeso(L62)*$A$146)/(letrapeso(K62)*$A$145+letrapeso(L62)*$A$146),0)</f>
        <v>0</v>
      </c>
      <c r="N61" s="259">
        <f>'Digitar aqui Notas e Pesos'!J61</f>
        <v>0</v>
      </c>
      <c r="O61" s="116">
        <f>'Digitar aqui Notas e Pesos'!K61</f>
        <v>0</v>
      </c>
      <c r="P61" s="553">
        <f>IF(AND(N61&lt;&gt;0,O61&lt;&gt;0,$C61&lt;&gt;0),(N61*letrapeso(N62)*$A$145+O61*letrapeso(O62)*$A$146)/(letrapeso(N62)*$A$145+letrapeso(O62)*$A$146),0)</f>
        <v>0</v>
      </c>
      <c r="Q61" s="259">
        <f>'Digitar aqui Notas e Pesos'!M61</f>
        <v>0</v>
      </c>
      <c r="R61" s="116">
        <f>'Digitar aqui Notas e Pesos'!N61</f>
        <v>0</v>
      </c>
      <c r="S61" s="553">
        <f>IF(AND(Q61&lt;&gt;0,R61&lt;&gt;0,$C61&lt;&gt;0),(Q61*letrapeso(Q62)*$A$145+R61*letrapeso(R62)*$A$146)/(letrapeso(Q62)*$A$145+letrapeso(R62)*$A$146),0)</f>
        <v>0</v>
      </c>
      <c r="T61" s="259">
        <f>'Digitar aqui Notas e Pesos'!P61</f>
        <v>0</v>
      </c>
      <c r="U61" s="116">
        <f>'Digitar aqui Notas e Pesos'!Q61</f>
        <v>0</v>
      </c>
      <c r="V61" s="553">
        <f>IF(AND(T61&lt;&gt;0,U61&lt;&gt;0,$C61&lt;&gt;0),(T61*letrapeso(T62)*$A$145+U61*letrapeso(U62)*$A$146)/(letrapeso(T62)*$A$145+letrapeso(U62)*$A$146),0)</f>
        <v>0</v>
      </c>
      <c r="W61" s="259">
        <f>'Digitar aqui Notas e Pesos'!S61</f>
        <v>0</v>
      </c>
      <c r="X61" s="116">
        <f>'Digitar aqui Notas e Pesos'!T61</f>
        <v>0</v>
      </c>
      <c r="Y61" s="553">
        <f>IF(AND(W61&lt;&gt;0,X61&lt;&gt;0,$C61&lt;&gt;0),(W61*letrapeso(W62)*$A$145+X61*letrapeso(X62)*$A$146)/(letrapeso(W62)*$A$145+letrapeso(X62)*$A$146),0)</f>
        <v>0</v>
      </c>
      <c r="Z61" s="259">
        <f>'Digitar aqui Notas e Pesos'!V61</f>
        <v>0</v>
      </c>
      <c r="AA61" s="116">
        <f>'Digitar aqui Notas e Pesos'!W61</f>
        <v>0</v>
      </c>
      <c r="AB61" s="553">
        <f>IF(AND(Z61&lt;&gt;0,AA61&lt;&gt;0,$C61&lt;&gt;0),(Z61*letrapeso(Z62)*$A$145+AA61*letrapeso(AA62)*$A$146)/(letrapeso(Z62)*$A$145+letrapeso(AA62)*$A$146),0)</f>
        <v>0</v>
      </c>
      <c r="AC61" s="259">
        <f>'Digitar aqui Notas e Pesos'!Y61</f>
        <v>0</v>
      </c>
      <c r="AD61" s="116">
        <f>'Digitar aqui Notas e Pesos'!Z61</f>
        <v>0</v>
      </c>
      <c r="AE61" s="553">
        <f>IF(AND(AC61&lt;&gt;0,AD61&lt;&gt;0,$C61&lt;&gt;0),(AC61*letrapeso(AC62)*$A$145+AD61*letrapeso(AD62)*$A$146)/(letrapeso(AC62)*$A$145+letrapeso(AD62)*$A$146),0)</f>
        <v>0</v>
      </c>
      <c r="AF61" s="259">
        <f>'Digitar aqui Notas e Pesos'!AB61</f>
        <v>0</v>
      </c>
      <c r="AG61" s="116">
        <f>'Digitar aqui Notas e Pesos'!AC61</f>
        <v>0</v>
      </c>
      <c r="AH61" s="573">
        <f>IF(AND(AF61&lt;&gt;0,AG61&lt;&gt;0,$C61&lt;&gt;0),(AF61*letrapeso(AF62)*$A$145+AG61*letrapeso(AG62)*$A$146)/(letrapeso(AF62)*$A$145+letrapeso(AG62)*$A$146),0)</f>
        <v>0</v>
      </c>
      <c r="AI61" s="8" t="str">
        <f>IF(letrapeso(C61),"Imprime","Não Imprime")</f>
        <v>Não Imprime</v>
      </c>
      <c r="AJ61" s="14" t="s">
        <v>28</v>
      </c>
      <c r="AK61" s="129">
        <f>G61*letrapeso(G62)*letrapeso($C61)</f>
        <v>0</v>
      </c>
      <c r="AL61" s="129">
        <f>H61*letrapeso(H62)*letrapeso($C61)</f>
        <v>0</v>
      </c>
      <c r="AM61" s="129">
        <f>J61*letrapeso(G62)*letrapeso($C61)</f>
        <v>0</v>
      </c>
      <c r="AN61" s="129">
        <f>K61*letrapeso(K62)*letrapeso($C61)</f>
        <v>0</v>
      </c>
      <c r="AO61" s="129">
        <f>L61*letrapeso(L62)*letrapeso($C61)</f>
        <v>0</v>
      </c>
      <c r="AP61" s="131"/>
      <c r="AQ61" s="129">
        <f>N61*letrapeso(N62)*letrapeso($C61)</f>
        <v>0</v>
      </c>
      <c r="AR61" s="129">
        <f>O61*letrapeso(O62)*letrapeso($C61)</f>
        <v>0</v>
      </c>
      <c r="AS61" s="131"/>
      <c r="AT61" s="129">
        <f>Q61*letrapeso(Q62)*letrapeso($C61)</f>
        <v>0</v>
      </c>
      <c r="AU61" s="129">
        <f>R61*letrapeso(R62)*letrapeso($C61)</f>
        <v>0</v>
      </c>
      <c r="AV61" s="131"/>
      <c r="AW61" s="129">
        <f>T61*letrapeso(T62)*letrapeso($C61)</f>
        <v>0</v>
      </c>
      <c r="AX61" s="129">
        <f>U61*letrapeso(U62)*letrapeso($C61)</f>
        <v>0</v>
      </c>
      <c r="AY61" s="131"/>
      <c r="AZ61" s="129">
        <f>W61*letrapeso(W62)*letrapeso($C61)</f>
        <v>0</v>
      </c>
      <c r="BA61" s="129">
        <f>X61*letrapeso(X62)*letrapeso($C61)</f>
        <v>0</v>
      </c>
      <c r="BB61" s="131"/>
      <c r="BC61" s="129">
        <f>Z61*letrapeso(Z62)*letrapeso($C61)</f>
        <v>0</v>
      </c>
      <c r="BD61" s="129">
        <f>AA61*letrapeso(AA62)*letrapeso($C61)</f>
        <v>0</v>
      </c>
      <c r="BE61" s="131"/>
      <c r="BF61" s="129">
        <f>AC61*letrapeso(AC62)*letrapeso($C61)</f>
        <v>0</v>
      </c>
      <c r="BG61" s="129">
        <f>AD61*letrapeso(AD62)*letrapeso($C61)</f>
        <v>0</v>
      </c>
      <c r="BH61" s="131"/>
      <c r="BI61" s="129">
        <f>AF61*letrapeso(AF62)*letrapeso($C61)</f>
        <v>0</v>
      </c>
      <c r="BJ61" s="129">
        <f>AG61*letrapeso(AG62)*letrapeso($C61)</f>
        <v>0</v>
      </c>
      <c r="BK61" s="131"/>
      <c r="BL61" s="171">
        <f>letrapeso(G62)</f>
        <v>0</v>
      </c>
      <c r="BM61" s="171">
        <f>letrapeso(H62)</f>
        <v>0</v>
      </c>
      <c r="BN61" s="41"/>
      <c r="BO61" s="171">
        <f>letrapeso(K62)</f>
        <v>0</v>
      </c>
      <c r="BP61" s="171">
        <f>letrapeso(L62)</f>
        <v>0</v>
      </c>
      <c r="BQ61" s="41"/>
      <c r="BR61" s="171">
        <f>letrapeso(N62)</f>
        <v>0</v>
      </c>
      <c r="BS61" s="171">
        <f>letrapeso(O62)</f>
        <v>0</v>
      </c>
      <c r="BT61" s="41"/>
      <c r="BU61" s="171">
        <f>letrapeso(Q62)</f>
        <v>0</v>
      </c>
      <c r="BV61" s="171">
        <f>letrapeso(R62)</f>
        <v>0</v>
      </c>
      <c r="BW61" s="41"/>
      <c r="BX61" s="171">
        <f>letrapeso(T62)</f>
        <v>0</v>
      </c>
      <c r="BY61" s="171">
        <f>letrapeso(U62)</f>
        <v>0</v>
      </c>
      <c r="BZ61" s="41"/>
      <c r="CA61" s="171">
        <f>letrapeso(W62)</f>
        <v>0</v>
      </c>
      <c r="CB61" s="171">
        <f>letrapeso(X62)</f>
        <v>0</v>
      </c>
      <c r="CC61" s="41"/>
      <c r="CD61" s="171">
        <f>letrapeso(Z62)</f>
        <v>0</v>
      </c>
      <c r="CE61" s="171">
        <f>letrapeso(AA62)</f>
        <v>0</v>
      </c>
      <c r="CF61" s="41"/>
      <c r="CG61" s="171">
        <f>letrapeso(AC62)</f>
        <v>0</v>
      </c>
      <c r="CH61" s="171">
        <f>letrapeso(AD62)</f>
        <v>0</v>
      </c>
      <c r="CI61" s="41"/>
      <c r="CJ61" s="171">
        <f>letrapeso(AF62)</f>
        <v>0</v>
      </c>
      <c r="CK61" s="171">
        <f>letrapeso(AG62)</f>
        <v>0</v>
      </c>
      <c r="CL61" s="41"/>
      <c r="CM61" s="41">
        <f>IF(ISTEXT($C61),(BL61+BO61+BR61+BU61+BX61+CA61+CD61+CG61+CJ61),0)</f>
        <v>0</v>
      </c>
      <c r="CN61" s="41">
        <f>IF(ISTEXT($C61),(BM61+BP61+BS61+BV61+BY61+CB61+CE61+CH61+CK61),0)</f>
        <v>0</v>
      </c>
    </row>
    <row r="62" spans="1:92" ht="15.75" hidden="1" thickBot="1" x14ac:dyDescent="0.25">
      <c r="A62" s="537" t="str">
        <f>TEXT(D61,"0,00")&amp;"       "&amp;TEXT(E61,"0,00")&amp;"       "&amp;TEXT(F61,"0,00")</f>
        <v>0,00       0,00       0,00</v>
      </c>
      <c r="B62" s="538"/>
      <c r="C62" s="230"/>
      <c r="D62" s="210"/>
      <c r="E62" s="208">
        <f>IF(ISTEXT($C62),(H62*letrapeso(H63)+#REF!*letrapeso(#REF!)+L62*letrapeso(L63)+O62*letrapeso(O63)+R62*letrapeso(R63)+#REF!*letrapeso(#REF!)+U62*letrapeso(U63)+X62*letrapeso(X63)+AA62*letrapeso(AA63)+AD62*letrapeso(AD63)+AG62*letrapeso(AG63))/(letrapeso(H63)+letrapeso(#REF!)+letrapeso(L63)+letrapeso(O63)+letrapeso(R63)+letrapeso(#REF!)+letrapeso(U63)+letrapeso(X63)+letrapeso(AA63)+letrapeso(AD63)+letrapeso(AG63)),0)</f>
        <v>0</v>
      </c>
      <c r="F62" s="209"/>
      <c r="G62" s="231" t="str">
        <f>PEsoLetra('Digitar aqui Notas e Pesos'!D62)</f>
        <v/>
      </c>
      <c r="H62" s="232" t="str">
        <f>PEsoLetra('Digitar aqui Notas e Pesos'!E62)</f>
        <v/>
      </c>
      <c r="I62" s="566"/>
      <c r="J62" s="490"/>
      <c r="K62" s="231" t="str">
        <f>PEsoLetra('Digitar aqui Notas e Pesos'!G62)</f>
        <v/>
      </c>
      <c r="L62" s="232" t="str">
        <f>PEsoLetra('Digitar aqui Notas e Pesos'!H62)</f>
        <v/>
      </c>
      <c r="M62" s="554"/>
      <c r="N62" s="231" t="str">
        <f>PEsoLetra('Digitar aqui Notas e Pesos'!J62)</f>
        <v/>
      </c>
      <c r="O62" s="232" t="str">
        <f>PEsoLetra('Digitar aqui Notas e Pesos'!K62)</f>
        <v/>
      </c>
      <c r="P62" s="554"/>
      <c r="Q62" s="231" t="str">
        <f>PEsoLetra('Digitar aqui Notas e Pesos'!M62)</f>
        <v/>
      </c>
      <c r="R62" s="232" t="str">
        <f>PEsoLetra('Digitar aqui Notas e Pesos'!N62)</f>
        <v/>
      </c>
      <c r="S62" s="554"/>
      <c r="T62" s="231" t="str">
        <f>PEsoLetra('Digitar aqui Notas e Pesos'!P62)</f>
        <v/>
      </c>
      <c r="U62" s="232" t="str">
        <f>PEsoLetra('Digitar aqui Notas e Pesos'!Q62)</f>
        <v/>
      </c>
      <c r="V62" s="554"/>
      <c r="W62" s="231" t="str">
        <f>PEsoLetra('Digitar aqui Notas e Pesos'!S62)</f>
        <v/>
      </c>
      <c r="X62" s="232" t="str">
        <f>PEsoLetra('Digitar aqui Notas e Pesos'!T62)</f>
        <v/>
      </c>
      <c r="Y62" s="554"/>
      <c r="Z62" s="231" t="str">
        <f>PEsoLetra('Digitar aqui Notas e Pesos'!V62)</f>
        <v/>
      </c>
      <c r="AA62" s="232" t="str">
        <f>PEsoLetra('Digitar aqui Notas e Pesos'!W62)</f>
        <v/>
      </c>
      <c r="AB62" s="554"/>
      <c r="AC62" s="231" t="str">
        <f>PEsoLetra('Digitar aqui Notas e Pesos'!Y62)</f>
        <v/>
      </c>
      <c r="AD62" s="232" t="str">
        <f>PEsoLetra('Digitar aqui Notas e Pesos'!Z62)</f>
        <v/>
      </c>
      <c r="AE62" s="554"/>
      <c r="AF62" s="231" t="str">
        <f>PEsoLetra('Digitar aqui Notas e Pesos'!AB62)</f>
        <v/>
      </c>
      <c r="AG62" s="232" t="str">
        <f>PEsoLetra('Digitar aqui Notas e Pesos'!AC62)</f>
        <v/>
      </c>
      <c r="AH62" s="574"/>
      <c r="AI62" s="19" t="str">
        <f>+AI61</f>
        <v>Não Imprime</v>
      </c>
      <c r="AJ62" s="1"/>
      <c r="AK62" s="130"/>
      <c r="AL62" s="130"/>
      <c r="AM62" s="130"/>
      <c r="AN62" s="130"/>
      <c r="AO62" s="130"/>
      <c r="AP62" s="131"/>
      <c r="AQ62" s="130"/>
      <c r="AR62" s="130"/>
      <c r="AS62" s="131"/>
      <c r="AT62" s="130"/>
      <c r="AU62" s="130"/>
      <c r="AV62" s="131"/>
      <c r="AW62" s="130"/>
      <c r="AX62" s="130"/>
      <c r="AY62" s="131"/>
      <c r="AZ62" s="130"/>
      <c r="BA62" s="130"/>
      <c r="BB62" s="131"/>
      <c r="BC62" s="130"/>
      <c r="BD62" s="130"/>
      <c r="BE62" s="131"/>
      <c r="BF62" s="130"/>
      <c r="BG62" s="130"/>
      <c r="BH62" s="131"/>
      <c r="BI62" s="130"/>
      <c r="BJ62" s="130"/>
      <c r="BK62" s="131"/>
      <c r="CM62" s="28"/>
      <c r="CN62" s="28"/>
    </row>
    <row r="63" spans="1:92" ht="15.75" hidden="1" thickBot="1" x14ac:dyDescent="0.25">
      <c r="A63" s="546" t="str">
        <f>'Digitar aqui Notas e Pesos'!A63</f>
        <v>Nome da Atividade 5 da Unidade 3</v>
      </c>
      <c r="B63" s="547"/>
      <c r="C63" s="229">
        <f>IF('Digitar aqui Notas e Pesos'!C63,PEsoLetra('Digitar aqui Notas e Pesos'!C63),0)</f>
        <v>0</v>
      </c>
      <c r="D63" s="208">
        <f>IF(ISTEXT($C63),(G63*letrapeso(G64)+K63*letrapeso(K64)+N63*letrapeso(N64)+Q63*letrapeso(Q64)+T63*letrapeso(T64)+W63*letrapeso(W64)+Z63*letrapeso(Z64)+AC63*letrapeso(AC64)+AF63*letrapeso(AF64))/(letrapeso(G64)+letrapeso(K64)+letrapeso(N64)+letrapeso(Q64)+letrapeso(T64)+letrapeso(W64)+letrapeso(Z64)+letrapeso(AC64)+letrapeso(AF64)),0)</f>
        <v>0</v>
      </c>
      <c r="E63" s="208">
        <f>IF(ISTEXT($C63),(H63*letrapeso(H64)+L63*letrapeso(L64)+O63*letrapeso(O64)+R63*letrapeso(R64)+U63*letrapeso(U64)+X63*letrapeso(X64)+AA63*letrapeso(AA64)+AD63*letrapeso(AD64)+AG63*letrapeso(AG64))/(letrapeso(H64)+letrapeso(L64)+letrapeso(O64)+letrapeso(R64)+letrapeso(U64)+letrapeso(X64)+letrapeso(AA64)+letrapeso(AD64)+letrapeso(AG64)),0)</f>
        <v>0</v>
      </c>
      <c r="F63" s="209">
        <f>IF(ISTEXT($C63),(D63*$A$145+E63*$A$146),0)</f>
        <v>0</v>
      </c>
      <c r="G63" s="259">
        <f>'Digitar aqui Notas e Pesos'!D63</f>
        <v>0</v>
      </c>
      <c r="H63" s="116">
        <f>'Digitar aqui Notas e Pesos'!E63</f>
        <v>0</v>
      </c>
      <c r="I63" s="565">
        <f>IF(AND(G63&lt;&gt;0,H63&lt;&gt;0,$C63&lt;&gt;0),(G63*letrapeso(G64)*$A$145+H63*letrapeso(H64)*$A$146)/(letrapeso(G64)*$A$145+letrapeso(H64)*$A$146),0)</f>
        <v>0</v>
      </c>
      <c r="J63" s="259">
        <f>'Digitar aqui Notas e Pesos'!F63</f>
        <v>0</v>
      </c>
      <c r="K63" s="259">
        <f>'Digitar aqui Notas e Pesos'!G63</f>
        <v>0</v>
      </c>
      <c r="L63" s="116">
        <f>'Digitar aqui Notas e Pesos'!H63</f>
        <v>0</v>
      </c>
      <c r="M63" s="553">
        <f>IF(AND(K63&lt;&gt;0,L63&lt;&gt;0,$C63&lt;&gt;0),(K63*letrapeso(K64)*$A$145+L63*letrapeso(L64)*$A$146)/(letrapeso(K64)*$A$145+letrapeso(L64)*$A$146),0)</f>
        <v>0</v>
      </c>
      <c r="N63" s="259">
        <f>'Digitar aqui Notas e Pesos'!J63</f>
        <v>0</v>
      </c>
      <c r="O63" s="116">
        <f>'Digitar aqui Notas e Pesos'!K63</f>
        <v>0</v>
      </c>
      <c r="P63" s="553">
        <f>IF(AND(N63&lt;&gt;0,O63&lt;&gt;0,$C63&lt;&gt;0),(N63*letrapeso(N64)*$A$145+O63*letrapeso(O64)*$A$146)/(letrapeso(N64)*$A$145+letrapeso(O64)*$A$146),0)</f>
        <v>0</v>
      </c>
      <c r="Q63" s="259">
        <f>'Digitar aqui Notas e Pesos'!M63</f>
        <v>0</v>
      </c>
      <c r="R63" s="116">
        <f>'Digitar aqui Notas e Pesos'!N63</f>
        <v>0</v>
      </c>
      <c r="S63" s="553">
        <f>IF(AND(Q63&lt;&gt;0,R63&lt;&gt;0,$C63&lt;&gt;0),(Q63*letrapeso(Q64)*$A$145+R63*letrapeso(R64)*$A$146)/(letrapeso(Q64)*$A$145+letrapeso(R64)*$A$146),0)</f>
        <v>0</v>
      </c>
      <c r="T63" s="259">
        <f>'Digitar aqui Notas e Pesos'!P63</f>
        <v>0</v>
      </c>
      <c r="U63" s="116">
        <f>'Digitar aqui Notas e Pesos'!Q63</f>
        <v>0</v>
      </c>
      <c r="V63" s="553">
        <f>IF(AND(T63&lt;&gt;0,U63&lt;&gt;0,$C63&lt;&gt;0),(T63*letrapeso(T64)*$A$145+U63*letrapeso(U64)*$A$146)/(letrapeso(T64)*$A$145+letrapeso(U64)*$A$146),0)</f>
        <v>0</v>
      </c>
      <c r="W63" s="259">
        <f>'Digitar aqui Notas e Pesos'!S63</f>
        <v>0</v>
      </c>
      <c r="X63" s="116">
        <f>'Digitar aqui Notas e Pesos'!T63</f>
        <v>0</v>
      </c>
      <c r="Y63" s="553">
        <f>IF(AND(W63&lt;&gt;0,X63&lt;&gt;0,$C63&lt;&gt;0),(W63*letrapeso(W64)*$A$145+X63*letrapeso(X64)*$A$146)/(letrapeso(W64)*$A$145+letrapeso(X64)*$A$146),0)</f>
        <v>0</v>
      </c>
      <c r="Z63" s="259">
        <f>'Digitar aqui Notas e Pesos'!V63</f>
        <v>0</v>
      </c>
      <c r="AA63" s="116">
        <f>'Digitar aqui Notas e Pesos'!W63</f>
        <v>0</v>
      </c>
      <c r="AB63" s="553">
        <f>IF(AND(Z63&lt;&gt;0,AA63&lt;&gt;0,$C63&lt;&gt;0),(Z63*letrapeso(Z64)*$A$145+AA63*letrapeso(AA64)*$A$146)/(letrapeso(Z64)*$A$145+letrapeso(AA64)*$A$146),0)</f>
        <v>0</v>
      </c>
      <c r="AC63" s="259">
        <f>'Digitar aqui Notas e Pesos'!Y63</f>
        <v>0</v>
      </c>
      <c r="AD63" s="116">
        <f>'Digitar aqui Notas e Pesos'!Z63</f>
        <v>0</v>
      </c>
      <c r="AE63" s="553">
        <f>IF(AND(AC63&lt;&gt;0,AD63&lt;&gt;0,$C63&lt;&gt;0),(AC63*letrapeso(AC64)*$A$145+AD63*letrapeso(AD64)*$A$146)/(letrapeso(AC64)*$A$145+letrapeso(AD64)*$A$146),0)</f>
        <v>0</v>
      </c>
      <c r="AF63" s="259">
        <f>'Digitar aqui Notas e Pesos'!AB63</f>
        <v>0</v>
      </c>
      <c r="AG63" s="116">
        <f>'Digitar aqui Notas e Pesos'!AC63</f>
        <v>0</v>
      </c>
      <c r="AH63" s="573">
        <f>IF(AND(AF63&lt;&gt;0,AG63&lt;&gt;0,$C63&lt;&gt;0),(AF63*letrapeso(AF64)*$A$145+AG63*letrapeso(AG64)*$A$146)/(letrapeso(AF64)*$A$145+letrapeso(AG64)*$A$146),0)</f>
        <v>0</v>
      </c>
      <c r="AI63" s="8" t="str">
        <f>IF(letrapeso(C63),"Imprime","Não Imprime")</f>
        <v>Não Imprime</v>
      </c>
      <c r="AJ63" s="14" t="s">
        <v>28</v>
      </c>
      <c r="AK63" s="129">
        <f>G63*letrapeso(G64)*letrapeso($C63)</f>
        <v>0</v>
      </c>
      <c r="AL63" s="129">
        <f>H63*letrapeso(H64)*letrapeso($C63)</f>
        <v>0</v>
      </c>
      <c r="AM63" s="129">
        <f>J63*letrapeso(G64)*letrapeso($C63)</f>
        <v>0</v>
      </c>
      <c r="AN63" s="129">
        <f>K63*letrapeso(K64)*letrapeso($C63)</f>
        <v>0</v>
      </c>
      <c r="AO63" s="129">
        <f>L63*letrapeso(L64)*letrapeso($C63)</f>
        <v>0</v>
      </c>
      <c r="AP63" s="131"/>
      <c r="AQ63" s="129">
        <f>N63*letrapeso(N64)*letrapeso($C63)</f>
        <v>0</v>
      </c>
      <c r="AR63" s="129">
        <f>O63*letrapeso(O64)*letrapeso($C63)</f>
        <v>0</v>
      </c>
      <c r="AS63" s="131"/>
      <c r="AT63" s="129">
        <f>Q63*letrapeso(Q64)*letrapeso($C63)</f>
        <v>0</v>
      </c>
      <c r="AU63" s="129">
        <f>R63*letrapeso(R64)*letrapeso($C63)</f>
        <v>0</v>
      </c>
      <c r="AV63" s="131"/>
      <c r="AW63" s="129">
        <f>T63*letrapeso(T64)*letrapeso($C63)</f>
        <v>0</v>
      </c>
      <c r="AX63" s="129">
        <f>U63*letrapeso(U64)*letrapeso($C63)</f>
        <v>0</v>
      </c>
      <c r="AY63" s="131"/>
      <c r="AZ63" s="129">
        <f>W63*letrapeso(W64)*letrapeso($C63)</f>
        <v>0</v>
      </c>
      <c r="BA63" s="129">
        <f>X63*letrapeso(X64)*letrapeso($C63)</f>
        <v>0</v>
      </c>
      <c r="BB63" s="131"/>
      <c r="BC63" s="129">
        <f>Z63*letrapeso(Z64)*letrapeso($C63)</f>
        <v>0</v>
      </c>
      <c r="BD63" s="129">
        <f>AA63*letrapeso(AA64)*letrapeso($C63)</f>
        <v>0</v>
      </c>
      <c r="BE63" s="131"/>
      <c r="BF63" s="129">
        <f>AC63*letrapeso(AC64)*letrapeso($C63)</f>
        <v>0</v>
      </c>
      <c r="BG63" s="129">
        <f>AD63*letrapeso(AD64)*letrapeso($C63)</f>
        <v>0</v>
      </c>
      <c r="BH63" s="131"/>
      <c r="BI63" s="129">
        <f>AF63*letrapeso(AF64)*letrapeso($C63)</f>
        <v>0</v>
      </c>
      <c r="BJ63" s="129">
        <f>AG63*letrapeso(AG64)*letrapeso($C63)</f>
        <v>0</v>
      </c>
      <c r="BK63" s="131"/>
      <c r="BL63" s="171">
        <f>letrapeso(G64)</f>
        <v>0</v>
      </c>
      <c r="BM63" s="171">
        <f>letrapeso(H64)</f>
        <v>0</v>
      </c>
      <c r="BN63" s="41"/>
      <c r="BO63" s="171">
        <f>letrapeso(K64)</f>
        <v>0</v>
      </c>
      <c r="BP63" s="171">
        <f>letrapeso(L64)</f>
        <v>0</v>
      </c>
      <c r="BQ63" s="41"/>
      <c r="BR63" s="171">
        <f>letrapeso(N64)</f>
        <v>0</v>
      </c>
      <c r="BS63" s="171">
        <f>letrapeso(O64)</f>
        <v>0</v>
      </c>
      <c r="BT63" s="41"/>
      <c r="BU63" s="171">
        <f>letrapeso(Q64)</f>
        <v>0</v>
      </c>
      <c r="BV63" s="171">
        <f>letrapeso(R64)</f>
        <v>0</v>
      </c>
      <c r="BW63" s="41"/>
      <c r="BX63" s="171">
        <f>letrapeso(T64)</f>
        <v>0</v>
      </c>
      <c r="BY63" s="171">
        <f>letrapeso(U64)</f>
        <v>0</v>
      </c>
      <c r="BZ63" s="41"/>
      <c r="CA63" s="171">
        <f>letrapeso(W64)</f>
        <v>0</v>
      </c>
      <c r="CB63" s="171">
        <f>letrapeso(X64)</f>
        <v>0</v>
      </c>
      <c r="CC63" s="41"/>
      <c r="CD63" s="171">
        <f>letrapeso(Z64)</f>
        <v>0</v>
      </c>
      <c r="CE63" s="171">
        <f>letrapeso(AA64)</f>
        <v>0</v>
      </c>
      <c r="CF63" s="41"/>
      <c r="CG63" s="171">
        <f>letrapeso(AC64)</f>
        <v>0</v>
      </c>
      <c r="CH63" s="171">
        <f>letrapeso(AD64)</f>
        <v>0</v>
      </c>
      <c r="CI63" s="41"/>
      <c r="CJ63" s="171">
        <f>letrapeso(AF64)</f>
        <v>0</v>
      </c>
      <c r="CK63" s="171">
        <f>letrapeso(AG64)</f>
        <v>0</v>
      </c>
      <c r="CL63" s="41"/>
      <c r="CM63" s="41">
        <f>IF(ISTEXT($C63),(BL63+BO63+BR63+BU63+BX63+CA63+CD63+CG63+CJ63),0)</f>
        <v>0</v>
      </c>
      <c r="CN63" s="41">
        <f>IF(ISTEXT($C63),(BM63+BP63+BS63+BV63+BY63+CB63+CE63+CH63+CK63),0)</f>
        <v>0</v>
      </c>
    </row>
    <row r="64" spans="1:92" ht="15.75" hidden="1" thickBot="1" x14ac:dyDescent="0.25">
      <c r="A64" s="537" t="str">
        <f>TEXT(D63,"0,00")&amp;"       "&amp;TEXT(E63,"0,00")&amp;"       "&amp;TEXT(F63,"0,00")</f>
        <v>0,00       0,00       0,00</v>
      </c>
      <c r="B64" s="538"/>
      <c r="C64" s="230"/>
      <c r="D64" s="210"/>
      <c r="E64" s="208">
        <f>IF(ISTEXT($C64),(H64*letrapeso(H65)+#REF!*letrapeso(#REF!)+L64*letrapeso(L65)+O64*letrapeso(O65)+R64*letrapeso(R65)+#REF!*letrapeso(#REF!)+U64*letrapeso(U65)+X64*letrapeso(X65)+AA64*letrapeso(AA65)+AD64*letrapeso(AD65)+AG64*letrapeso(AG65))/(letrapeso(H65)+letrapeso(#REF!)+letrapeso(L65)+letrapeso(O65)+letrapeso(R65)+letrapeso(#REF!)+letrapeso(U65)+letrapeso(X65)+letrapeso(AA65)+letrapeso(AD65)+letrapeso(AG65)),0)</f>
        <v>0</v>
      </c>
      <c r="F64" s="209"/>
      <c r="G64" s="231" t="str">
        <f>PEsoLetra('Digitar aqui Notas e Pesos'!D64)</f>
        <v/>
      </c>
      <c r="H64" s="232" t="str">
        <f>PEsoLetra('Digitar aqui Notas e Pesos'!E64)</f>
        <v/>
      </c>
      <c r="I64" s="566"/>
      <c r="J64" s="490"/>
      <c r="K64" s="231" t="str">
        <f>PEsoLetra('Digitar aqui Notas e Pesos'!G64)</f>
        <v/>
      </c>
      <c r="L64" s="232" t="str">
        <f>PEsoLetra('Digitar aqui Notas e Pesos'!H64)</f>
        <v/>
      </c>
      <c r="M64" s="554"/>
      <c r="N64" s="231" t="str">
        <f>PEsoLetra('Digitar aqui Notas e Pesos'!J64)</f>
        <v/>
      </c>
      <c r="O64" s="232" t="str">
        <f>PEsoLetra('Digitar aqui Notas e Pesos'!K64)</f>
        <v/>
      </c>
      <c r="P64" s="554"/>
      <c r="Q64" s="231" t="str">
        <f>PEsoLetra('Digitar aqui Notas e Pesos'!M64)</f>
        <v/>
      </c>
      <c r="R64" s="232" t="str">
        <f>PEsoLetra('Digitar aqui Notas e Pesos'!N64)</f>
        <v/>
      </c>
      <c r="S64" s="554"/>
      <c r="T64" s="231" t="str">
        <f>PEsoLetra('Digitar aqui Notas e Pesos'!P64)</f>
        <v/>
      </c>
      <c r="U64" s="232" t="str">
        <f>PEsoLetra('Digitar aqui Notas e Pesos'!Q64)</f>
        <v/>
      </c>
      <c r="V64" s="554"/>
      <c r="W64" s="231" t="str">
        <f>PEsoLetra('Digitar aqui Notas e Pesos'!S64)</f>
        <v/>
      </c>
      <c r="X64" s="232" t="str">
        <f>PEsoLetra('Digitar aqui Notas e Pesos'!T64)</f>
        <v/>
      </c>
      <c r="Y64" s="554"/>
      <c r="Z64" s="231" t="str">
        <f>PEsoLetra('Digitar aqui Notas e Pesos'!V64)</f>
        <v/>
      </c>
      <c r="AA64" s="232" t="str">
        <f>PEsoLetra('Digitar aqui Notas e Pesos'!W64)</f>
        <v/>
      </c>
      <c r="AB64" s="554"/>
      <c r="AC64" s="231" t="str">
        <f>PEsoLetra('Digitar aqui Notas e Pesos'!Y64)</f>
        <v/>
      </c>
      <c r="AD64" s="232" t="str">
        <f>PEsoLetra('Digitar aqui Notas e Pesos'!Z64)</f>
        <v/>
      </c>
      <c r="AE64" s="554"/>
      <c r="AF64" s="231" t="str">
        <f>PEsoLetra('Digitar aqui Notas e Pesos'!AB64)</f>
        <v/>
      </c>
      <c r="AG64" s="232" t="str">
        <f>PEsoLetra('Digitar aqui Notas e Pesos'!AC64)</f>
        <v/>
      </c>
      <c r="AH64" s="574"/>
      <c r="AI64" s="19" t="str">
        <f>+AI63</f>
        <v>Não Imprime</v>
      </c>
      <c r="AJ64" s="1"/>
      <c r="AK64" s="130"/>
      <c r="AL64" s="130"/>
      <c r="AM64" s="130"/>
      <c r="AN64" s="130"/>
      <c r="AO64" s="130"/>
      <c r="AP64" s="131"/>
      <c r="AQ64" s="130"/>
      <c r="AR64" s="130"/>
      <c r="AS64" s="131"/>
      <c r="AT64" s="130"/>
      <c r="AU64" s="130"/>
      <c r="AV64" s="131"/>
      <c r="AW64" s="130"/>
      <c r="AX64" s="130"/>
      <c r="AY64" s="131"/>
      <c r="AZ64" s="130"/>
      <c r="BA64" s="130"/>
      <c r="BB64" s="131"/>
      <c r="BC64" s="130"/>
      <c r="BD64" s="130"/>
      <c r="BE64" s="131"/>
      <c r="BF64" s="130"/>
      <c r="BG64" s="130"/>
      <c r="BH64" s="131"/>
      <c r="BI64" s="130"/>
      <c r="BJ64" s="130"/>
      <c r="BK64" s="131"/>
      <c r="CM64" s="28"/>
      <c r="CN64" s="28"/>
    </row>
    <row r="65" spans="1:92" ht="15.75" hidden="1" thickBot="1" x14ac:dyDescent="0.25">
      <c r="A65" s="546" t="str">
        <f>'Digitar aqui Notas e Pesos'!A65</f>
        <v>Nome da Atividade 6 da Unidade 3</v>
      </c>
      <c r="B65" s="547"/>
      <c r="C65" s="229">
        <f>IF('Digitar aqui Notas e Pesos'!C65,PEsoLetra('Digitar aqui Notas e Pesos'!C65),0)</f>
        <v>0</v>
      </c>
      <c r="D65" s="208">
        <f>IF(ISTEXT($C65),(G65*letrapeso(G66)+K65*letrapeso(K66)+N65*letrapeso(N66)+Q65*letrapeso(Q66)+T65*letrapeso(T66)+W65*letrapeso(W66)+Z65*letrapeso(Z66)+AC65*letrapeso(AC66)+AF65*letrapeso(AF66))/(letrapeso(G66)+letrapeso(K66)+letrapeso(N66)+letrapeso(Q66)+letrapeso(T66)+letrapeso(W66)+letrapeso(Z66)+letrapeso(AC66)+letrapeso(AF66)),0)</f>
        <v>0</v>
      </c>
      <c r="E65" s="208">
        <f>IF(ISTEXT($C65),(H65*letrapeso(H66)+L65*letrapeso(L66)+O65*letrapeso(O66)+R65*letrapeso(R66)+U65*letrapeso(U66)+X65*letrapeso(X66)+AA65*letrapeso(AA66)+AD65*letrapeso(AD66)+AG65*letrapeso(AG66))/(letrapeso(H66)+letrapeso(L66)+letrapeso(O66)+letrapeso(R66)+letrapeso(U66)+letrapeso(X66)+letrapeso(AA66)+letrapeso(AD66)+letrapeso(AG66)),0)</f>
        <v>0</v>
      </c>
      <c r="F65" s="209">
        <f>IF(ISTEXT($C65),(D65*$A$145+E65*$A$146),0)</f>
        <v>0</v>
      </c>
      <c r="G65" s="259">
        <f>'Digitar aqui Notas e Pesos'!D65</f>
        <v>0</v>
      </c>
      <c r="H65" s="116">
        <f>'Digitar aqui Notas e Pesos'!E65</f>
        <v>0</v>
      </c>
      <c r="I65" s="565">
        <f>IF(AND(G65&lt;&gt;0,H65&lt;&gt;0,$C65&lt;&gt;0),(G65*letrapeso(G66)*$A$145+H65*letrapeso(H66)*$A$146)/(letrapeso(G66)*$A$145+letrapeso(H66)*$A$146),0)</f>
        <v>0</v>
      </c>
      <c r="J65" s="259">
        <f>'Digitar aqui Notas e Pesos'!F65</f>
        <v>0</v>
      </c>
      <c r="K65" s="259">
        <f>'Digitar aqui Notas e Pesos'!G65</f>
        <v>0</v>
      </c>
      <c r="L65" s="116">
        <f>'Digitar aqui Notas e Pesos'!H65</f>
        <v>0</v>
      </c>
      <c r="M65" s="553">
        <f>IF(AND(K65&lt;&gt;0,L65&lt;&gt;0,$C65&lt;&gt;0),(K65*letrapeso(K66)*$A$145+L65*letrapeso(L66)*$A$146)/(letrapeso(K66)*$A$145+letrapeso(L66)*$A$146),0)</f>
        <v>0</v>
      </c>
      <c r="N65" s="259">
        <f>'Digitar aqui Notas e Pesos'!J65</f>
        <v>0</v>
      </c>
      <c r="O65" s="116">
        <f>'Digitar aqui Notas e Pesos'!K65</f>
        <v>0</v>
      </c>
      <c r="P65" s="553">
        <f>IF(AND(N65&lt;&gt;0,O65&lt;&gt;0,$C65&lt;&gt;0),(N65*letrapeso(N66)*$A$145+O65*letrapeso(O66)*$A$146)/(letrapeso(N66)*$A$145+letrapeso(O66)*$A$146),0)</f>
        <v>0</v>
      </c>
      <c r="Q65" s="259">
        <f>'Digitar aqui Notas e Pesos'!M65</f>
        <v>0</v>
      </c>
      <c r="R65" s="116">
        <f>'Digitar aqui Notas e Pesos'!N65</f>
        <v>0</v>
      </c>
      <c r="S65" s="553">
        <f>IF(AND(Q65&lt;&gt;0,R65&lt;&gt;0,$C65&lt;&gt;0),(Q65*letrapeso(Q66)*$A$145+R65*letrapeso(R66)*$A$146)/(letrapeso(Q66)*$A$145+letrapeso(R66)*$A$146),0)</f>
        <v>0</v>
      </c>
      <c r="T65" s="259">
        <f>'Digitar aqui Notas e Pesos'!P65</f>
        <v>0</v>
      </c>
      <c r="U65" s="116">
        <f>'Digitar aqui Notas e Pesos'!Q65</f>
        <v>0</v>
      </c>
      <c r="V65" s="553">
        <f>IF(AND(T65&lt;&gt;0,U65&lt;&gt;0,$C65&lt;&gt;0),(T65*letrapeso(T66)*$A$145+U65*letrapeso(U66)*$A$146)/(letrapeso(T66)*$A$145+letrapeso(U66)*$A$146),0)</f>
        <v>0</v>
      </c>
      <c r="W65" s="259">
        <f>'Digitar aqui Notas e Pesos'!S65</f>
        <v>0</v>
      </c>
      <c r="X65" s="116">
        <f>'Digitar aqui Notas e Pesos'!T65</f>
        <v>0</v>
      </c>
      <c r="Y65" s="553">
        <f>IF(AND(W65&lt;&gt;0,X65&lt;&gt;0,$C65&lt;&gt;0),(W65*letrapeso(W66)*$A$145+X65*letrapeso(X66)*$A$146)/(letrapeso(W66)*$A$145+letrapeso(X66)*$A$146),0)</f>
        <v>0</v>
      </c>
      <c r="Z65" s="259">
        <f>'Digitar aqui Notas e Pesos'!V65</f>
        <v>0</v>
      </c>
      <c r="AA65" s="116">
        <f>'Digitar aqui Notas e Pesos'!W65</f>
        <v>0</v>
      </c>
      <c r="AB65" s="553">
        <f>IF(AND(Z65&lt;&gt;0,AA65&lt;&gt;0,$C65&lt;&gt;0),(Z65*letrapeso(Z66)*$A$145+AA65*letrapeso(AA66)*$A$146)/(letrapeso(Z66)*$A$145+letrapeso(AA66)*$A$146),0)</f>
        <v>0</v>
      </c>
      <c r="AC65" s="259">
        <f>'Digitar aqui Notas e Pesos'!Y65</f>
        <v>0</v>
      </c>
      <c r="AD65" s="116">
        <f>'Digitar aqui Notas e Pesos'!Z65</f>
        <v>0</v>
      </c>
      <c r="AE65" s="553">
        <f>IF(AND(AC65&lt;&gt;0,AD65&lt;&gt;0,$C65&lt;&gt;0),(AC65*letrapeso(AC66)*$A$145+AD65*letrapeso(AD66)*$A$146)/(letrapeso(AC66)*$A$145+letrapeso(AD66)*$A$146),0)</f>
        <v>0</v>
      </c>
      <c r="AF65" s="259">
        <f>'Digitar aqui Notas e Pesos'!AB65</f>
        <v>0</v>
      </c>
      <c r="AG65" s="116">
        <f>'Digitar aqui Notas e Pesos'!AC65</f>
        <v>0</v>
      </c>
      <c r="AH65" s="573">
        <f>IF(AND(AF65&lt;&gt;0,AG65&lt;&gt;0,$C65&lt;&gt;0),(AF65*letrapeso(AF66)*$A$145+AG65*letrapeso(AG66)*$A$146)/(letrapeso(AF66)*$A$145+letrapeso(AG66)*$A$146),0)</f>
        <v>0</v>
      </c>
      <c r="AI65" s="8" t="str">
        <f>IF(letrapeso(C65),"Imprime","Não Imprime")</f>
        <v>Não Imprime</v>
      </c>
      <c r="AJ65" s="14" t="s">
        <v>28</v>
      </c>
      <c r="AK65" s="129">
        <f>G65*letrapeso(G66)*letrapeso($C65)</f>
        <v>0</v>
      </c>
      <c r="AL65" s="129">
        <f>H65*letrapeso(H66)*letrapeso($C65)</f>
        <v>0</v>
      </c>
      <c r="AM65" s="129">
        <f>J65*letrapeso(G66)*letrapeso($C65)</f>
        <v>0</v>
      </c>
      <c r="AN65" s="129">
        <f>K65*letrapeso(K66)*letrapeso($C65)</f>
        <v>0</v>
      </c>
      <c r="AO65" s="129">
        <f>L65*letrapeso(L66)*letrapeso($C65)</f>
        <v>0</v>
      </c>
      <c r="AP65" s="131"/>
      <c r="AQ65" s="129">
        <f>N65*letrapeso(N66)*letrapeso($C65)</f>
        <v>0</v>
      </c>
      <c r="AR65" s="129">
        <f>O65*letrapeso(O66)*letrapeso($C65)</f>
        <v>0</v>
      </c>
      <c r="AS65" s="131"/>
      <c r="AT65" s="129">
        <f>Q65*letrapeso(Q66)*letrapeso($C65)</f>
        <v>0</v>
      </c>
      <c r="AU65" s="129">
        <f>R65*letrapeso(R66)*letrapeso($C65)</f>
        <v>0</v>
      </c>
      <c r="AV65" s="131"/>
      <c r="AW65" s="129">
        <f>T65*letrapeso(T66)*letrapeso($C65)</f>
        <v>0</v>
      </c>
      <c r="AX65" s="129">
        <f>U65*letrapeso(U66)*letrapeso($C65)</f>
        <v>0</v>
      </c>
      <c r="AY65" s="131"/>
      <c r="AZ65" s="129">
        <f>W65*letrapeso(W66)*letrapeso($C65)</f>
        <v>0</v>
      </c>
      <c r="BA65" s="129">
        <f>X65*letrapeso(X66)*letrapeso($C65)</f>
        <v>0</v>
      </c>
      <c r="BB65" s="131"/>
      <c r="BC65" s="129">
        <f>Z65*letrapeso(Z66)*letrapeso($C65)</f>
        <v>0</v>
      </c>
      <c r="BD65" s="129">
        <f>AA65*letrapeso(AA66)*letrapeso($C65)</f>
        <v>0</v>
      </c>
      <c r="BE65" s="131"/>
      <c r="BF65" s="129">
        <f>AC65*letrapeso(AC66)*letrapeso($C65)</f>
        <v>0</v>
      </c>
      <c r="BG65" s="129">
        <f>AD65*letrapeso(AD66)*letrapeso($C65)</f>
        <v>0</v>
      </c>
      <c r="BH65" s="131"/>
      <c r="BI65" s="129">
        <f>AF65*letrapeso(AF66)*letrapeso($C65)</f>
        <v>0</v>
      </c>
      <c r="BJ65" s="129">
        <f>AG65*letrapeso(AG66)*letrapeso($C65)</f>
        <v>0</v>
      </c>
      <c r="BK65" s="131"/>
      <c r="BL65" s="171">
        <f>letrapeso(G66)</f>
        <v>0</v>
      </c>
      <c r="BM65" s="171">
        <f>letrapeso(H66)</f>
        <v>0</v>
      </c>
      <c r="BN65" s="41"/>
      <c r="BO65" s="171">
        <f>letrapeso(K66)</f>
        <v>0</v>
      </c>
      <c r="BP65" s="171">
        <f>letrapeso(L66)</f>
        <v>0</v>
      </c>
      <c r="BQ65" s="41"/>
      <c r="BR65" s="171">
        <f>letrapeso(N66)</f>
        <v>0</v>
      </c>
      <c r="BS65" s="171">
        <f>letrapeso(O66)</f>
        <v>0</v>
      </c>
      <c r="BT65" s="41"/>
      <c r="BU65" s="171">
        <f>letrapeso(Q66)</f>
        <v>0</v>
      </c>
      <c r="BV65" s="171">
        <f>letrapeso(R66)</f>
        <v>0</v>
      </c>
      <c r="BW65" s="41"/>
      <c r="BX65" s="171">
        <f>letrapeso(T66)</f>
        <v>0</v>
      </c>
      <c r="BY65" s="171">
        <f>letrapeso(U66)</f>
        <v>0</v>
      </c>
      <c r="BZ65" s="41"/>
      <c r="CA65" s="171">
        <f>letrapeso(W66)</f>
        <v>0</v>
      </c>
      <c r="CB65" s="171">
        <f>letrapeso(X66)</f>
        <v>0</v>
      </c>
      <c r="CC65" s="41"/>
      <c r="CD65" s="171">
        <f>letrapeso(Z66)</f>
        <v>0</v>
      </c>
      <c r="CE65" s="171">
        <f>letrapeso(AA66)</f>
        <v>0</v>
      </c>
      <c r="CF65" s="41"/>
      <c r="CG65" s="171">
        <f>letrapeso(AC66)</f>
        <v>0</v>
      </c>
      <c r="CH65" s="171">
        <f>letrapeso(AD66)</f>
        <v>0</v>
      </c>
      <c r="CI65" s="41"/>
      <c r="CJ65" s="171">
        <f>letrapeso(AF66)</f>
        <v>0</v>
      </c>
      <c r="CK65" s="171">
        <f>letrapeso(AG66)</f>
        <v>0</v>
      </c>
      <c r="CL65" s="41"/>
      <c r="CM65" s="41">
        <f>IF(ISTEXT($C65),(BL65+BO65+BR65+BU65+BX65+CA65+CD65+CG65+CJ65),0)</f>
        <v>0</v>
      </c>
      <c r="CN65" s="41">
        <f>IF(ISTEXT($C65),(BM65+BP65+BS65+BV65+BY65+CB65+CE65+CH65+CK65),0)</f>
        <v>0</v>
      </c>
    </row>
    <row r="66" spans="1:92" ht="15.75" hidden="1" thickBot="1" x14ac:dyDescent="0.25">
      <c r="A66" s="537" t="str">
        <f>TEXT(D65,"0,00")&amp;"       "&amp;TEXT(E65,"0,00")&amp;"       "&amp;TEXT(F65,"0,00")</f>
        <v>0,00       0,00       0,00</v>
      </c>
      <c r="B66" s="538"/>
      <c r="C66" s="230"/>
      <c r="D66" s="210"/>
      <c r="E66" s="208">
        <f>IF(ISTEXT($C66),(H66*letrapeso(H67)+#REF!*letrapeso(#REF!)+L66*letrapeso(L67)+O66*letrapeso(O67)+R66*letrapeso(R67)+#REF!*letrapeso(#REF!)+U66*letrapeso(U67)+X66*letrapeso(X67)+AA66*letrapeso(AA67)+AD66*letrapeso(AD67)+AG66*letrapeso(AG67))/(letrapeso(H67)+letrapeso(#REF!)+letrapeso(L67)+letrapeso(O67)+letrapeso(R67)+letrapeso(#REF!)+letrapeso(U67)+letrapeso(X67)+letrapeso(AA67)+letrapeso(AD67)+letrapeso(AG67)),0)</f>
        <v>0</v>
      </c>
      <c r="F66" s="209"/>
      <c r="G66" s="231" t="str">
        <f>PEsoLetra('Digitar aqui Notas e Pesos'!D66)</f>
        <v/>
      </c>
      <c r="H66" s="232" t="str">
        <f>PEsoLetra('Digitar aqui Notas e Pesos'!E66)</f>
        <v/>
      </c>
      <c r="I66" s="566"/>
      <c r="J66" s="490"/>
      <c r="K66" s="231" t="str">
        <f>PEsoLetra('Digitar aqui Notas e Pesos'!G66)</f>
        <v/>
      </c>
      <c r="L66" s="232" t="str">
        <f>PEsoLetra('Digitar aqui Notas e Pesos'!H66)</f>
        <v/>
      </c>
      <c r="M66" s="554"/>
      <c r="N66" s="231" t="str">
        <f>PEsoLetra('Digitar aqui Notas e Pesos'!J66)</f>
        <v/>
      </c>
      <c r="O66" s="232" t="str">
        <f>PEsoLetra('Digitar aqui Notas e Pesos'!K66)</f>
        <v/>
      </c>
      <c r="P66" s="554"/>
      <c r="Q66" s="231" t="str">
        <f>PEsoLetra('Digitar aqui Notas e Pesos'!M66)</f>
        <v/>
      </c>
      <c r="R66" s="232" t="str">
        <f>PEsoLetra('Digitar aqui Notas e Pesos'!N66)</f>
        <v/>
      </c>
      <c r="S66" s="554"/>
      <c r="T66" s="231" t="str">
        <f>PEsoLetra('Digitar aqui Notas e Pesos'!P66)</f>
        <v/>
      </c>
      <c r="U66" s="232" t="str">
        <f>PEsoLetra('Digitar aqui Notas e Pesos'!Q66)</f>
        <v/>
      </c>
      <c r="V66" s="554"/>
      <c r="W66" s="231" t="str">
        <f>PEsoLetra('Digitar aqui Notas e Pesos'!S66)</f>
        <v/>
      </c>
      <c r="X66" s="232" t="str">
        <f>PEsoLetra('Digitar aqui Notas e Pesos'!T66)</f>
        <v/>
      </c>
      <c r="Y66" s="554"/>
      <c r="Z66" s="231" t="str">
        <f>PEsoLetra('Digitar aqui Notas e Pesos'!V66)</f>
        <v/>
      </c>
      <c r="AA66" s="232" t="str">
        <f>PEsoLetra('Digitar aqui Notas e Pesos'!W66)</f>
        <v/>
      </c>
      <c r="AB66" s="554"/>
      <c r="AC66" s="231" t="str">
        <f>PEsoLetra('Digitar aqui Notas e Pesos'!Y66)</f>
        <v/>
      </c>
      <c r="AD66" s="232" t="str">
        <f>PEsoLetra('Digitar aqui Notas e Pesos'!Z66)</f>
        <v/>
      </c>
      <c r="AE66" s="554"/>
      <c r="AF66" s="231" t="str">
        <f>PEsoLetra('Digitar aqui Notas e Pesos'!AB66)</f>
        <v/>
      </c>
      <c r="AG66" s="232" t="str">
        <f>PEsoLetra('Digitar aqui Notas e Pesos'!AC66)</f>
        <v/>
      </c>
      <c r="AH66" s="574"/>
      <c r="AI66" s="19" t="str">
        <f>+AI65</f>
        <v>Não Imprime</v>
      </c>
      <c r="AJ66" s="1"/>
      <c r="AK66" s="130"/>
      <c r="AL66" s="130"/>
      <c r="AM66" s="130"/>
      <c r="AN66" s="130"/>
      <c r="AO66" s="130"/>
      <c r="AP66" s="131"/>
      <c r="AQ66" s="130"/>
      <c r="AR66" s="130"/>
      <c r="AS66" s="131"/>
      <c r="AT66" s="130"/>
      <c r="AU66" s="130"/>
      <c r="AV66" s="131"/>
      <c r="AW66" s="130"/>
      <c r="AX66" s="130"/>
      <c r="AY66" s="131"/>
      <c r="AZ66" s="130"/>
      <c r="BA66" s="130"/>
      <c r="BB66" s="131"/>
      <c r="BC66" s="130"/>
      <c r="BD66" s="130"/>
      <c r="BE66" s="131"/>
      <c r="BF66" s="130"/>
      <c r="BG66" s="130"/>
      <c r="BH66" s="131"/>
      <c r="BI66" s="130"/>
      <c r="BJ66" s="130"/>
      <c r="BK66" s="131"/>
      <c r="CM66" s="171"/>
      <c r="CN66" s="28"/>
    </row>
    <row r="67" spans="1:92" ht="15.75" hidden="1" thickBot="1" x14ac:dyDescent="0.25">
      <c r="A67" s="546" t="str">
        <f>'Digitar aqui Notas e Pesos'!A67</f>
        <v>Nome da Atividade 7 da Unidade 3</v>
      </c>
      <c r="B67" s="547"/>
      <c r="C67" s="229">
        <f>IF('Digitar aqui Notas e Pesos'!C67,PEsoLetra('Digitar aqui Notas e Pesos'!C67),0)</f>
        <v>0</v>
      </c>
      <c r="D67" s="208">
        <f>IF(ISTEXT($C67),(G67*letrapeso(G68)+K67*letrapeso(K68)+N67*letrapeso(N68)+Q67*letrapeso(Q68)+T67*letrapeso(T68)+W67*letrapeso(W68)+Z67*letrapeso(Z68)+AC67*letrapeso(AC68)+AF67*letrapeso(AF68))/(letrapeso(G68)+letrapeso(K68)+letrapeso(N68)+letrapeso(Q68)+letrapeso(T68)+letrapeso(W68)+letrapeso(Z68)+letrapeso(AC68)+letrapeso(AF68)),0)</f>
        <v>0</v>
      </c>
      <c r="E67" s="208">
        <f>IF(ISTEXT($C67),(H67*letrapeso(H68)+L67*letrapeso(L68)+O67*letrapeso(O68)+R67*letrapeso(R68)+U67*letrapeso(U68)+X67*letrapeso(X68)+AA67*letrapeso(AA68)+AD67*letrapeso(AD68)+AG67*letrapeso(AG68))/(letrapeso(H68)+letrapeso(L68)+letrapeso(O68)+letrapeso(R68)+letrapeso(U68)+letrapeso(X68)+letrapeso(AA68)+letrapeso(AD68)+letrapeso(AG68)),0)</f>
        <v>0</v>
      </c>
      <c r="F67" s="209">
        <f>IF(ISTEXT($C67),(D67*$A$145+E67*$A$146),0)</f>
        <v>0</v>
      </c>
      <c r="G67" s="115">
        <f>'Digitar aqui Notas e Pesos'!D67</f>
        <v>0</v>
      </c>
      <c r="H67" s="116">
        <f>'Digitar aqui Notas e Pesos'!E67</f>
        <v>0</v>
      </c>
      <c r="I67" s="565">
        <f>IF(AND(G67&lt;&gt;0,H67&lt;&gt;0,$C67&lt;&gt;0),(G67*letrapeso(G68)*$A$145+H67*letrapeso(H68)*$A$146)/(letrapeso(G68)*$A$145+letrapeso(H68)*$A$146),0)</f>
        <v>0</v>
      </c>
      <c r="J67" s="259">
        <f>'Digitar aqui Notas e Pesos'!F67</f>
        <v>0</v>
      </c>
      <c r="K67" s="115">
        <f>'Digitar aqui Notas e Pesos'!G67</f>
        <v>0</v>
      </c>
      <c r="L67" s="116">
        <f>'Digitar aqui Notas e Pesos'!H67</f>
        <v>0</v>
      </c>
      <c r="M67" s="553">
        <f>IF(AND(K67&lt;&gt;0,L67&lt;&gt;0,$C67&lt;&gt;0),(K67*letrapeso(K68)*$A$145+L67*letrapeso(L68)*$A$146)/(letrapeso(K68)*$A$145+letrapeso(L68)*$A$146),0)</f>
        <v>0</v>
      </c>
      <c r="N67" s="115">
        <f>'Digitar aqui Notas e Pesos'!J67</f>
        <v>0</v>
      </c>
      <c r="O67" s="116">
        <f>'Digitar aqui Notas e Pesos'!K67</f>
        <v>0</v>
      </c>
      <c r="P67" s="553">
        <f>IF(AND(N67&lt;&gt;0,O67&lt;&gt;0,$C67&lt;&gt;0),(N67*letrapeso(N68)*$A$145+O67*letrapeso(O68)*$A$146)/(letrapeso(N68)*$A$145+letrapeso(O68)*$A$146),0)</f>
        <v>0</v>
      </c>
      <c r="Q67" s="115">
        <f>'Digitar aqui Notas e Pesos'!M67</f>
        <v>0</v>
      </c>
      <c r="R67" s="116">
        <f>'Digitar aqui Notas e Pesos'!N67</f>
        <v>0</v>
      </c>
      <c r="S67" s="553">
        <f>IF(AND(Q67&lt;&gt;0,R67&lt;&gt;0,$C67&lt;&gt;0),(Q67*letrapeso(Q68)*$A$145+R67*letrapeso(R68)*$A$146)/(letrapeso(Q68)*$A$145+letrapeso(R68)*$A$146),0)</f>
        <v>0</v>
      </c>
      <c r="T67" s="115">
        <f>'Digitar aqui Notas e Pesos'!P67</f>
        <v>0</v>
      </c>
      <c r="U67" s="116">
        <f>'Digitar aqui Notas e Pesos'!Q67</f>
        <v>0</v>
      </c>
      <c r="V67" s="553">
        <f>IF(AND(T67&lt;&gt;0,U67&lt;&gt;0,$C67&lt;&gt;0),(T67*letrapeso(T68)*$A$145+U67*letrapeso(U68)*$A$146)/(letrapeso(T68)*$A$145+letrapeso(U68)*$A$146),0)</f>
        <v>0</v>
      </c>
      <c r="W67" s="115">
        <f>'Digitar aqui Notas e Pesos'!S67</f>
        <v>0</v>
      </c>
      <c r="X67" s="116">
        <f>'Digitar aqui Notas e Pesos'!T67</f>
        <v>0</v>
      </c>
      <c r="Y67" s="553">
        <f>IF(AND(W67&lt;&gt;0,X67&lt;&gt;0,$C67&lt;&gt;0),(W67*letrapeso(W68)*$A$145+X67*letrapeso(X68)*$A$146)/(letrapeso(W68)*$A$145+letrapeso(X68)*$A$146),0)</f>
        <v>0</v>
      </c>
      <c r="Z67" s="115">
        <f>'Digitar aqui Notas e Pesos'!V67</f>
        <v>0</v>
      </c>
      <c r="AA67" s="116">
        <f>'Digitar aqui Notas e Pesos'!W67</f>
        <v>0</v>
      </c>
      <c r="AB67" s="553">
        <f>IF(AND(Z67&lt;&gt;0,AA67&lt;&gt;0,$C67&lt;&gt;0),(Z67*letrapeso(Z68)*$A$145+AA67*letrapeso(AA68)*$A$146)/(letrapeso(Z68)*$A$145+letrapeso(AA68)*$A$146),0)</f>
        <v>0</v>
      </c>
      <c r="AC67" s="115">
        <f>'Digitar aqui Notas e Pesos'!Y67</f>
        <v>0</v>
      </c>
      <c r="AD67" s="116">
        <f>'Digitar aqui Notas e Pesos'!Z67</f>
        <v>0</v>
      </c>
      <c r="AE67" s="553">
        <f>IF(AND(AC67&lt;&gt;0,AD67&lt;&gt;0,$C67&lt;&gt;0),(AC67*letrapeso(AC68)*$A$145+AD67*letrapeso(AD68)*$A$146)/(letrapeso(AC68)*$A$145+letrapeso(AD68)*$A$146),0)</f>
        <v>0</v>
      </c>
      <c r="AF67" s="115">
        <f>'Digitar aqui Notas e Pesos'!AB67</f>
        <v>0</v>
      </c>
      <c r="AG67" s="116">
        <f>'Digitar aqui Notas e Pesos'!AC67</f>
        <v>0</v>
      </c>
      <c r="AH67" s="573">
        <f>IF(AND(AF67&lt;&gt;0,AG67&lt;&gt;0,$C67&lt;&gt;0),(AF67*letrapeso(AF68)*$A$145+AG67*letrapeso(AG68)*$A$146)/(letrapeso(AF68)*$A$145+letrapeso(AG68)*$A$146),0)</f>
        <v>0</v>
      </c>
      <c r="AI67" s="8" t="str">
        <f>IF(letrapeso(C67),"Imprime","Não Imprime")</f>
        <v>Não Imprime</v>
      </c>
      <c r="AJ67" s="14" t="s">
        <v>28</v>
      </c>
      <c r="AK67" s="129">
        <f>G67*letrapeso(G68)*letrapeso($C67)</f>
        <v>0</v>
      </c>
      <c r="AL67" s="129">
        <f>H67*letrapeso(H68)*letrapeso($C67)</f>
        <v>0</v>
      </c>
      <c r="AM67" s="129">
        <f>J67*letrapeso(G68)*letrapeso($C67)</f>
        <v>0</v>
      </c>
      <c r="AN67" s="129">
        <f>K67*letrapeso(K68)*letrapeso($C67)</f>
        <v>0</v>
      </c>
      <c r="AO67" s="129">
        <f>L67*letrapeso(L68)*letrapeso($C67)</f>
        <v>0</v>
      </c>
      <c r="AP67" s="131"/>
      <c r="AQ67" s="129">
        <f>N67*letrapeso(N68)*letrapeso($C67)</f>
        <v>0</v>
      </c>
      <c r="AR67" s="129">
        <f>O67*letrapeso(O68)*letrapeso($C67)</f>
        <v>0</v>
      </c>
      <c r="AS67" s="131"/>
      <c r="AT67" s="129">
        <f>Q67*letrapeso(Q68)*letrapeso($C67)</f>
        <v>0</v>
      </c>
      <c r="AU67" s="129">
        <f>R67*letrapeso(R68)*letrapeso($C67)</f>
        <v>0</v>
      </c>
      <c r="AV67" s="131"/>
      <c r="AW67" s="129">
        <f>T67*letrapeso(T68)*letrapeso($C67)</f>
        <v>0</v>
      </c>
      <c r="AX67" s="129">
        <f>U67*letrapeso(U68)*letrapeso($C67)</f>
        <v>0</v>
      </c>
      <c r="AY67" s="131"/>
      <c r="AZ67" s="129">
        <f>W67*letrapeso(W68)*letrapeso($C67)</f>
        <v>0</v>
      </c>
      <c r="BA67" s="129">
        <f>X67*letrapeso(X68)*letrapeso($C67)</f>
        <v>0</v>
      </c>
      <c r="BB67" s="131"/>
      <c r="BC67" s="129">
        <f>Z67*letrapeso(Z68)*letrapeso($C67)</f>
        <v>0</v>
      </c>
      <c r="BD67" s="129">
        <f>AA67*letrapeso(AA68)*letrapeso($C67)</f>
        <v>0</v>
      </c>
      <c r="BE67" s="131"/>
      <c r="BF67" s="129">
        <f>AC67*letrapeso(AC68)*letrapeso($C67)</f>
        <v>0</v>
      </c>
      <c r="BG67" s="129">
        <f>AD67*letrapeso(AD68)*letrapeso($C67)</f>
        <v>0</v>
      </c>
      <c r="BH67" s="131"/>
      <c r="BI67" s="129">
        <f>AF67*letrapeso(AF68)*letrapeso($C67)</f>
        <v>0</v>
      </c>
      <c r="BJ67" s="129">
        <f>AG67*letrapeso(AG68)*letrapeso($C67)</f>
        <v>0</v>
      </c>
      <c r="BK67" s="131"/>
      <c r="BL67" s="171">
        <f>letrapeso(G68)</f>
        <v>0</v>
      </c>
      <c r="BM67" s="171">
        <f>letrapeso(H68)</f>
        <v>0</v>
      </c>
      <c r="BN67" s="41"/>
      <c r="BO67" s="171">
        <f>letrapeso(K68)</f>
        <v>0</v>
      </c>
      <c r="BP67" s="171">
        <f>letrapeso(L68)</f>
        <v>0</v>
      </c>
      <c r="BQ67" s="41"/>
      <c r="BR67" s="171">
        <f>letrapeso(N68)</f>
        <v>0</v>
      </c>
      <c r="BS67" s="171">
        <f>letrapeso(O68)</f>
        <v>0</v>
      </c>
      <c r="BT67" s="41"/>
      <c r="BU67" s="171">
        <f>letrapeso(Q68)</f>
        <v>0</v>
      </c>
      <c r="BV67" s="171">
        <f>letrapeso(R68)</f>
        <v>0</v>
      </c>
      <c r="BW67" s="41"/>
      <c r="BX67" s="171">
        <f>letrapeso(T68)</f>
        <v>0</v>
      </c>
      <c r="BY67" s="171">
        <f>letrapeso(U68)</f>
        <v>0</v>
      </c>
      <c r="BZ67" s="41"/>
      <c r="CA67" s="171">
        <f>letrapeso(W68)</f>
        <v>0</v>
      </c>
      <c r="CB67" s="171">
        <f>letrapeso(X68)</f>
        <v>0</v>
      </c>
      <c r="CC67" s="41"/>
      <c r="CD67" s="171">
        <f>letrapeso(Z68)</f>
        <v>0</v>
      </c>
      <c r="CE67" s="171">
        <f>letrapeso(AA68)</f>
        <v>0</v>
      </c>
      <c r="CF67" s="41"/>
      <c r="CG67" s="171">
        <f>letrapeso(AC68)</f>
        <v>0</v>
      </c>
      <c r="CH67" s="171">
        <f>letrapeso(AD68)</f>
        <v>0</v>
      </c>
      <c r="CI67" s="41"/>
      <c r="CJ67" s="171">
        <f>letrapeso(AF68)</f>
        <v>0</v>
      </c>
      <c r="CK67" s="171">
        <f>letrapeso(AG68)</f>
        <v>0</v>
      </c>
      <c r="CL67" s="41"/>
      <c r="CM67" s="41">
        <f>IF(ISTEXT($C67),(BL67+BO67+BR67+BU67+BX67+CA67+CD67+CG67+CJ67),0)</f>
        <v>0</v>
      </c>
      <c r="CN67" s="41">
        <f>IF(ISTEXT($C67),(BM67+BP67+BS67+BV67+BY67+CB67+CE67+CH67+CK67),0)</f>
        <v>0</v>
      </c>
    </row>
    <row r="68" spans="1:92" ht="15.75" hidden="1" thickBot="1" x14ac:dyDescent="0.25">
      <c r="A68" s="537" t="str">
        <f>TEXT(D67,"0,00")&amp;"       "&amp;TEXT(E67,"0,00")&amp;"       "&amp;TEXT(F67,"0,00")</f>
        <v>0,00       0,00       0,00</v>
      </c>
      <c r="B68" s="538"/>
      <c r="C68" s="233"/>
      <c r="D68" s="210"/>
      <c r="E68" s="208"/>
      <c r="F68" s="209"/>
      <c r="G68" s="231" t="str">
        <f>PEsoLetra('Digitar aqui Notas e Pesos'!D68)</f>
        <v/>
      </c>
      <c r="H68" s="232" t="str">
        <f>PEsoLetra('Digitar aqui Notas e Pesos'!E68)</f>
        <v/>
      </c>
      <c r="I68" s="565"/>
      <c r="J68" s="491"/>
      <c r="K68" s="231" t="str">
        <f>PEsoLetra('Digitar aqui Notas e Pesos'!G68)</f>
        <v/>
      </c>
      <c r="L68" s="232" t="str">
        <f>PEsoLetra('Digitar aqui Notas e Pesos'!H68)</f>
        <v/>
      </c>
      <c r="M68" s="553"/>
      <c r="N68" s="231" t="str">
        <f>PEsoLetra('Digitar aqui Notas e Pesos'!J68)</f>
        <v/>
      </c>
      <c r="O68" s="232" t="str">
        <f>PEsoLetra('Digitar aqui Notas e Pesos'!K68)</f>
        <v/>
      </c>
      <c r="P68" s="553"/>
      <c r="Q68" s="231" t="str">
        <f>PEsoLetra('Digitar aqui Notas e Pesos'!M68)</f>
        <v/>
      </c>
      <c r="R68" s="232" t="str">
        <f>PEsoLetra('Digitar aqui Notas e Pesos'!N68)</f>
        <v/>
      </c>
      <c r="S68" s="553"/>
      <c r="T68" s="231" t="str">
        <f>PEsoLetra('Digitar aqui Notas e Pesos'!P68)</f>
        <v/>
      </c>
      <c r="U68" s="232" t="str">
        <f>PEsoLetra('Digitar aqui Notas e Pesos'!Q68)</f>
        <v/>
      </c>
      <c r="V68" s="553"/>
      <c r="W68" s="231" t="str">
        <f>PEsoLetra('Digitar aqui Notas e Pesos'!S68)</f>
        <v/>
      </c>
      <c r="X68" s="232" t="str">
        <f>PEsoLetra('Digitar aqui Notas e Pesos'!T68)</f>
        <v/>
      </c>
      <c r="Y68" s="553"/>
      <c r="Z68" s="231" t="str">
        <f>PEsoLetra('Digitar aqui Notas e Pesos'!V68)</f>
        <v/>
      </c>
      <c r="AA68" s="232" t="str">
        <f>PEsoLetra('Digitar aqui Notas e Pesos'!W68)</f>
        <v/>
      </c>
      <c r="AB68" s="553"/>
      <c r="AC68" s="231" t="str">
        <f>PEsoLetra('Digitar aqui Notas e Pesos'!Y68)</f>
        <v/>
      </c>
      <c r="AD68" s="232" t="str">
        <f>PEsoLetra('Digitar aqui Notas e Pesos'!Z68)</f>
        <v/>
      </c>
      <c r="AE68" s="553"/>
      <c r="AF68" s="231" t="str">
        <f>PEsoLetra('Digitar aqui Notas e Pesos'!AB68)</f>
        <v/>
      </c>
      <c r="AG68" s="232" t="str">
        <f>PEsoLetra('Digitar aqui Notas e Pesos'!AC68)</f>
        <v/>
      </c>
      <c r="AH68" s="573"/>
      <c r="AI68" s="19" t="str">
        <f>+AI67</f>
        <v>Não Imprime</v>
      </c>
      <c r="AJ68" s="18" t="s">
        <v>29</v>
      </c>
      <c r="AK68" s="132">
        <f>IF(ISTEXT($C53),(letrapeso(G56)*letrapeso($C55)+letrapeso(G58)*letrapeso($C57)+letrapeso(G60)*letrapeso($C59)+letrapeso(G62)*letrapeso($C61)+letrapeso(G64)*letrapeso($C63)+letrapeso(G66)*letrapeso($C65)+letrapeso(G68)*letrapeso($C67))/(letrapeso($C55)+letrapeso($C57)+letrapeso($C59)+letrapeso($C61)+letrapeso($C63)+letrapeso($C65)+letrapeso($C67)),0)</f>
        <v>8</v>
      </c>
      <c r="AL68" s="132">
        <f>IF(ISTEXT($C53),(letrapeso(H56)*letrapeso($C55)+letrapeso(H58)*letrapeso($C57)+letrapeso(H60)*letrapeso($C59)+letrapeso(H62)*letrapeso($C61)+letrapeso(H64)*letrapeso($C63)+letrapeso(H66)*letrapeso($C65)+letrapeso(H68)*letrapeso($C67))/(letrapeso($C55)+letrapeso($C57)+letrapeso($C59)+letrapeso($C61)+letrapeso($C63)+letrapeso($C65)+letrapeso($C67)),0)</f>
        <v>8</v>
      </c>
      <c r="AM68" s="132">
        <f>IF(ISTEXT($C53),(letrapeso(G56)*letrapeso($C55)+letrapeso(G58)*letrapeso($C57)+letrapeso(G60)*letrapeso($C59)+letrapeso(G62)*letrapeso($C61)+letrapeso(G64)*letrapeso($C63)+letrapeso(G66)*letrapeso($C65)+letrapeso(G68)*letrapeso($C67))/(letrapeso($C55)+letrapeso($C57)+letrapeso($C59)+letrapeso($C61)+letrapeso($C63)+letrapeso($C65)+letrapeso($C67)),0)</f>
        <v>8</v>
      </c>
      <c r="AN68" s="132">
        <f>IF(ISTEXT($C53),(letrapeso(K56)*letrapeso($C55)+letrapeso(K58)*letrapeso($C57)+letrapeso(K60)*letrapeso($C59)+letrapeso(K62)*letrapeso($C61)+letrapeso(K64)*letrapeso($C63)+letrapeso(K66)*letrapeso($C65)+letrapeso(K68)*letrapeso($C67))/(letrapeso($C55)+letrapeso($C57)+letrapeso($C59)+letrapeso($C61)+letrapeso($C63)+letrapeso($C65)+letrapeso($C67)),0)</f>
        <v>0</v>
      </c>
      <c r="AO68" s="132">
        <f>IF(ISTEXT($C53),(letrapeso(L56)*letrapeso($C55)+letrapeso(L58)*letrapeso($C57)+letrapeso(L60)*letrapeso($C59)+letrapeso(L62)*letrapeso($C61)+letrapeso(L64)*letrapeso($C63)+letrapeso(L66)*letrapeso($C65)+letrapeso(L68)*letrapeso($C67))/(letrapeso($C55)+letrapeso($C57)+letrapeso($C59)+letrapeso($C61)+letrapeso($C63)+letrapeso($C65)+letrapeso($C67)),0)</f>
        <v>0</v>
      </c>
      <c r="AP68" s="131"/>
      <c r="AQ68" s="132">
        <f>IF(ISTEXT($C53),(letrapeso(N56)*letrapeso($C55)+letrapeso(N58)*letrapeso($C57)+letrapeso(N60)*letrapeso($C59)+letrapeso(N62)*letrapeso($C61)+letrapeso(N64)*letrapeso($C63)+letrapeso(N66)*letrapeso($C65)+letrapeso(N68)*letrapeso($C67))/(letrapeso($C55)+letrapeso($C57)+letrapeso($C59)+letrapeso($C61)+letrapeso($C63)+letrapeso($C65)+letrapeso($C67)),0)</f>
        <v>0</v>
      </c>
      <c r="AR68" s="132">
        <f>IF(ISTEXT($C53),(letrapeso(O56)*letrapeso($C55)+letrapeso(O58)*letrapeso($C57)+letrapeso(O60)*letrapeso($C59)+letrapeso(O62)*letrapeso($C61)+letrapeso(O64)*letrapeso($C63)+letrapeso(O66)*letrapeso($C65)+letrapeso(O68)*letrapeso($C67))/(letrapeso($C55)+letrapeso($C57)+letrapeso($C59)+letrapeso($C61)+letrapeso($C63)+letrapeso($C65)+letrapeso($C67)),0)</f>
        <v>0</v>
      </c>
      <c r="AS68" s="131"/>
      <c r="AT68" s="132">
        <f>IF(ISTEXT($C53),(letrapeso(Q56)*letrapeso($C55)+letrapeso(Q58)*letrapeso($C57)+letrapeso(Q60)*letrapeso($C59)+letrapeso(Q62)*letrapeso($C61)+letrapeso(Q64)*letrapeso($C63)+letrapeso(Q66)*letrapeso($C65)+letrapeso(Q68)*letrapeso($C67))/(letrapeso($C55)+letrapeso($C57)+letrapeso($C59)+letrapeso($C61)+letrapeso($C63)+letrapeso($C65)+letrapeso($C67)),0)</f>
        <v>0</v>
      </c>
      <c r="AU68" s="132">
        <f>IF(ISTEXT($C53),(letrapeso(R56)*letrapeso($C55)+letrapeso(R58)*letrapeso($C57)+letrapeso(R60)*letrapeso($C59)+letrapeso(R62)*letrapeso($C61)+letrapeso(R64)*letrapeso($C63)+letrapeso(R66)*letrapeso($C65)+letrapeso(R68)*letrapeso($C67))/(letrapeso($C55)+letrapeso($C57)+letrapeso($C59)+letrapeso($C61)+letrapeso($C63)+letrapeso($C65)+letrapeso($C67)),0)</f>
        <v>0</v>
      </c>
      <c r="AV68" s="131"/>
      <c r="AW68" s="132">
        <f>IF(ISTEXT($C53),(letrapeso(T56)*letrapeso($C55)+letrapeso(T58)*letrapeso($C57)+letrapeso(T60)*letrapeso($C59)+letrapeso(T62)*letrapeso($C61)+letrapeso(T64)*letrapeso($C63)+letrapeso(T66)*letrapeso($C65)+letrapeso(T68)*letrapeso($C67))/(letrapeso($C55)+letrapeso($C57)+letrapeso($C59)+letrapeso($C61)+letrapeso($C63)+letrapeso($C65)+letrapeso($C67)),0)</f>
        <v>0</v>
      </c>
      <c r="AX68" s="132">
        <f>IF(ISTEXT($C53),(letrapeso(U56)*letrapeso($C55)+letrapeso(U58)*letrapeso($C57)+letrapeso(U60)*letrapeso($C59)+letrapeso(U62)*letrapeso($C61)+letrapeso(U64)*letrapeso($C63)+letrapeso(U66)*letrapeso($C65)+letrapeso(U68)*letrapeso($C67))/(letrapeso($C55)+letrapeso($C57)+letrapeso($C59)+letrapeso($C61)+letrapeso($C63)+letrapeso($C65)+letrapeso($C67)),0)</f>
        <v>0</v>
      </c>
      <c r="AY68" s="131"/>
      <c r="AZ68" s="132">
        <f>IF(ISTEXT($C53),(letrapeso(W56)*letrapeso($C55)+letrapeso(W58)*letrapeso($C57)+letrapeso(W60)*letrapeso($C59)+letrapeso(W62)*letrapeso($C61)+letrapeso(W64)*letrapeso($C63)+letrapeso(W66)*letrapeso($C65)+letrapeso(W68)*letrapeso($C67))/(letrapeso($C55)+letrapeso($C57)+letrapeso($C59)+letrapeso($C61)+letrapeso($C63)+letrapeso($C65)+letrapeso($C67)),0)</f>
        <v>0</v>
      </c>
      <c r="BA68" s="132">
        <f>IF(ISTEXT($C53),(letrapeso(X56)*letrapeso($C55)+letrapeso(X58)*letrapeso($C57)+letrapeso(X60)*letrapeso($C59)+letrapeso(X62)*letrapeso($C61)+letrapeso(X64)*letrapeso($C63)+letrapeso(X66)*letrapeso($C65)+letrapeso(X68)*letrapeso($C67))/(letrapeso($C55)+letrapeso($C57)+letrapeso($C59)+letrapeso($C61)+letrapeso($C63)+letrapeso($C65)+letrapeso($C67)),0)</f>
        <v>0</v>
      </c>
      <c r="BB68" s="131"/>
      <c r="BC68" s="132">
        <f>IF(ISTEXT($C53),(letrapeso(Z56)*letrapeso($C55)+letrapeso(Z58)*letrapeso($C57)+letrapeso(Z60)*letrapeso($C59)+letrapeso(Z62)*letrapeso($C61)+letrapeso(Z64)*letrapeso($C63)+letrapeso(Z66)*letrapeso($C65)+letrapeso(Z68)*letrapeso($C67))/(letrapeso($C55)+letrapeso($C57)+letrapeso($C59)+letrapeso($C61)+letrapeso($C63)+letrapeso($C65)+letrapeso($C67)),0)</f>
        <v>0</v>
      </c>
      <c r="BD68" s="132">
        <f>IF(ISTEXT($C53),(letrapeso(AA56)*letrapeso($C55)+letrapeso(AA58)*letrapeso($C57)+letrapeso(AA60)*letrapeso($C59)+letrapeso(AA62)*letrapeso($C61)+letrapeso(AA64)*letrapeso($C63)+letrapeso(AA66)*letrapeso($C65)+letrapeso(AA68)*letrapeso($C67))/(letrapeso($C55)+letrapeso($C57)+letrapeso($C59)+letrapeso($C61)+letrapeso($C63)+letrapeso($C65)+letrapeso($C67)),0)</f>
        <v>0</v>
      </c>
      <c r="BE68" s="131"/>
      <c r="BF68" s="132">
        <f>IF(ISTEXT($C53),(letrapeso(AC56)*letrapeso($C55)+letrapeso(AC58)*letrapeso($C57)+letrapeso(AC60)*letrapeso($C59)+letrapeso(AC62)*letrapeso($C61)+letrapeso(AC64)*letrapeso($C63)+letrapeso(AC66)*letrapeso($C65)+letrapeso(AC68)*letrapeso($C67))/(letrapeso($C55)+letrapeso($C57)+letrapeso($C59)+letrapeso($C61)+letrapeso($C63)+letrapeso($C65)+letrapeso($C67)),0)</f>
        <v>0</v>
      </c>
      <c r="BG68" s="132">
        <f>IF(ISTEXT($C53),(letrapeso(AD56)*letrapeso($C55)+letrapeso(AD58)*letrapeso($C57)+letrapeso(AD60)*letrapeso($C59)+letrapeso(AD62)*letrapeso($C61)+letrapeso(AD64)*letrapeso($C63)+letrapeso(AD66)*letrapeso($C65)+letrapeso(AD68)*letrapeso($C67))/(letrapeso($C55)+letrapeso($C57)+letrapeso($C59)+letrapeso($C61)+letrapeso($C63)+letrapeso($C65)+letrapeso($C67)),0)</f>
        <v>0</v>
      </c>
      <c r="BH68" s="131"/>
      <c r="BI68" s="132">
        <f>IF(ISTEXT($C53),(letrapeso(AF56)*letrapeso($C55)+letrapeso(AF58)*letrapeso($C57)+letrapeso(AF60)*letrapeso($C59)+letrapeso(AF62)*letrapeso($C61)+letrapeso(AF64)*letrapeso($C63)+letrapeso(AF66)*letrapeso($C65)+letrapeso(AF68)*letrapeso($C67))/(letrapeso($C55)+letrapeso($C57)+letrapeso($C59)+letrapeso($C61)+letrapeso($C63)+letrapeso($C65)+letrapeso($C67)),0)</f>
        <v>0</v>
      </c>
      <c r="BJ68" s="132">
        <f>IF(ISTEXT($C53),(letrapeso(AG56)*letrapeso($C55)+letrapeso(AG58)*letrapeso($C57)+letrapeso(AG60)*letrapeso($C59)+letrapeso(AG62)*letrapeso($C61)+letrapeso(AG64)*letrapeso($C63)+letrapeso(AG66)*letrapeso($C65)+letrapeso(AG68)*letrapeso($C67))/(letrapeso($C55)+letrapeso($C57)+letrapeso($C59)+letrapeso($C61)+letrapeso($C63)+letrapeso($C65)+letrapeso($C67)),0)</f>
        <v>0</v>
      </c>
      <c r="BK68" s="131"/>
    </row>
    <row r="69" spans="1:92" ht="15.75" hidden="1" thickBot="1" x14ac:dyDescent="0.25">
      <c r="A69" s="191" t="str">
        <f>'Digitar aqui Notas e Pesos'!A69</f>
        <v>Tesouraria</v>
      </c>
      <c r="B69" s="192"/>
      <c r="C69" s="193" t="str">
        <f>IF('Digitar aqui Notas e Pesos'!C69,PEsoLetra('Digitar aqui Notas e Pesos'!C69),0)</f>
        <v>a</v>
      </c>
      <c r="D69" s="213">
        <f>IF(letrapeso(C69),(letrapeso($C71)*D71+letrapeso($C73)*D73+letrapeso($C75)*D75+letrapeso($C77)*D77+letrapeso($C79)*D79+letrapeso($C81)*D81+letrapeso($C83)*D83)/(letrapeso($C71)+letrapeso($C73)+letrapeso($C75)+letrapeso($C77)+letrapeso($C79)+letrapeso($C81)+letrapeso($C83)),0)</f>
        <v>1.5</v>
      </c>
      <c r="E69" s="214">
        <f>IF(letrapeso(C69),(letrapeso($C71)*E71+letrapeso($C73)*E73+letrapeso($C75)*E75+letrapeso($C77)*E77+letrapeso($C79)*E79+letrapeso($C81)*E81+letrapeso($C83)*E83)/(letrapeso($C71)+letrapeso($C73)+letrapeso($C75)+letrapeso($C77)+letrapeso($C79)+letrapeso($C81)+letrapeso($C83)),0)</f>
        <v>2</v>
      </c>
      <c r="F69" s="215">
        <f>IF(letrapeso(C69),(letrapeso($C71)*F71+letrapeso($C73)*F73+letrapeso($C75)*F75+letrapeso($C77)*F77+letrapeso($C79)*F79+letrapeso($C81)*F81+letrapeso($C83)*F83)/(letrapeso($C71)+letrapeso($C73)+letrapeso($C75)+letrapeso($C77)+letrapeso($C79)+letrapeso($C81)+letrapeso($C83)),0)</f>
        <v>1.7250000000000001</v>
      </c>
      <c r="G69" s="220"/>
      <c r="H69" s="221"/>
      <c r="I69" s="222"/>
      <c r="J69" s="489"/>
      <c r="K69" s="220"/>
      <c r="L69" s="221"/>
      <c r="M69" s="222"/>
      <c r="N69" s="220"/>
      <c r="O69" s="221"/>
      <c r="P69" s="222"/>
      <c r="Q69" s="220"/>
      <c r="R69" s="221"/>
      <c r="S69" s="222"/>
      <c r="T69" s="220"/>
      <c r="U69" s="221"/>
      <c r="V69" s="222"/>
      <c r="W69" s="220"/>
      <c r="X69" s="221"/>
      <c r="Y69" s="222"/>
      <c r="Z69" s="220"/>
      <c r="AA69" s="221"/>
      <c r="AB69" s="222"/>
      <c r="AC69" s="220"/>
      <c r="AD69" s="221"/>
      <c r="AE69" s="222"/>
      <c r="AF69" s="220"/>
      <c r="AG69" s="221"/>
      <c r="AH69" s="223"/>
      <c r="AI69" s="8" t="str">
        <f>IF(letrapeso(C69),"Imprime","Não Imprime")</f>
        <v>Imprime</v>
      </c>
      <c r="AJ69" s="15"/>
      <c r="AK69" s="133"/>
      <c r="AL69" s="133"/>
      <c r="AM69" s="133"/>
      <c r="AN69" s="133"/>
      <c r="AO69" s="133"/>
      <c r="AP69" s="134"/>
      <c r="AQ69" s="133"/>
      <c r="AR69" s="133"/>
      <c r="AS69" s="134"/>
      <c r="AT69" s="133"/>
      <c r="AU69" s="133"/>
      <c r="AV69" s="134"/>
      <c r="AW69" s="133"/>
      <c r="AX69" s="133"/>
      <c r="AY69" s="134"/>
      <c r="AZ69" s="133"/>
      <c r="BA69" s="133"/>
      <c r="BB69" s="134"/>
      <c r="BC69" s="133"/>
      <c r="BD69" s="133"/>
      <c r="BE69" s="134"/>
      <c r="BF69" s="133"/>
      <c r="BG69" s="133"/>
      <c r="BH69" s="134"/>
      <c r="BI69" s="133"/>
      <c r="BJ69" s="133"/>
      <c r="BK69" s="134"/>
    </row>
    <row r="70" spans="1:92" ht="15.75" hidden="1" thickBot="1" x14ac:dyDescent="0.25">
      <c r="A70" s="567"/>
      <c r="B70" s="568"/>
      <c r="C70" s="228"/>
      <c r="D70" s="214"/>
      <c r="E70" s="214"/>
      <c r="F70" s="215"/>
      <c r="G70" s="224"/>
      <c r="H70" s="225"/>
      <c r="I70" s="226"/>
      <c r="J70" s="490"/>
      <c r="K70" s="224"/>
      <c r="L70" s="225"/>
      <c r="M70" s="226"/>
      <c r="N70" s="224"/>
      <c r="O70" s="225"/>
      <c r="P70" s="226"/>
      <c r="Q70" s="224"/>
      <c r="R70" s="225"/>
      <c r="S70" s="226"/>
      <c r="T70" s="224"/>
      <c r="U70" s="225"/>
      <c r="V70" s="226"/>
      <c r="W70" s="224"/>
      <c r="X70" s="225"/>
      <c r="Y70" s="226"/>
      <c r="Z70" s="224"/>
      <c r="AA70" s="225"/>
      <c r="AB70" s="226"/>
      <c r="AC70" s="224"/>
      <c r="AD70" s="225"/>
      <c r="AE70" s="226"/>
      <c r="AF70" s="224"/>
      <c r="AG70" s="225"/>
      <c r="AH70" s="227"/>
      <c r="AI70" s="19" t="str">
        <f>+AI69</f>
        <v>Imprime</v>
      </c>
      <c r="AJ70" s="15" t="s">
        <v>26</v>
      </c>
      <c r="AK70" s="128">
        <f>IF(SUM(AK71:AK83),SUM(AK71:AK83)/(letrapeso(G72)*letrapeso($C71)+letrapeso(G74)*letrapeso($C73)+letrapeso(G76)*letrapeso($C75)+letrapeso(G78)*letrapeso($C77)+letrapeso(G80)*letrapeso($C79)+letrapeso(G82)*letrapeso($C81)+letrapeso(G84)*letrapeso($C83)),0)</f>
        <v>0</v>
      </c>
      <c r="AL70" s="128">
        <f>IF(SUM(AL71:AL83),SUM(AL71:AL83)/(letrapeso(H72)*letrapeso($C71)+letrapeso(H74)*letrapeso($C73)+letrapeso(H76)*letrapeso($C75)+letrapeso(H78)*letrapeso($C77)+letrapeso(H80)*letrapeso($C79)+letrapeso(H82)*letrapeso($C81)+letrapeso(H84)*letrapeso($C83)),0)</f>
        <v>0</v>
      </c>
      <c r="AM70" s="128">
        <f>IF(SUM(AM71:AM83),SUM(AM71:AM83)/(letrapeso(G72)*letrapeso($C71)+letrapeso(G74)*letrapeso($C73)+letrapeso(G76)*letrapeso($C75)+letrapeso(G78)*letrapeso($C77)+letrapeso(G80)*letrapeso($C79)+letrapeso(G82)*letrapeso($C81)+letrapeso(G84)*letrapeso($C83)),0)</f>
        <v>0</v>
      </c>
      <c r="AN70" s="128">
        <f>IF(SUM(AN71:AN83),SUM(AN71:AN83)/(letrapeso(K72)*letrapeso($C71)+letrapeso(K74)*letrapeso($C73)+letrapeso(K76)*letrapeso($C75)+letrapeso(K78)*letrapeso($C77)+letrapeso(K80)*letrapeso($C79)+letrapeso(K82)*letrapeso($C81)+letrapeso(K84)*letrapeso($C83)),0)</f>
        <v>2</v>
      </c>
      <c r="AO70" s="128">
        <f>IF(SUM(AO71:AO83),SUM(AO71:AO83)/(letrapeso(L72)*letrapeso($C71)+letrapeso(L74)*letrapeso($C73)+letrapeso(L76)*letrapeso($C75)+letrapeso(L78)*letrapeso($C77)+letrapeso(L80)*letrapeso($C79)+letrapeso(L82)*letrapeso($C81)+letrapeso(L84)*letrapeso($C83)),0)</f>
        <v>2</v>
      </c>
      <c r="AQ70" s="128">
        <f>IF(SUM(AQ71:AQ83),SUM(AQ71:AQ83)/(letrapeso(N72)*letrapeso($C71)+letrapeso(N74)*letrapeso($C73)+letrapeso(N76)*letrapeso($C75)+letrapeso(N78)*letrapeso($C77)+letrapeso(N80)*letrapeso($C79)+letrapeso(N82)*letrapeso($C81)+letrapeso(N84)*letrapeso($C83)),0)</f>
        <v>1</v>
      </c>
      <c r="AR70" s="128">
        <f>IF(SUM(AR71:AR83),SUM(AR71:AR83)/(letrapeso(O72)*letrapeso($C71)+letrapeso(O74)*letrapeso($C73)+letrapeso(O76)*letrapeso($C75)+letrapeso(O78)*letrapeso($C77)+letrapeso(O80)*letrapeso($C79)+letrapeso(O82)*letrapeso($C81)+letrapeso(O84)*letrapeso($C83)),0)</f>
        <v>2</v>
      </c>
      <c r="AS70" s="28"/>
      <c r="AT70" s="128">
        <f>IF(SUM(AT71:AT83),SUM(AT71:AT83)/(letrapeso(Q72)*letrapeso($C71)+letrapeso(Q74)*letrapeso($C73)+letrapeso(Q76)*letrapeso($C75)+letrapeso(Q78)*letrapeso($C77)+letrapeso(Q80)*letrapeso($C79)+letrapeso(Q82)*letrapeso($C81)+letrapeso(Q84)*letrapeso($C83)),0)</f>
        <v>0</v>
      </c>
      <c r="AU70" s="128">
        <f>IF(SUM(AU71:AU83),SUM(AU71:AU83)/(letrapeso(R72)*letrapeso($C71)+letrapeso(R74)*letrapeso($C73)+letrapeso(R76)*letrapeso($C75)+letrapeso(R78)*letrapeso($C77)+letrapeso(R80)*letrapeso($C79)+letrapeso(R82)*letrapeso($C81)+letrapeso(R84)*letrapeso($C83)),0)</f>
        <v>0</v>
      </c>
      <c r="AV70" s="28"/>
      <c r="AW70" s="128">
        <f>IF(SUM(AW71:AW83),SUM(AW71:AW83)/(letrapeso(T72)*letrapeso($C71)+letrapeso(T74)*letrapeso($C73)+letrapeso(T76)*letrapeso($C75)+letrapeso(T78)*letrapeso($C77)+letrapeso(T80)*letrapeso($C79)+letrapeso(T82)*letrapeso($C81)+letrapeso(T84)*letrapeso($C83)),0)</f>
        <v>0</v>
      </c>
      <c r="AX70" s="128">
        <f>IF(SUM(AX71:AX83),SUM(AX71:AX83)/(letrapeso(U72)*letrapeso($C71)+letrapeso(U74)*letrapeso($C73)+letrapeso(U76)*letrapeso($C75)+letrapeso(U78)*letrapeso($C77)+letrapeso(U80)*letrapeso($C79)+letrapeso(U82)*letrapeso($C81)+letrapeso(U84)*letrapeso($C83)),0)</f>
        <v>0</v>
      </c>
      <c r="AY70" s="28"/>
      <c r="AZ70" s="128">
        <f>IF(SUM(AZ71:AZ83),SUM(AZ71:AZ83)/(letrapeso(W72)*letrapeso($C71)+letrapeso(W74)*letrapeso($C73)+letrapeso(W76)*letrapeso($C75)+letrapeso(W78)*letrapeso($C77)+letrapeso(W80)*letrapeso($C79)+letrapeso(W82)*letrapeso($C81)+letrapeso(W84)*letrapeso($C83)),0)</f>
        <v>0</v>
      </c>
      <c r="BA70" s="128">
        <f>IF(SUM(BA71:BA83),SUM(BA71:BA83)/(letrapeso(X72)*letrapeso($C71)+letrapeso(X74)*letrapeso($C73)+letrapeso(X76)*letrapeso($C75)+letrapeso(X78)*letrapeso($C77)+letrapeso(X80)*letrapeso($C79)+letrapeso(X82)*letrapeso($C81)+letrapeso(X84)*letrapeso($C83)),0)</f>
        <v>0</v>
      </c>
      <c r="BB70" s="28"/>
      <c r="BC70" s="128">
        <f>IF(SUM(BC71:BC83),SUM(BC71:BC83)/(letrapeso(Z72)*letrapeso($C71)+letrapeso(Z74)*letrapeso($C73)+letrapeso(Z76)*letrapeso($C75)+letrapeso(Z78)*letrapeso($C77)+letrapeso(Z80)*letrapeso($C79)+letrapeso(Z82)*letrapeso($C81)+letrapeso(Z84)*letrapeso($C83)),0)</f>
        <v>0</v>
      </c>
      <c r="BD70" s="128">
        <f>IF(SUM(BD71:BD83),SUM(BD71:BD83)/(letrapeso(AA72)*letrapeso($C71)+letrapeso(AA74)*letrapeso($C73)+letrapeso(AA76)*letrapeso($C75)+letrapeso(AA78)*letrapeso($C77)+letrapeso(AA80)*letrapeso($C79)+letrapeso(AA82)*letrapeso($C81)+letrapeso(AA84)*letrapeso($C83)),0)</f>
        <v>0</v>
      </c>
      <c r="BE70" s="28"/>
      <c r="BF70" s="128">
        <f>IF(SUM(BF71:BF83),SUM(BF71:BF83)/(letrapeso(AC72)*letrapeso($C71)+letrapeso(AC74)*letrapeso($C73)+letrapeso(AC76)*letrapeso($C75)+letrapeso(AC78)*letrapeso($C77)+letrapeso(AC80)*letrapeso($C79)+letrapeso(AC82)*letrapeso($C81)+letrapeso(AC84)*letrapeso($C83)),0)</f>
        <v>0</v>
      </c>
      <c r="BG70" s="128">
        <f>IF(SUM(BG71:BG83),SUM(BG71:BG83)/(letrapeso(AD72)*letrapeso($C71)+letrapeso(AD74)*letrapeso($C73)+letrapeso(AD76)*letrapeso($C75)+letrapeso(AD78)*letrapeso($C77)+letrapeso(AD80)*letrapeso($C79)+letrapeso(AD82)*letrapeso($C81)+letrapeso(AD84)*letrapeso($C83)),0)</f>
        <v>0</v>
      </c>
      <c r="BH70" s="28"/>
      <c r="BI70" s="128">
        <f>IF(SUM(BI71:BI83),SUM(BI71:BI83)/(letrapeso(AF72)*letrapeso($C71)+letrapeso(AF74)*letrapeso($C73)+letrapeso(AF76)*letrapeso($C75)+letrapeso(AF78)*letrapeso($C77)+letrapeso(AF80)*letrapeso($C79)+letrapeso(AF82)*letrapeso($C81)+letrapeso(AF84)*letrapeso($C83)),0)</f>
        <v>0</v>
      </c>
      <c r="BJ70" s="128">
        <f>IF(SUM(BJ71:BJ83),SUM(BJ71:BJ83)/(letrapeso(AG72)*letrapeso($C71)+letrapeso(AG74)*letrapeso($C73)+letrapeso(AG76)*letrapeso($C75)+letrapeso(AG78)*letrapeso($C77)+letrapeso(AG80)*letrapeso($C79)+letrapeso(AG82)*letrapeso($C81)+letrapeso(AG84)*letrapeso($C83)),0)</f>
        <v>0</v>
      </c>
      <c r="BK70" s="28"/>
    </row>
    <row r="71" spans="1:92" ht="15.75" hidden="1" thickBot="1" x14ac:dyDescent="0.25">
      <c r="A71" s="546" t="str">
        <f>'Digitar aqui Notas e Pesos'!A71</f>
        <v>Tesouraria</v>
      </c>
      <c r="B71" s="547"/>
      <c r="C71" s="229" t="str">
        <f>IF('Digitar aqui Notas e Pesos'!C71,PEsoLetra('Digitar aqui Notas e Pesos'!C71),0)</f>
        <v>a</v>
      </c>
      <c r="D71" s="208">
        <f>IF(ISTEXT($C71),(G71*letrapeso(G72)+K71*letrapeso(K72)+N71*letrapeso(N72)+Q71*letrapeso(Q72)+T71*letrapeso(T72)+W71*letrapeso(W72)+Z71*letrapeso(Z72)+AC71*letrapeso(AC72)+AF71*letrapeso(AF72))/(letrapeso(G72)+letrapeso(K72)+letrapeso(N72)+letrapeso(Q72)+letrapeso(T72)+letrapeso(W72)+letrapeso(Z72)+letrapeso(AC72)+letrapeso(AF72)),0)</f>
        <v>1.5</v>
      </c>
      <c r="E71" s="208">
        <f>IF(ISTEXT($C71),(H71*letrapeso(H72)+L71*letrapeso(L72)+O71*letrapeso(O72)+R71*letrapeso(R72)+U71*letrapeso(U72)+X71*letrapeso(X72)+AA71*letrapeso(AA72)+AD71*letrapeso(AD72)+AG71*letrapeso(AG72))/(letrapeso(H72)+letrapeso(L72)+letrapeso(O72)+letrapeso(R72)+letrapeso(U72)+letrapeso(X72)+letrapeso(AA72)+letrapeso(AD72)+letrapeso(AG72)),0)</f>
        <v>2</v>
      </c>
      <c r="F71" s="209">
        <f>IF(ISTEXT($C71),(D71*$A$145+E71*$A$146),0)</f>
        <v>1.7250000000000001</v>
      </c>
      <c r="G71" s="259">
        <f>'Digitar aqui Notas e Pesos'!D71</f>
        <v>0</v>
      </c>
      <c r="H71" s="116">
        <f>'Digitar aqui Notas e Pesos'!E71</f>
        <v>0</v>
      </c>
      <c r="I71" s="565">
        <f>IF(AND(G71&lt;&gt;0,H71&lt;&gt;0,$C71&lt;&gt;0),(G71*letrapeso(G72)*$A$145+H71*letrapeso(H72)*$A$146)/(letrapeso(G72)*$A$145+letrapeso(H72)*$A$146),0)</f>
        <v>0</v>
      </c>
      <c r="J71" s="259">
        <f>'Digitar aqui Notas e Pesos'!F71</f>
        <v>0</v>
      </c>
      <c r="K71" s="259">
        <f>'Digitar aqui Notas e Pesos'!G71</f>
        <v>2</v>
      </c>
      <c r="L71" s="116">
        <f>'Digitar aqui Notas e Pesos'!H71</f>
        <v>2</v>
      </c>
      <c r="M71" s="553">
        <f>IF(AND(K71&lt;&gt;0,L71&lt;&gt;0,$C71&lt;&gt;0),(K71*letrapeso(K72)*$A$145+L71*letrapeso(L72)*$A$146)/(letrapeso(K72)*$A$145+letrapeso(L72)*$A$146),0)</f>
        <v>2</v>
      </c>
      <c r="N71" s="259">
        <f>'Digitar aqui Notas e Pesos'!J71</f>
        <v>1</v>
      </c>
      <c r="O71" s="116">
        <f>'Digitar aqui Notas e Pesos'!K71</f>
        <v>2</v>
      </c>
      <c r="P71" s="553">
        <f>IF(AND(N71&lt;&gt;0,O71&lt;&gt;0,$C71&lt;&gt;0),(N71*letrapeso(N72)*$A$145+O71*letrapeso(O72)*$A$146)/(letrapeso(N72)*$A$145+letrapeso(O72)*$A$146),0)</f>
        <v>1.4500000000000002</v>
      </c>
      <c r="Q71" s="259">
        <f>'Digitar aqui Notas e Pesos'!M71</f>
        <v>0</v>
      </c>
      <c r="R71" s="116">
        <f>'Digitar aqui Notas e Pesos'!N71</f>
        <v>0</v>
      </c>
      <c r="S71" s="553">
        <f>IF(AND(Q71&lt;&gt;0,R71&lt;&gt;0,$C71&lt;&gt;0),(Q71*letrapeso(Q72)*$A$145+R71*letrapeso(R72)*$A$146)/(letrapeso(Q72)*$A$145+letrapeso(R72)*$A$146),0)</f>
        <v>0</v>
      </c>
      <c r="T71" s="259">
        <f>'Digitar aqui Notas e Pesos'!P71</f>
        <v>0</v>
      </c>
      <c r="U71" s="116">
        <f>'Digitar aqui Notas e Pesos'!Q71</f>
        <v>0</v>
      </c>
      <c r="V71" s="553">
        <f>IF(AND(T71&lt;&gt;0,U71&lt;&gt;0,$C71&lt;&gt;0),(T71*letrapeso(T72)*$A$145+U71*letrapeso(U72)*$A$146)/(letrapeso(T72)*$A$145+letrapeso(U72)*$A$146),0)</f>
        <v>0</v>
      </c>
      <c r="W71" s="259">
        <f>'Digitar aqui Notas e Pesos'!S71</f>
        <v>0</v>
      </c>
      <c r="X71" s="116">
        <f>'Digitar aqui Notas e Pesos'!T71</f>
        <v>0</v>
      </c>
      <c r="Y71" s="553">
        <f>IF(AND(W71&lt;&gt;0,X71&lt;&gt;0,$C71&lt;&gt;0),(W71*letrapeso(W72)*$A$145+X71*letrapeso(X72)*$A$146)/(letrapeso(W72)*$A$145+letrapeso(X72)*$A$146),0)</f>
        <v>0</v>
      </c>
      <c r="Z71" s="259">
        <f>'Digitar aqui Notas e Pesos'!V71</f>
        <v>0</v>
      </c>
      <c r="AA71" s="116">
        <f>'Digitar aqui Notas e Pesos'!W71</f>
        <v>0</v>
      </c>
      <c r="AB71" s="553">
        <f>IF(AND(Z71&lt;&gt;0,AA71&lt;&gt;0,$C71&lt;&gt;0),(Z71*letrapeso(Z72)*$A$145+AA71*letrapeso(AA72)*$A$146)/(letrapeso(Z72)*$A$145+letrapeso(AA72)*$A$146),0)</f>
        <v>0</v>
      </c>
      <c r="AC71" s="259">
        <f>'Digitar aqui Notas e Pesos'!Y71</f>
        <v>0</v>
      </c>
      <c r="AD71" s="116">
        <f>'Digitar aqui Notas e Pesos'!Z71</f>
        <v>0</v>
      </c>
      <c r="AE71" s="553">
        <f>IF(AND(AC71&lt;&gt;0,AD71&lt;&gt;0,$C71&lt;&gt;0),(AC71*letrapeso(AC72)*$A$145+AD71*letrapeso(AD72)*$A$146)/(letrapeso(AC72)*$A$145+letrapeso(AD72)*$A$146),0)</f>
        <v>0</v>
      </c>
      <c r="AF71" s="259">
        <f>'Digitar aqui Notas e Pesos'!AB71</f>
        <v>0</v>
      </c>
      <c r="AG71" s="116">
        <f>'Digitar aqui Notas e Pesos'!AC71</f>
        <v>0</v>
      </c>
      <c r="AH71" s="573">
        <f>IF(AND(AF71&lt;&gt;0,AG71&lt;&gt;0,$C71&lt;&gt;0),(AF71*letrapeso(AF72)*$A$145+AG71*letrapeso(AG72)*$A$146)/(letrapeso(AF72)*$A$145+letrapeso(AG72)*$A$146),0)</f>
        <v>0</v>
      </c>
      <c r="AI71" s="8" t="str">
        <f>IF(letrapeso(C71),"Imprime","Não Imprime")</f>
        <v>Imprime</v>
      </c>
      <c r="AJ71" s="14" t="s">
        <v>28</v>
      </c>
      <c r="AK71" s="129">
        <f>G71*letrapeso(G72)*letrapeso($C71)</f>
        <v>0</v>
      </c>
      <c r="AL71" s="129">
        <f>H71*letrapeso(H72)*letrapeso($C71)</f>
        <v>0</v>
      </c>
      <c r="AM71" s="129">
        <f>J71*letrapeso(G72)*letrapeso($C71)</f>
        <v>0</v>
      </c>
      <c r="AN71" s="129">
        <f>K71*letrapeso(K72)*letrapeso($C71)</f>
        <v>128</v>
      </c>
      <c r="AO71" s="129">
        <f>L71*letrapeso(L72)*letrapeso($C71)</f>
        <v>128</v>
      </c>
      <c r="AP71" s="44"/>
      <c r="AQ71" s="129">
        <f>N71*letrapeso(N72)*letrapeso($C71)</f>
        <v>64</v>
      </c>
      <c r="AR71" s="129">
        <f>O71*letrapeso(O72)*letrapeso($C71)</f>
        <v>128</v>
      </c>
      <c r="AS71" s="44"/>
      <c r="AT71" s="129">
        <f>Q71*letrapeso(Q72)*letrapeso($C71)</f>
        <v>0</v>
      </c>
      <c r="AU71" s="129">
        <f>R71*letrapeso(R72)*letrapeso($C71)</f>
        <v>0</v>
      </c>
      <c r="AV71" s="44"/>
      <c r="AW71" s="129">
        <f>T71*letrapeso(T72)*letrapeso($C71)</f>
        <v>0</v>
      </c>
      <c r="AX71" s="129">
        <f>U71*letrapeso(U72)*letrapeso($C71)</f>
        <v>0</v>
      </c>
      <c r="AY71" s="44"/>
      <c r="AZ71" s="129">
        <f>W71*letrapeso(W72)*letrapeso($C71)</f>
        <v>0</v>
      </c>
      <c r="BA71" s="129">
        <f>X71*letrapeso(X72)*letrapeso($C71)</f>
        <v>0</v>
      </c>
      <c r="BB71" s="44"/>
      <c r="BC71" s="129">
        <f>Z71*letrapeso(Z72)*letrapeso($C71)</f>
        <v>0</v>
      </c>
      <c r="BD71" s="129">
        <f>AA71*letrapeso(AA72)*letrapeso($C71)</f>
        <v>0</v>
      </c>
      <c r="BE71" s="44"/>
      <c r="BF71" s="129">
        <f>AC71*letrapeso(AC72)*letrapeso($C71)</f>
        <v>0</v>
      </c>
      <c r="BG71" s="129">
        <f>AD71*letrapeso(AD72)*letrapeso($C71)</f>
        <v>0</v>
      </c>
      <c r="BH71" s="44"/>
      <c r="BI71" s="129">
        <f>AF71*letrapeso(AF72)*letrapeso($C71)</f>
        <v>0</v>
      </c>
      <c r="BJ71" s="129">
        <f>AG71*letrapeso(AG72)*letrapeso($C71)</f>
        <v>0</v>
      </c>
      <c r="BK71" s="44"/>
      <c r="BL71" s="171">
        <f>letrapeso(G72)</f>
        <v>0</v>
      </c>
      <c r="BM71" s="171">
        <f>letrapeso(H72)</f>
        <v>0</v>
      </c>
      <c r="BN71" s="41"/>
      <c r="BO71" s="171">
        <f>letrapeso(K72)</f>
        <v>8</v>
      </c>
      <c r="BP71" s="171">
        <f>letrapeso(L72)</f>
        <v>8</v>
      </c>
      <c r="BQ71" s="41"/>
      <c r="BR71" s="171">
        <f>letrapeso(N72)</f>
        <v>8</v>
      </c>
      <c r="BS71" s="171">
        <f>letrapeso(O72)</f>
        <v>8</v>
      </c>
      <c r="BT71" s="41"/>
      <c r="BU71" s="171">
        <f>letrapeso(Q72)</f>
        <v>0</v>
      </c>
      <c r="BV71" s="171">
        <f>letrapeso(R72)</f>
        <v>0</v>
      </c>
      <c r="BW71" s="41"/>
      <c r="BX71" s="171">
        <f>letrapeso(T72)</f>
        <v>0</v>
      </c>
      <c r="BY71" s="171">
        <f>letrapeso(U72)</f>
        <v>0</v>
      </c>
      <c r="BZ71" s="41"/>
      <c r="CA71" s="171">
        <f>letrapeso(W72)</f>
        <v>0</v>
      </c>
      <c r="CB71" s="171">
        <f>letrapeso(X72)</f>
        <v>0</v>
      </c>
      <c r="CC71" s="41"/>
      <c r="CD71" s="171">
        <f>letrapeso(Z72)</f>
        <v>0</v>
      </c>
      <c r="CE71" s="171">
        <f>letrapeso(AA72)</f>
        <v>0</v>
      </c>
      <c r="CF71" s="41"/>
      <c r="CG71" s="171">
        <f>letrapeso(AC72)</f>
        <v>0</v>
      </c>
      <c r="CH71" s="171">
        <f>letrapeso(AD72)</f>
        <v>0</v>
      </c>
      <c r="CI71" s="41"/>
      <c r="CJ71" s="171">
        <f>letrapeso(AF72)</f>
        <v>0</v>
      </c>
      <c r="CK71" s="171">
        <f>letrapeso(AG72)</f>
        <v>0</v>
      </c>
      <c r="CL71" s="41"/>
      <c r="CM71" s="41">
        <f>IF(ISTEXT($C71),(BL71+BO71+BR71+BU71+BX71+CA71+CD71+CG71+CJ71),0)</f>
        <v>16</v>
      </c>
      <c r="CN71" s="41">
        <f>IF(ISTEXT($C71),(BM71+BP71+BS71+BV71+BY71+CB71+CE71+CH71+CK71),0)</f>
        <v>16</v>
      </c>
    </row>
    <row r="72" spans="1:92" ht="15.75" hidden="1" thickBot="1" x14ac:dyDescent="0.25">
      <c r="A72" s="537" t="str">
        <f>TEXT(D71,"0,00")&amp;"       "&amp;TEXT(E71,"0,00")&amp;"       "&amp;TEXT(F71,"0,00")</f>
        <v>1,50       2,00       1,73</v>
      </c>
      <c r="B72" s="538"/>
      <c r="C72" s="230"/>
      <c r="D72" s="210"/>
      <c r="E72" s="208">
        <f>IF(ISTEXT($C72),(H72*letrapeso(H73)+#REF!*letrapeso(#REF!)+L72*letrapeso(L73)+O72*letrapeso(O73)+R72*letrapeso(R73)+#REF!*letrapeso(#REF!)+U72*letrapeso(U73)+X72*letrapeso(X73)+AA72*letrapeso(AA73)+AD72*letrapeso(AD73)+AG72*letrapeso(AG73))/(letrapeso(H73)+letrapeso(#REF!)+letrapeso(L73)+letrapeso(O73)+letrapeso(R73)+letrapeso(#REF!)+letrapeso(U73)+letrapeso(X73)+letrapeso(AA73)+letrapeso(AD73)+letrapeso(AG73)),0)</f>
        <v>0</v>
      </c>
      <c r="F72" s="209"/>
      <c r="G72" s="231" t="str">
        <f>PEsoLetra('Digitar aqui Notas e Pesos'!D72)</f>
        <v/>
      </c>
      <c r="H72" s="232" t="str">
        <f>PEsoLetra('Digitar aqui Notas e Pesos'!E72)</f>
        <v/>
      </c>
      <c r="I72" s="566"/>
      <c r="J72" s="490"/>
      <c r="K72" s="231" t="str">
        <f>PEsoLetra('Digitar aqui Notas e Pesos'!G72)</f>
        <v>a</v>
      </c>
      <c r="L72" s="232" t="str">
        <f>PEsoLetra('Digitar aqui Notas e Pesos'!H72)</f>
        <v>a</v>
      </c>
      <c r="M72" s="554"/>
      <c r="N72" s="231" t="str">
        <f>PEsoLetra('Digitar aqui Notas e Pesos'!J72)</f>
        <v>a</v>
      </c>
      <c r="O72" s="232" t="str">
        <f>PEsoLetra('Digitar aqui Notas e Pesos'!K72)</f>
        <v>a</v>
      </c>
      <c r="P72" s="554"/>
      <c r="Q72" s="231" t="str">
        <f>PEsoLetra('Digitar aqui Notas e Pesos'!M72)</f>
        <v/>
      </c>
      <c r="R72" s="232" t="str">
        <f>PEsoLetra('Digitar aqui Notas e Pesos'!N72)</f>
        <v/>
      </c>
      <c r="S72" s="554"/>
      <c r="T72" s="231" t="str">
        <f>PEsoLetra('Digitar aqui Notas e Pesos'!P72)</f>
        <v/>
      </c>
      <c r="U72" s="232" t="str">
        <f>PEsoLetra('Digitar aqui Notas e Pesos'!Q72)</f>
        <v/>
      </c>
      <c r="V72" s="554"/>
      <c r="W72" s="231" t="str">
        <f>PEsoLetra('Digitar aqui Notas e Pesos'!S72)</f>
        <v/>
      </c>
      <c r="X72" s="232" t="str">
        <f>PEsoLetra('Digitar aqui Notas e Pesos'!T72)</f>
        <v/>
      </c>
      <c r="Y72" s="554"/>
      <c r="Z72" s="231" t="str">
        <f>PEsoLetra('Digitar aqui Notas e Pesos'!V72)</f>
        <v/>
      </c>
      <c r="AA72" s="232" t="str">
        <f>PEsoLetra('Digitar aqui Notas e Pesos'!W72)</f>
        <v/>
      </c>
      <c r="AB72" s="554"/>
      <c r="AC72" s="231" t="str">
        <f>PEsoLetra('Digitar aqui Notas e Pesos'!Y72)</f>
        <v/>
      </c>
      <c r="AD72" s="232" t="str">
        <f>PEsoLetra('Digitar aqui Notas e Pesos'!Z72)</f>
        <v/>
      </c>
      <c r="AE72" s="554"/>
      <c r="AF72" s="231" t="str">
        <f>PEsoLetra('Digitar aqui Notas e Pesos'!AB72)</f>
        <v/>
      </c>
      <c r="AG72" s="232" t="str">
        <f>PEsoLetra('Digitar aqui Notas e Pesos'!AC72)</f>
        <v/>
      </c>
      <c r="AH72" s="574"/>
      <c r="AI72" s="19" t="str">
        <f>+AI71</f>
        <v>Imprime</v>
      </c>
      <c r="AJ72" s="1"/>
      <c r="AK72" s="130"/>
      <c r="AL72" s="130"/>
      <c r="AM72" s="130"/>
      <c r="AN72" s="130"/>
      <c r="AO72" s="130"/>
      <c r="AQ72" s="130"/>
      <c r="AR72" s="130"/>
      <c r="AS72" s="28"/>
      <c r="AT72" s="130"/>
      <c r="AU72" s="130"/>
      <c r="AV72" s="28"/>
      <c r="AW72" s="130"/>
      <c r="AX72" s="130"/>
      <c r="AY72" s="28"/>
      <c r="AZ72" s="130"/>
      <c r="BA72" s="130"/>
      <c r="BB72" s="28"/>
      <c r="BC72" s="130"/>
      <c r="BD72" s="130"/>
      <c r="BE72" s="28"/>
      <c r="BF72" s="130"/>
      <c r="BG72" s="130"/>
      <c r="BH72" s="28"/>
      <c r="BI72" s="130"/>
      <c r="BJ72" s="130"/>
      <c r="BK72" s="28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171"/>
      <c r="CN72" s="171"/>
    </row>
    <row r="73" spans="1:92" ht="15.75" hidden="1" thickBot="1" x14ac:dyDescent="0.25">
      <c r="A73" s="546" t="str">
        <f>'Digitar aqui Notas e Pesos'!A73</f>
        <v>Nome da Atividade 2 da Unidade 4</v>
      </c>
      <c r="B73" s="547"/>
      <c r="C73" s="229">
        <f>IF('Digitar aqui Notas e Pesos'!C73,PEsoLetra('Digitar aqui Notas e Pesos'!C73),0)</f>
        <v>0</v>
      </c>
      <c r="D73" s="208">
        <f>IF(ISTEXT($C73),(G73*letrapeso(G74)+K73*letrapeso(K74)+N73*letrapeso(N74)+Q73*letrapeso(Q74)+T73*letrapeso(T74)+W73*letrapeso(W74)+Z73*letrapeso(Z74)+AC73*letrapeso(AC74)+AF73*letrapeso(AF74))/(letrapeso(G74)+letrapeso(K74)+letrapeso(N74)+letrapeso(Q74)+letrapeso(T74)+letrapeso(W74)+letrapeso(Z74)+letrapeso(AC74)+letrapeso(AF74)),0)</f>
        <v>0</v>
      </c>
      <c r="E73" s="208">
        <f>IF(ISTEXT($C73),(H73*letrapeso(H74)+L73*letrapeso(L74)+O73*letrapeso(O74)+R73*letrapeso(R74)+U73*letrapeso(U74)+X73*letrapeso(X74)+AA73*letrapeso(AA74)+AD73*letrapeso(AD74)+AG73*letrapeso(AG74))/(letrapeso(H74)+letrapeso(L74)+letrapeso(O74)+letrapeso(R74)+letrapeso(U74)+letrapeso(X74)+letrapeso(AA74)+letrapeso(AD74)+letrapeso(AG74)),0)</f>
        <v>0</v>
      </c>
      <c r="F73" s="209">
        <f>IF(ISTEXT($C73),(D73*$A$145+E73*$A$146),0)</f>
        <v>0</v>
      </c>
      <c r="G73" s="259">
        <f>'Digitar aqui Notas e Pesos'!D73</f>
        <v>0</v>
      </c>
      <c r="H73" s="116">
        <f>'Digitar aqui Notas e Pesos'!E73</f>
        <v>0</v>
      </c>
      <c r="I73" s="565">
        <f>IF(AND(G73&lt;&gt;0,H73&lt;&gt;0,$C73&lt;&gt;0),(G73*letrapeso(G74)*$A$145+H73*letrapeso(H74)*$A$146)/(letrapeso(G74)*$A$145+letrapeso(H74)*$A$146),0)</f>
        <v>0</v>
      </c>
      <c r="J73" s="259">
        <f>'Digitar aqui Notas e Pesos'!F73</f>
        <v>0</v>
      </c>
      <c r="K73" s="259">
        <f>'Digitar aqui Notas e Pesos'!G73</f>
        <v>0</v>
      </c>
      <c r="L73" s="116">
        <f>'Digitar aqui Notas e Pesos'!H73</f>
        <v>0</v>
      </c>
      <c r="M73" s="553">
        <f>IF(AND(K73&lt;&gt;0,L73&lt;&gt;0,$C73&lt;&gt;0),(K73*letrapeso(K74)*$A$145+L73*letrapeso(L74)*$A$146)/(letrapeso(K74)*$A$145+letrapeso(L74)*$A$146),0)</f>
        <v>0</v>
      </c>
      <c r="N73" s="259">
        <f>'Digitar aqui Notas e Pesos'!J73</f>
        <v>0</v>
      </c>
      <c r="O73" s="116">
        <f>'Digitar aqui Notas e Pesos'!K73</f>
        <v>0</v>
      </c>
      <c r="P73" s="553">
        <f>IF(AND(N73&lt;&gt;0,O73&lt;&gt;0,$C73&lt;&gt;0),(N73*letrapeso(N74)*$A$145+O73*letrapeso(O74)*$A$146)/(letrapeso(N74)*$A$145+letrapeso(O74)*$A$146),0)</f>
        <v>0</v>
      </c>
      <c r="Q73" s="259">
        <f>'Digitar aqui Notas e Pesos'!M73</f>
        <v>0</v>
      </c>
      <c r="R73" s="116">
        <f>'Digitar aqui Notas e Pesos'!N73</f>
        <v>0</v>
      </c>
      <c r="S73" s="553">
        <f>IF(AND(Q73&lt;&gt;0,R73&lt;&gt;0,$C73&lt;&gt;0),(Q73*letrapeso(Q74)*$A$145+R73*letrapeso(R74)*$A$146)/(letrapeso(Q74)*$A$145+letrapeso(R74)*$A$146),0)</f>
        <v>0</v>
      </c>
      <c r="T73" s="259">
        <f>'Digitar aqui Notas e Pesos'!P73</f>
        <v>0</v>
      </c>
      <c r="U73" s="116">
        <f>'Digitar aqui Notas e Pesos'!Q73</f>
        <v>0</v>
      </c>
      <c r="V73" s="553">
        <f>IF(AND(T73&lt;&gt;0,U73&lt;&gt;0,$C73&lt;&gt;0),(T73*letrapeso(T74)*$A$145+U73*letrapeso(U74)*$A$146)/(letrapeso(T74)*$A$145+letrapeso(U74)*$A$146),0)</f>
        <v>0</v>
      </c>
      <c r="W73" s="259">
        <f>'Digitar aqui Notas e Pesos'!S73</f>
        <v>0</v>
      </c>
      <c r="X73" s="116">
        <f>'Digitar aqui Notas e Pesos'!T73</f>
        <v>0</v>
      </c>
      <c r="Y73" s="553">
        <f>IF(AND(W73&lt;&gt;0,X73&lt;&gt;0,$C73&lt;&gt;0),(W73*letrapeso(W74)*$A$145+X73*letrapeso(X74)*$A$146)/(letrapeso(W74)*$A$145+letrapeso(X74)*$A$146),0)</f>
        <v>0</v>
      </c>
      <c r="Z73" s="259">
        <f>'Digitar aqui Notas e Pesos'!V73</f>
        <v>0</v>
      </c>
      <c r="AA73" s="116">
        <f>'Digitar aqui Notas e Pesos'!W73</f>
        <v>0</v>
      </c>
      <c r="AB73" s="553">
        <f>IF(AND(Z73&lt;&gt;0,AA73&lt;&gt;0,$C73&lt;&gt;0),(Z73*letrapeso(Z74)*$A$145+AA73*letrapeso(AA74)*$A$146)/(letrapeso(Z74)*$A$145+letrapeso(AA74)*$A$146),0)</f>
        <v>0</v>
      </c>
      <c r="AC73" s="259">
        <f>'Digitar aqui Notas e Pesos'!Y73</f>
        <v>0</v>
      </c>
      <c r="AD73" s="116">
        <f>'Digitar aqui Notas e Pesos'!Z73</f>
        <v>0</v>
      </c>
      <c r="AE73" s="553">
        <f>IF(AND(AC73&lt;&gt;0,AD73&lt;&gt;0,$C73&lt;&gt;0),(AC73*letrapeso(AC74)*$A$145+AD73*letrapeso(AD74)*$A$146)/(letrapeso(AC74)*$A$145+letrapeso(AD74)*$A$146),0)</f>
        <v>0</v>
      </c>
      <c r="AF73" s="259">
        <f>'Digitar aqui Notas e Pesos'!AB73</f>
        <v>0</v>
      </c>
      <c r="AG73" s="116">
        <f>'Digitar aqui Notas e Pesos'!AC73</f>
        <v>0</v>
      </c>
      <c r="AH73" s="573">
        <f>IF(AND(AF73&lt;&gt;0,AG73&lt;&gt;0,$C73&lt;&gt;0),(AF73*letrapeso(AF74)*$A$145+AG73*letrapeso(AG74)*$A$146)/(letrapeso(AF74)*$A$145+letrapeso(AG74)*$A$146),0)</f>
        <v>0</v>
      </c>
      <c r="AI73" s="8" t="str">
        <f>IF(letrapeso(C73),"Imprime","Não Imprime")</f>
        <v>Não Imprime</v>
      </c>
      <c r="AJ73" s="14" t="s">
        <v>28</v>
      </c>
      <c r="AK73" s="129">
        <f>G73*letrapeso(G74)*letrapeso($C73)</f>
        <v>0</v>
      </c>
      <c r="AL73" s="129">
        <f>H73*letrapeso(H74)*letrapeso($C73)</f>
        <v>0</v>
      </c>
      <c r="AM73" s="129">
        <f>J73*letrapeso(G74)*letrapeso($C73)</f>
        <v>0</v>
      </c>
      <c r="AN73" s="129">
        <f>K73*letrapeso(K74)*letrapeso($C73)</f>
        <v>0</v>
      </c>
      <c r="AO73" s="129">
        <f>L73*letrapeso(L74)*letrapeso($C73)</f>
        <v>0</v>
      </c>
      <c r="AP73" s="131"/>
      <c r="AQ73" s="129">
        <f>N73*letrapeso(N74)*letrapeso($C73)</f>
        <v>0</v>
      </c>
      <c r="AR73" s="129">
        <f>O73*letrapeso(O74)*letrapeso($C73)</f>
        <v>0</v>
      </c>
      <c r="AS73" s="131"/>
      <c r="AT73" s="129">
        <f>Q73*letrapeso(Q74)*letrapeso($C73)</f>
        <v>0</v>
      </c>
      <c r="AU73" s="129">
        <f>R73*letrapeso(R74)*letrapeso($C73)</f>
        <v>0</v>
      </c>
      <c r="AV73" s="131"/>
      <c r="AW73" s="129">
        <f>T73*letrapeso(T74)*letrapeso($C73)</f>
        <v>0</v>
      </c>
      <c r="AX73" s="129">
        <f>U73*letrapeso(U74)*letrapeso($C73)</f>
        <v>0</v>
      </c>
      <c r="AY73" s="131"/>
      <c r="AZ73" s="129">
        <f>W73*letrapeso(W74)*letrapeso($C73)</f>
        <v>0</v>
      </c>
      <c r="BA73" s="129">
        <f>X73*letrapeso(X74)*letrapeso($C73)</f>
        <v>0</v>
      </c>
      <c r="BB73" s="131"/>
      <c r="BC73" s="129">
        <f>Z73*letrapeso(Z74)*letrapeso($C73)</f>
        <v>0</v>
      </c>
      <c r="BD73" s="129">
        <f>AA73*letrapeso(AA74)*letrapeso($C73)</f>
        <v>0</v>
      </c>
      <c r="BE73" s="131"/>
      <c r="BF73" s="129">
        <f>AC73*letrapeso(AC74)*letrapeso($C73)</f>
        <v>0</v>
      </c>
      <c r="BG73" s="129">
        <f>AD73*letrapeso(AD74)*letrapeso($C73)</f>
        <v>0</v>
      </c>
      <c r="BH73" s="131"/>
      <c r="BI73" s="129">
        <f>AF73*letrapeso(AF74)*letrapeso($C73)</f>
        <v>0</v>
      </c>
      <c r="BJ73" s="129">
        <f>AG73*letrapeso(AG74)*letrapeso($C73)</f>
        <v>0</v>
      </c>
      <c r="BK73" s="131"/>
      <c r="BL73" s="171">
        <f>letrapeso(G74)</f>
        <v>0</v>
      </c>
      <c r="BM73" s="171">
        <f>letrapeso(H74)</f>
        <v>0</v>
      </c>
      <c r="BN73" s="41"/>
      <c r="BO73" s="171">
        <f>letrapeso(K74)</f>
        <v>0</v>
      </c>
      <c r="BP73" s="171">
        <f>letrapeso(L74)</f>
        <v>0</v>
      </c>
      <c r="BQ73" s="41"/>
      <c r="BR73" s="171">
        <f>letrapeso(N74)</f>
        <v>0</v>
      </c>
      <c r="BS73" s="171">
        <f>letrapeso(O74)</f>
        <v>0</v>
      </c>
      <c r="BT73" s="41"/>
      <c r="BU73" s="171">
        <f>letrapeso(Q74)</f>
        <v>0</v>
      </c>
      <c r="BV73" s="171">
        <f>letrapeso(R74)</f>
        <v>0</v>
      </c>
      <c r="BW73" s="41"/>
      <c r="BX73" s="171">
        <f>letrapeso(T74)</f>
        <v>0</v>
      </c>
      <c r="BY73" s="171">
        <f>letrapeso(U74)</f>
        <v>0</v>
      </c>
      <c r="BZ73" s="41"/>
      <c r="CA73" s="171">
        <f>letrapeso(W74)</f>
        <v>0</v>
      </c>
      <c r="CB73" s="171">
        <f>letrapeso(X74)</f>
        <v>0</v>
      </c>
      <c r="CC73" s="41"/>
      <c r="CD73" s="171">
        <f>letrapeso(Z74)</f>
        <v>0</v>
      </c>
      <c r="CE73" s="171">
        <f>letrapeso(AA74)</f>
        <v>0</v>
      </c>
      <c r="CF73" s="41"/>
      <c r="CG73" s="171">
        <f>letrapeso(AC74)</f>
        <v>0</v>
      </c>
      <c r="CH73" s="171">
        <f>letrapeso(AD74)</f>
        <v>0</v>
      </c>
      <c r="CI73" s="41"/>
      <c r="CJ73" s="171">
        <f>letrapeso(AF74)</f>
        <v>0</v>
      </c>
      <c r="CK73" s="171">
        <f>letrapeso(AG74)</f>
        <v>0</v>
      </c>
      <c r="CL73" s="41"/>
      <c r="CM73" s="41">
        <f>IF(ISTEXT($C73),(BL73+BO73+BR73+BU73+BX73+CA73+CD73+CG73+CJ73),0)</f>
        <v>0</v>
      </c>
      <c r="CN73" s="41">
        <f>IF(ISTEXT($C73),(BM73+BP73+BS73+BV73+BY73+CB73+CE73+CH73+CK73),0)</f>
        <v>0</v>
      </c>
    </row>
    <row r="74" spans="1:92" ht="15.75" hidden="1" thickBot="1" x14ac:dyDescent="0.25">
      <c r="A74" s="537" t="str">
        <f>TEXT(D73,"0,00")&amp;"       "&amp;TEXT(E73,"0,00")&amp;"       "&amp;TEXT(F73,"0,00")</f>
        <v>0,00       0,00       0,00</v>
      </c>
      <c r="B74" s="538"/>
      <c r="C74" s="230"/>
      <c r="D74" s="210"/>
      <c r="E74" s="208">
        <f>IF(ISTEXT($C74),(H74*letrapeso(H75)+#REF!*letrapeso(#REF!)+L74*letrapeso(L75)+O74*letrapeso(O75)+R74*letrapeso(R75)+#REF!*letrapeso(#REF!)+U74*letrapeso(U75)+X74*letrapeso(X75)+AA74*letrapeso(AA75)+AD74*letrapeso(AD75)+AG74*letrapeso(AG75))/(letrapeso(H75)+letrapeso(#REF!)+letrapeso(L75)+letrapeso(O75)+letrapeso(R75)+letrapeso(#REF!)+letrapeso(U75)+letrapeso(X75)+letrapeso(AA75)+letrapeso(AD75)+letrapeso(AG75)),0)</f>
        <v>0</v>
      </c>
      <c r="F74" s="209"/>
      <c r="G74" s="231" t="str">
        <f>PEsoLetra('Digitar aqui Notas e Pesos'!D74)</f>
        <v/>
      </c>
      <c r="H74" s="232" t="str">
        <f>PEsoLetra('Digitar aqui Notas e Pesos'!E74)</f>
        <v/>
      </c>
      <c r="I74" s="566"/>
      <c r="J74" s="490"/>
      <c r="K74" s="231" t="str">
        <f>PEsoLetra('Digitar aqui Notas e Pesos'!G74)</f>
        <v/>
      </c>
      <c r="L74" s="232" t="str">
        <f>PEsoLetra('Digitar aqui Notas e Pesos'!H74)</f>
        <v/>
      </c>
      <c r="M74" s="554"/>
      <c r="N74" s="231" t="str">
        <f>PEsoLetra('Digitar aqui Notas e Pesos'!J74)</f>
        <v/>
      </c>
      <c r="O74" s="232" t="str">
        <f>PEsoLetra('Digitar aqui Notas e Pesos'!K74)</f>
        <v/>
      </c>
      <c r="P74" s="554"/>
      <c r="Q74" s="231" t="str">
        <f>PEsoLetra('Digitar aqui Notas e Pesos'!M74)</f>
        <v/>
      </c>
      <c r="R74" s="232" t="str">
        <f>PEsoLetra('Digitar aqui Notas e Pesos'!N74)</f>
        <v/>
      </c>
      <c r="S74" s="554"/>
      <c r="T74" s="231" t="str">
        <f>PEsoLetra('Digitar aqui Notas e Pesos'!P74)</f>
        <v/>
      </c>
      <c r="U74" s="232" t="str">
        <f>PEsoLetra('Digitar aqui Notas e Pesos'!Q74)</f>
        <v/>
      </c>
      <c r="V74" s="554"/>
      <c r="W74" s="231" t="str">
        <f>PEsoLetra('Digitar aqui Notas e Pesos'!S74)</f>
        <v/>
      </c>
      <c r="X74" s="232" t="str">
        <f>PEsoLetra('Digitar aqui Notas e Pesos'!T74)</f>
        <v/>
      </c>
      <c r="Y74" s="554"/>
      <c r="Z74" s="231" t="str">
        <f>PEsoLetra('Digitar aqui Notas e Pesos'!V74)</f>
        <v/>
      </c>
      <c r="AA74" s="232" t="str">
        <f>PEsoLetra('Digitar aqui Notas e Pesos'!W74)</f>
        <v/>
      </c>
      <c r="AB74" s="554"/>
      <c r="AC74" s="231" t="str">
        <f>PEsoLetra('Digitar aqui Notas e Pesos'!Y74)</f>
        <v/>
      </c>
      <c r="AD74" s="232" t="str">
        <f>PEsoLetra('Digitar aqui Notas e Pesos'!Z74)</f>
        <v/>
      </c>
      <c r="AE74" s="554"/>
      <c r="AF74" s="231" t="str">
        <f>PEsoLetra('Digitar aqui Notas e Pesos'!AB74)</f>
        <v/>
      </c>
      <c r="AG74" s="232" t="str">
        <f>PEsoLetra('Digitar aqui Notas e Pesos'!AC74)</f>
        <v/>
      </c>
      <c r="AH74" s="574"/>
      <c r="AI74" s="19" t="str">
        <f>+AI73</f>
        <v>Não Imprime</v>
      </c>
      <c r="AJ74" s="1"/>
      <c r="AK74" s="130"/>
      <c r="AL74" s="130"/>
      <c r="AM74" s="130"/>
      <c r="AN74" s="130"/>
      <c r="AO74" s="130"/>
      <c r="AP74" s="131"/>
      <c r="AQ74" s="130"/>
      <c r="AR74" s="130"/>
      <c r="AS74" s="131"/>
      <c r="AT74" s="130"/>
      <c r="AU74" s="130"/>
      <c r="AV74" s="131"/>
      <c r="AW74" s="130"/>
      <c r="AX74" s="130"/>
      <c r="AY74" s="131"/>
      <c r="AZ74" s="130"/>
      <c r="BA74" s="130"/>
      <c r="BB74" s="131"/>
      <c r="BC74" s="130"/>
      <c r="BD74" s="130"/>
      <c r="BE74" s="131"/>
      <c r="BF74" s="130"/>
      <c r="BG74" s="130"/>
      <c r="BH74" s="131"/>
      <c r="BI74" s="130"/>
      <c r="BJ74" s="130"/>
      <c r="BK74" s="131"/>
      <c r="CM74" s="28"/>
      <c r="CN74" s="28"/>
    </row>
    <row r="75" spans="1:92" ht="15.75" hidden="1" thickBot="1" x14ac:dyDescent="0.25">
      <c r="A75" s="546" t="str">
        <f>'Digitar aqui Notas e Pesos'!A75</f>
        <v>Nome da Atividade 3 da Unidade 4</v>
      </c>
      <c r="B75" s="547"/>
      <c r="C75" s="229">
        <f>IF('Digitar aqui Notas e Pesos'!C75,PEsoLetra('Digitar aqui Notas e Pesos'!C75),0)</f>
        <v>0</v>
      </c>
      <c r="D75" s="208">
        <f>IF(ISTEXT($C75),(G75*letrapeso(G76)+K75*letrapeso(K76)+N75*letrapeso(N76)+Q75*letrapeso(Q76)+T75*letrapeso(T76)+W75*letrapeso(W76)+Z75*letrapeso(Z76)+AC75*letrapeso(AC76)+AF75*letrapeso(AF76))/(letrapeso(G76)+letrapeso(K76)+letrapeso(N76)+letrapeso(Q76)+letrapeso(T76)+letrapeso(W76)+letrapeso(Z76)+letrapeso(AC76)+letrapeso(AF76)),0)</f>
        <v>0</v>
      </c>
      <c r="E75" s="208">
        <f>IF(ISTEXT($C75),(H75*letrapeso(H76)+L75*letrapeso(L76)+O75*letrapeso(O76)+R75*letrapeso(R76)+U75*letrapeso(U76)+X75*letrapeso(X76)+AA75*letrapeso(AA76)+AD75*letrapeso(AD76)+AG75*letrapeso(AG76))/(letrapeso(H76)+letrapeso(L76)+letrapeso(O76)+letrapeso(R76)+letrapeso(U76)+letrapeso(X76)+letrapeso(AA76)+letrapeso(AD76)+letrapeso(AG76)),0)</f>
        <v>0</v>
      </c>
      <c r="F75" s="209">
        <f>IF(ISTEXT($C75),(D75*$A$145+E75*$A$146),0)</f>
        <v>0</v>
      </c>
      <c r="G75" s="259">
        <f>'Digitar aqui Notas e Pesos'!D75</f>
        <v>0</v>
      </c>
      <c r="H75" s="116">
        <f>'Digitar aqui Notas e Pesos'!E75</f>
        <v>0</v>
      </c>
      <c r="I75" s="565">
        <f>IF(AND(G75&lt;&gt;0,H75&lt;&gt;0,$C75&lt;&gt;0),(G75*letrapeso(G76)*$A$145+H75*letrapeso(H76)*$A$146)/(letrapeso(G76)*$A$145+letrapeso(H76)*$A$146),0)</f>
        <v>0</v>
      </c>
      <c r="J75" s="259">
        <f>'Digitar aqui Notas e Pesos'!F75</f>
        <v>0</v>
      </c>
      <c r="K75" s="259">
        <f>'Digitar aqui Notas e Pesos'!G75</f>
        <v>0</v>
      </c>
      <c r="L75" s="116">
        <f>'Digitar aqui Notas e Pesos'!H75</f>
        <v>0</v>
      </c>
      <c r="M75" s="553">
        <f>IF(AND(K75&lt;&gt;0,L75&lt;&gt;0,$C75&lt;&gt;0),(K75*letrapeso(K76)*$A$145+L75*letrapeso(L76)*$A$146)/(letrapeso(K76)*$A$145+letrapeso(L76)*$A$146),0)</f>
        <v>0</v>
      </c>
      <c r="N75" s="259">
        <f>'Digitar aqui Notas e Pesos'!J75</f>
        <v>0</v>
      </c>
      <c r="O75" s="116">
        <f>'Digitar aqui Notas e Pesos'!K75</f>
        <v>0</v>
      </c>
      <c r="P75" s="553">
        <f>IF(AND(N75&lt;&gt;0,O75&lt;&gt;0,$C75&lt;&gt;0),(N75*letrapeso(N76)*$A$145+O75*letrapeso(O76)*$A$146)/(letrapeso(N76)*$A$145+letrapeso(O76)*$A$146),0)</f>
        <v>0</v>
      </c>
      <c r="Q75" s="259">
        <f>'Digitar aqui Notas e Pesos'!M75</f>
        <v>0</v>
      </c>
      <c r="R75" s="116">
        <f>'Digitar aqui Notas e Pesos'!N75</f>
        <v>0</v>
      </c>
      <c r="S75" s="553">
        <f>IF(AND(Q75&lt;&gt;0,R75&lt;&gt;0,$C75&lt;&gt;0),(Q75*letrapeso(Q76)*$A$145+R75*letrapeso(R76)*$A$146)/(letrapeso(Q76)*$A$145+letrapeso(R76)*$A$146),0)</f>
        <v>0</v>
      </c>
      <c r="T75" s="259">
        <f>'Digitar aqui Notas e Pesos'!P75</f>
        <v>0</v>
      </c>
      <c r="U75" s="116">
        <f>'Digitar aqui Notas e Pesos'!Q75</f>
        <v>0</v>
      </c>
      <c r="V75" s="553">
        <f>IF(AND(T75&lt;&gt;0,U75&lt;&gt;0,$C75&lt;&gt;0),(T75*letrapeso(T76)*$A$145+U75*letrapeso(U76)*$A$146)/(letrapeso(T76)*$A$145+letrapeso(U76)*$A$146),0)</f>
        <v>0</v>
      </c>
      <c r="W75" s="259">
        <f>'Digitar aqui Notas e Pesos'!S75</f>
        <v>0</v>
      </c>
      <c r="X75" s="116">
        <f>'Digitar aqui Notas e Pesos'!T75</f>
        <v>0</v>
      </c>
      <c r="Y75" s="553">
        <f>IF(AND(W75&lt;&gt;0,X75&lt;&gt;0,$C75&lt;&gt;0),(W75*letrapeso(W76)*$A$145+X75*letrapeso(X76)*$A$146)/(letrapeso(W76)*$A$145+letrapeso(X76)*$A$146),0)</f>
        <v>0</v>
      </c>
      <c r="Z75" s="259">
        <f>'Digitar aqui Notas e Pesos'!V75</f>
        <v>0</v>
      </c>
      <c r="AA75" s="116">
        <f>'Digitar aqui Notas e Pesos'!W75</f>
        <v>0</v>
      </c>
      <c r="AB75" s="553">
        <f>IF(AND(Z75&lt;&gt;0,AA75&lt;&gt;0,$C75&lt;&gt;0),(Z75*letrapeso(Z76)*$A$145+AA75*letrapeso(AA76)*$A$146)/(letrapeso(Z76)*$A$145+letrapeso(AA76)*$A$146),0)</f>
        <v>0</v>
      </c>
      <c r="AC75" s="259">
        <f>'Digitar aqui Notas e Pesos'!Y75</f>
        <v>0</v>
      </c>
      <c r="AD75" s="116">
        <f>'Digitar aqui Notas e Pesos'!Z75</f>
        <v>0</v>
      </c>
      <c r="AE75" s="553">
        <f>IF(AND(AC75&lt;&gt;0,AD75&lt;&gt;0,$C75&lt;&gt;0),(AC75*letrapeso(AC76)*$A$145+AD75*letrapeso(AD76)*$A$146)/(letrapeso(AC76)*$A$145+letrapeso(AD76)*$A$146),0)</f>
        <v>0</v>
      </c>
      <c r="AF75" s="259">
        <f>'Digitar aqui Notas e Pesos'!AB75</f>
        <v>0</v>
      </c>
      <c r="AG75" s="116">
        <f>'Digitar aqui Notas e Pesos'!AC75</f>
        <v>0</v>
      </c>
      <c r="AH75" s="573">
        <f>IF(AND(AF75&lt;&gt;0,AG75&lt;&gt;0,$C75&lt;&gt;0),(AF75*letrapeso(AF76)*$A$145+AG75*letrapeso(AG76)*$A$146)/(letrapeso(AF76)*$A$145+letrapeso(AG76)*$A$146),0)</f>
        <v>0</v>
      </c>
      <c r="AI75" s="8" t="str">
        <f>IF(letrapeso(C75),"Imprime","Não Imprime")</f>
        <v>Não Imprime</v>
      </c>
      <c r="AJ75" s="14" t="s">
        <v>28</v>
      </c>
      <c r="AK75" s="129">
        <f>G75*letrapeso(G76)*letrapeso($C75)</f>
        <v>0</v>
      </c>
      <c r="AL75" s="129">
        <f>H75*letrapeso(H76)*letrapeso($C75)</f>
        <v>0</v>
      </c>
      <c r="AM75" s="129">
        <f>J75*letrapeso(G76)*letrapeso($C75)</f>
        <v>0</v>
      </c>
      <c r="AN75" s="129">
        <f>K75*letrapeso(K76)*letrapeso($C75)</f>
        <v>0</v>
      </c>
      <c r="AO75" s="129">
        <f>L75*letrapeso(L76)*letrapeso($C75)</f>
        <v>0</v>
      </c>
      <c r="AP75" s="131"/>
      <c r="AQ75" s="129">
        <f>N75*letrapeso(N76)*letrapeso($C75)</f>
        <v>0</v>
      </c>
      <c r="AR75" s="129">
        <f>O75*letrapeso(O76)*letrapeso($C75)</f>
        <v>0</v>
      </c>
      <c r="AS75" s="131"/>
      <c r="AT75" s="129">
        <f>Q75*letrapeso(Q76)*letrapeso($C75)</f>
        <v>0</v>
      </c>
      <c r="AU75" s="129">
        <f>R75*letrapeso(R76)*letrapeso($C75)</f>
        <v>0</v>
      </c>
      <c r="AV75" s="131"/>
      <c r="AW75" s="129">
        <f>T75*letrapeso(T76)*letrapeso($C75)</f>
        <v>0</v>
      </c>
      <c r="AX75" s="129">
        <f>U75*letrapeso(U76)*letrapeso($C75)</f>
        <v>0</v>
      </c>
      <c r="AY75" s="131"/>
      <c r="AZ75" s="129">
        <f>W75*letrapeso(W76)*letrapeso($C75)</f>
        <v>0</v>
      </c>
      <c r="BA75" s="129">
        <f>X75*letrapeso(X76)*letrapeso($C75)</f>
        <v>0</v>
      </c>
      <c r="BB75" s="131"/>
      <c r="BC75" s="129">
        <f>Z75*letrapeso(Z76)*letrapeso($C75)</f>
        <v>0</v>
      </c>
      <c r="BD75" s="129">
        <f>AA75*letrapeso(AA76)*letrapeso($C75)</f>
        <v>0</v>
      </c>
      <c r="BE75" s="131"/>
      <c r="BF75" s="129">
        <f>AC75*letrapeso(AC76)*letrapeso($C75)</f>
        <v>0</v>
      </c>
      <c r="BG75" s="129">
        <f>AD75*letrapeso(AD76)*letrapeso($C75)</f>
        <v>0</v>
      </c>
      <c r="BH75" s="131"/>
      <c r="BI75" s="129">
        <f>AF75*letrapeso(AF76)*letrapeso($C75)</f>
        <v>0</v>
      </c>
      <c r="BJ75" s="129">
        <f>AG75*letrapeso(AG76)*letrapeso($C75)</f>
        <v>0</v>
      </c>
      <c r="BK75" s="131"/>
      <c r="BL75" s="171">
        <f>letrapeso(G76)</f>
        <v>0</v>
      </c>
      <c r="BM75" s="171">
        <f>letrapeso(H76)</f>
        <v>0</v>
      </c>
      <c r="BN75" s="41"/>
      <c r="BO75" s="171">
        <f>letrapeso(K76)</f>
        <v>0</v>
      </c>
      <c r="BP75" s="171">
        <f>letrapeso(L76)</f>
        <v>0</v>
      </c>
      <c r="BQ75" s="41"/>
      <c r="BR75" s="171">
        <f>letrapeso(N76)</f>
        <v>0</v>
      </c>
      <c r="BS75" s="171">
        <f>letrapeso(O76)</f>
        <v>0</v>
      </c>
      <c r="BT75" s="41"/>
      <c r="BU75" s="171">
        <f>letrapeso(Q76)</f>
        <v>0</v>
      </c>
      <c r="BV75" s="171">
        <f>letrapeso(R76)</f>
        <v>0</v>
      </c>
      <c r="BW75" s="41"/>
      <c r="BX75" s="171">
        <f>letrapeso(T76)</f>
        <v>0</v>
      </c>
      <c r="BY75" s="171">
        <f>letrapeso(U76)</f>
        <v>0</v>
      </c>
      <c r="BZ75" s="41"/>
      <c r="CA75" s="171">
        <f>letrapeso(W76)</f>
        <v>0</v>
      </c>
      <c r="CB75" s="171">
        <f>letrapeso(X76)</f>
        <v>0</v>
      </c>
      <c r="CC75" s="41"/>
      <c r="CD75" s="171">
        <f>letrapeso(Z76)</f>
        <v>0</v>
      </c>
      <c r="CE75" s="171">
        <f>letrapeso(AA76)</f>
        <v>0</v>
      </c>
      <c r="CF75" s="41"/>
      <c r="CG75" s="171">
        <f>letrapeso(AC76)</f>
        <v>0</v>
      </c>
      <c r="CH75" s="171">
        <f>letrapeso(AD76)</f>
        <v>0</v>
      </c>
      <c r="CI75" s="41"/>
      <c r="CJ75" s="171">
        <f>letrapeso(AF76)</f>
        <v>0</v>
      </c>
      <c r="CK75" s="171">
        <f>letrapeso(AG76)</f>
        <v>0</v>
      </c>
      <c r="CL75" s="41"/>
      <c r="CM75" s="41">
        <f>IF(ISTEXT($C75),(BL75+BO75+BR75+BU75+BX75+CA75+CD75+CG75+CJ75),0)</f>
        <v>0</v>
      </c>
      <c r="CN75" s="41">
        <f>IF(ISTEXT($C75),(BM75+BP75+BS75+BV75+BY75+CB75+CE75+CH75+CK75),0)</f>
        <v>0</v>
      </c>
    </row>
    <row r="76" spans="1:92" ht="15.75" hidden="1" thickBot="1" x14ac:dyDescent="0.25">
      <c r="A76" s="537" t="str">
        <f>TEXT(D75,"0,00")&amp;"       "&amp;TEXT(E75,"0,00")&amp;"       "&amp;TEXT(F75,"0,00")</f>
        <v>0,00       0,00       0,00</v>
      </c>
      <c r="B76" s="538"/>
      <c r="C76" s="230"/>
      <c r="D76" s="210"/>
      <c r="E76" s="208">
        <f>IF(ISTEXT($C76),(H76*letrapeso(H77)+#REF!*letrapeso(#REF!)+L76*letrapeso(L77)+O76*letrapeso(O77)+R76*letrapeso(R77)+#REF!*letrapeso(#REF!)+U76*letrapeso(U77)+X76*letrapeso(X77)+AA76*letrapeso(AA77)+AD76*letrapeso(AD77)+AG76*letrapeso(AG77))/(letrapeso(H77)+letrapeso(#REF!)+letrapeso(L77)+letrapeso(O77)+letrapeso(R77)+letrapeso(#REF!)+letrapeso(U77)+letrapeso(X77)+letrapeso(AA77)+letrapeso(AD77)+letrapeso(AG77)),0)</f>
        <v>0</v>
      </c>
      <c r="F76" s="209"/>
      <c r="G76" s="231" t="str">
        <f>PEsoLetra('Digitar aqui Notas e Pesos'!D76)</f>
        <v/>
      </c>
      <c r="H76" s="232" t="str">
        <f>PEsoLetra('Digitar aqui Notas e Pesos'!E76)</f>
        <v/>
      </c>
      <c r="I76" s="566"/>
      <c r="J76" s="490"/>
      <c r="K76" s="231" t="str">
        <f>PEsoLetra('Digitar aqui Notas e Pesos'!G76)</f>
        <v/>
      </c>
      <c r="L76" s="232" t="str">
        <f>PEsoLetra('Digitar aqui Notas e Pesos'!H76)</f>
        <v/>
      </c>
      <c r="M76" s="554"/>
      <c r="N76" s="231" t="str">
        <f>PEsoLetra('Digitar aqui Notas e Pesos'!J76)</f>
        <v/>
      </c>
      <c r="O76" s="232" t="str">
        <f>PEsoLetra('Digitar aqui Notas e Pesos'!K76)</f>
        <v/>
      </c>
      <c r="P76" s="554"/>
      <c r="Q76" s="231" t="str">
        <f>PEsoLetra('Digitar aqui Notas e Pesos'!M76)</f>
        <v/>
      </c>
      <c r="R76" s="232" t="str">
        <f>PEsoLetra('Digitar aqui Notas e Pesos'!N76)</f>
        <v/>
      </c>
      <c r="S76" s="554"/>
      <c r="T76" s="231" t="str">
        <f>PEsoLetra('Digitar aqui Notas e Pesos'!P76)</f>
        <v/>
      </c>
      <c r="U76" s="232" t="str">
        <f>PEsoLetra('Digitar aqui Notas e Pesos'!Q76)</f>
        <v/>
      </c>
      <c r="V76" s="554"/>
      <c r="W76" s="231" t="str">
        <f>PEsoLetra('Digitar aqui Notas e Pesos'!S76)</f>
        <v/>
      </c>
      <c r="X76" s="232" t="str">
        <f>PEsoLetra('Digitar aqui Notas e Pesos'!T76)</f>
        <v/>
      </c>
      <c r="Y76" s="554"/>
      <c r="Z76" s="231" t="str">
        <f>PEsoLetra('Digitar aqui Notas e Pesos'!V76)</f>
        <v/>
      </c>
      <c r="AA76" s="232" t="str">
        <f>PEsoLetra('Digitar aqui Notas e Pesos'!W76)</f>
        <v/>
      </c>
      <c r="AB76" s="554"/>
      <c r="AC76" s="231" t="str">
        <f>PEsoLetra('Digitar aqui Notas e Pesos'!Y76)</f>
        <v/>
      </c>
      <c r="AD76" s="232" t="str">
        <f>PEsoLetra('Digitar aqui Notas e Pesos'!Z76)</f>
        <v/>
      </c>
      <c r="AE76" s="554"/>
      <c r="AF76" s="231" t="str">
        <f>PEsoLetra('Digitar aqui Notas e Pesos'!AB76)</f>
        <v/>
      </c>
      <c r="AG76" s="232" t="str">
        <f>PEsoLetra('Digitar aqui Notas e Pesos'!AC76)</f>
        <v/>
      </c>
      <c r="AH76" s="574"/>
      <c r="AI76" s="19" t="str">
        <f>+AI75</f>
        <v>Não Imprime</v>
      </c>
      <c r="AJ76" s="1"/>
      <c r="AK76" s="130"/>
      <c r="AL76" s="130"/>
      <c r="AM76" s="130"/>
      <c r="AN76" s="130"/>
      <c r="AO76" s="130"/>
      <c r="AP76" s="131"/>
      <c r="AQ76" s="130"/>
      <c r="AR76" s="130"/>
      <c r="AS76" s="131"/>
      <c r="AT76" s="130"/>
      <c r="AU76" s="130"/>
      <c r="AV76" s="131"/>
      <c r="AW76" s="130"/>
      <c r="AX76" s="130"/>
      <c r="AY76" s="131"/>
      <c r="AZ76" s="130"/>
      <c r="BA76" s="130"/>
      <c r="BB76" s="131"/>
      <c r="BC76" s="130"/>
      <c r="BD76" s="130"/>
      <c r="BE76" s="131"/>
      <c r="BF76" s="130"/>
      <c r="BG76" s="130"/>
      <c r="BH76" s="131"/>
      <c r="BI76" s="130"/>
      <c r="BJ76" s="130"/>
      <c r="BK76" s="131"/>
      <c r="CM76" s="28"/>
      <c r="CN76" s="28"/>
    </row>
    <row r="77" spans="1:92" ht="15.75" hidden="1" thickBot="1" x14ac:dyDescent="0.25">
      <c r="A77" s="546" t="str">
        <f>'Digitar aqui Notas e Pesos'!A77</f>
        <v>Nome da Atividade 4 da Unidade 4</v>
      </c>
      <c r="B77" s="547"/>
      <c r="C77" s="229">
        <f>IF('Digitar aqui Notas e Pesos'!C77,PEsoLetra('Digitar aqui Notas e Pesos'!C77),0)</f>
        <v>0</v>
      </c>
      <c r="D77" s="208">
        <f>IF(ISTEXT($C77),(G77*letrapeso(G78)+K77*letrapeso(K78)+N77*letrapeso(N78)+Q77*letrapeso(Q78)+T77*letrapeso(T78)+W77*letrapeso(W78)+Z77*letrapeso(Z78)+AC77*letrapeso(AC78)+AF77*letrapeso(AF78))/(letrapeso(G78)+letrapeso(K78)+letrapeso(N78)+letrapeso(Q78)+letrapeso(T78)+letrapeso(W78)+letrapeso(Z78)+letrapeso(AC78)+letrapeso(AF78)),0)</f>
        <v>0</v>
      </c>
      <c r="E77" s="208">
        <f>IF(ISTEXT($C77),(H77*letrapeso(H78)+L77*letrapeso(L78)+O77*letrapeso(O78)+R77*letrapeso(R78)+U77*letrapeso(U78)+X77*letrapeso(X78)+AA77*letrapeso(AA78)+AD77*letrapeso(AD78)+AG77*letrapeso(AG78))/(letrapeso(H78)+letrapeso(L78)+letrapeso(O78)+letrapeso(R78)+letrapeso(U78)+letrapeso(X78)+letrapeso(AA78)+letrapeso(AD78)+letrapeso(AG78)),0)</f>
        <v>0</v>
      </c>
      <c r="F77" s="209">
        <f>IF(ISTEXT($C77),(D77*$A$145+E77*$A$146),0)</f>
        <v>0</v>
      </c>
      <c r="G77" s="259">
        <f>'Digitar aqui Notas e Pesos'!D77</f>
        <v>0</v>
      </c>
      <c r="H77" s="116">
        <f>'Digitar aqui Notas e Pesos'!E77</f>
        <v>0</v>
      </c>
      <c r="I77" s="565">
        <f>IF(AND(G77&lt;&gt;0,H77&lt;&gt;0,$C77&lt;&gt;0),(G77*letrapeso(G78)*$A$145+H77*letrapeso(H78)*$A$146)/(letrapeso(G78)*$A$145+letrapeso(H78)*$A$146),0)</f>
        <v>0</v>
      </c>
      <c r="J77" s="259">
        <f>'Digitar aqui Notas e Pesos'!F77</f>
        <v>0</v>
      </c>
      <c r="K77" s="259">
        <f>'Digitar aqui Notas e Pesos'!G77</f>
        <v>0</v>
      </c>
      <c r="L77" s="116">
        <f>'Digitar aqui Notas e Pesos'!H77</f>
        <v>0</v>
      </c>
      <c r="M77" s="553">
        <f>IF(AND(K77&lt;&gt;0,L77&lt;&gt;0,$C77&lt;&gt;0),(K77*letrapeso(K78)*$A$145+L77*letrapeso(L78)*$A$146)/(letrapeso(K78)*$A$145+letrapeso(L78)*$A$146),0)</f>
        <v>0</v>
      </c>
      <c r="N77" s="259">
        <f>'Digitar aqui Notas e Pesos'!J77</f>
        <v>0</v>
      </c>
      <c r="O77" s="116">
        <f>'Digitar aqui Notas e Pesos'!K77</f>
        <v>0</v>
      </c>
      <c r="P77" s="553">
        <f>IF(AND(N77&lt;&gt;0,O77&lt;&gt;0,$C77&lt;&gt;0),(N77*letrapeso(N78)*$A$145+O77*letrapeso(O78)*$A$146)/(letrapeso(N78)*$A$145+letrapeso(O78)*$A$146),0)</f>
        <v>0</v>
      </c>
      <c r="Q77" s="259">
        <f>'Digitar aqui Notas e Pesos'!M77</f>
        <v>0</v>
      </c>
      <c r="R77" s="116">
        <f>'Digitar aqui Notas e Pesos'!N77</f>
        <v>0</v>
      </c>
      <c r="S77" s="553">
        <f>IF(AND(Q77&lt;&gt;0,R77&lt;&gt;0,$C77&lt;&gt;0),(Q77*letrapeso(Q78)*$A$145+R77*letrapeso(R78)*$A$146)/(letrapeso(Q78)*$A$145+letrapeso(R78)*$A$146),0)</f>
        <v>0</v>
      </c>
      <c r="T77" s="259">
        <f>'Digitar aqui Notas e Pesos'!P77</f>
        <v>0</v>
      </c>
      <c r="U77" s="116">
        <f>'Digitar aqui Notas e Pesos'!Q77</f>
        <v>0</v>
      </c>
      <c r="V77" s="553">
        <f>IF(AND(T77&lt;&gt;0,U77&lt;&gt;0,$C77&lt;&gt;0),(T77*letrapeso(T78)*$A$145+U77*letrapeso(U78)*$A$146)/(letrapeso(T78)*$A$145+letrapeso(U78)*$A$146),0)</f>
        <v>0</v>
      </c>
      <c r="W77" s="259">
        <f>'Digitar aqui Notas e Pesos'!S77</f>
        <v>0</v>
      </c>
      <c r="X77" s="116">
        <f>'Digitar aqui Notas e Pesos'!T77</f>
        <v>0</v>
      </c>
      <c r="Y77" s="553">
        <f>IF(AND(W77&lt;&gt;0,X77&lt;&gt;0,$C77&lt;&gt;0),(W77*letrapeso(W78)*$A$145+X77*letrapeso(X78)*$A$146)/(letrapeso(W78)*$A$145+letrapeso(X78)*$A$146),0)</f>
        <v>0</v>
      </c>
      <c r="Z77" s="259">
        <f>'Digitar aqui Notas e Pesos'!V77</f>
        <v>0</v>
      </c>
      <c r="AA77" s="116">
        <f>'Digitar aqui Notas e Pesos'!W77</f>
        <v>0</v>
      </c>
      <c r="AB77" s="553">
        <f>IF(AND(Z77&lt;&gt;0,AA77&lt;&gt;0,$C77&lt;&gt;0),(Z77*letrapeso(Z78)*$A$145+AA77*letrapeso(AA78)*$A$146)/(letrapeso(Z78)*$A$145+letrapeso(AA78)*$A$146),0)</f>
        <v>0</v>
      </c>
      <c r="AC77" s="259">
        <f>'Digitar aqui Notas e Pesos'!Y77</f>
        <v>0</v>
      </c>
      <c r="AD77" s="116">
        <f>'Digitar aqui Notas e Pesos'!Z77</f>
        <v>0</v>
      </c>
      <c r="AE77" s="553">
        <f>IF(AND(AC77&lt;&gt;0,AD77&lt;&gt;0,$C77&lt;&gt;0),(AC77*letrapeso(AC78)*$A$145+AD77*letrapeso(AD78)*$A$146)/(letrapeso(AC78)*$A$145+letrapeso(AD78)*$A$146),0)</f>
        <v>0</v>
      </c>
      <c r="AF77" s="259">
        <f>'Digitar aqui Notas e Pesos'!AB77</f>
        <v>0</v>
      </c>
      <c r="AG77" s="116">
        <f>'Digitar aqui Notas e Pesos'!AC77</f>
        <v>0</v>
      </c>
      <c r="AH77" s="573">
        <f>IF(AND(AF77&lt;&gt;0,AG77&lt;&gt;0,$C77&lt;&gt;0),(AF77*letrapeso(AF78)*$A$145+AG77*letrapeso(AG78)*$A$146)/(letrapeso(AF78)*$A$145+letrapeso(AG78)*$A$146),0)</f>
        <v>0</v>
      </c>
      <c r="AI77" s="8" t="str">
        <f>IF(letrapeso(C77),"Imprime","Não Imprime")</f>
        <v>Não Imprime</v>
      </c>
      <c r="AJ77" s="14" t="s">
        <v>28</v>
      </c>
      <c r="AK77" s="129">
        <f>G77*letrapeso(G78)*letrapeso($C77)</f>
        <v>0</v>
      </c>
      <c r="AL77" s="129">
        <f>H77*letrapeso(H78)*letrapeso($C77)</f>
        <v>0</v>
      </c>
      <c r="AM77" s="129">
        <f>J77*letrapeso(G78)*letrapeso($C77)</f>
        <v>0</v>
      </c>
      <c r="AN77" s="129">
        <f>K77*letrapeso(K78)*letrapeso($C77)</f>
        <v>0</v>
      </c>
      <c r="AO77" s="129">
        <f>L77*letrapeso(L78)*letrapeso($C77)</f>
        <v>0</v>
      </c>
      <c r="AP77" s="131"/>
      <c r="AQ77" s="129">
        <f>N77*letrapeso(N78)*letrapeso($C77)</f>
        <v>0</v>
      </c>
      <c r="AR77" s="129">
        <f>O77*letrapeso(O78)*letrapeso($C77)</f>
        <v>0</v>
      </c>
      <c r="AS77" s="131"/>
      <c r="AT77" s="129">
        <f>Q77*letrapeso(Q78)*letrapeso($C77)</f>
        <v>0</v>
      </c>
      <c r="AU77" s="129">
        <f>R77*letrapeso(R78)*letrapeso($C77)</f>
        <v>0</v>
      </c>
      <c r="AV77" s="131"/>
      <c r="AW77" s="129">
        <f>T77*letrapeso(T78)*letrapeso($C77)</f>
        <v>0</v>
      </c>
      <c r="AX77" s="129">
        <f>U77*letrapeso(U78)*letrapeso($C77)</f>
        <v>0</v>
      </c>
      <c r="AY77" s="131"/>
      <c r="AZ77" s="129">
        <f>W77*letrapeso(W78)*letrapeso($C77)</f>
        <v>0</v>
      </c>
      <c r="BA77" s="129">
        <f>X77*letrapeso(X78)*letrapeso($C77)</f>
        <v>0</v>
      </c>
      <c r="BB77" s="131"/>
      <c r="BC77" s="129">
        <f>Z77*letrapeso(Z78)*letrapeso($C77)</f>
        <v>0</v>
      </c>
      <c r="BD77" s="129">
        <f>AA77*letrapeso(AA78)*letrapeso($C77)</f>
        <v>0</v>
      </c>
      <c r="BE77" s="131"/>
      <c r="BF77" s="129">
        <f>AC77*letrapeso(AC78)*letrapeso($C77)</f>
        <v>0</v>
      </c>
      <c r="BG77" s="129">
        <f>AD77*letrapeso(AD78)*letrapeso($C77)</f>
        <v>0</v>
      </c>
      <c r="BH77" s="131"/>
      <c r="BI77" s="129">
        <f>AF77*letrapeso(AF78)*letrapeso($C77)</f>
        <v>0</v>
      </c>
      <c r="BJ77" s="129">
        <f>AG77*letrapeso(AG78)*letrapeso($C77)</f>
        <v>0</v>
      </c>
      <c r="BK77" s="131"/>
      <c r="BL77" s="171">
        <f>letrapeso(G78)</f>
        <v>0</v>
      </c>
      <c r="BM77" s="171">
        <f>letrapeso(H78)</f>
        <v>0</v>
      </c>
      <c r="BN77" s="41"/>
      <c r="BO77" s="171">
        <f>letrapeso(K78)</f>
        <v>0</v>
      </c>
      <c r="BP77" s="171">
        <f>letrapeso(L78)</f>
        <v>0</v>
      </c>
      <c r="BQ77" s="41"/>
      <c r="BR77" s="171">
        <f>letrapeso(N78)</f>
        <v>0</v>
      </c>
      <c r="BS77" s="171">
        <f>letrapeso(O78)</f>
        <v>0</v>
      </c>
      <c r="BT77" s="41"/>
      <c r="BU77" s="171">
        <f>letrapeso(Q78)</f>
        <v>0</v>
      </c>
      <c r="BV77" s="171">
        <f>letrapeso(R78)</f>
        <v>0</v>
      </c>
      <c r="BW77" s="41"/>
      <c r="BX77" s="171">
        <f>letrapeso(T78)</f>
        <v>0</v>
      </c>
      <c r="BY77" s="171">
        <f>letrapeso(U78)</f>
        <v>0</v>
      </c>
      <c r="BZ77" s="41"/>
      <c r="CA77" s="171">
        <f>letrapeso(W78)</f>
        <v>0</v>
      </c>
      <c r="CB77" s="171">
        <f>letrapeso(X78)</f>
        <v>0</v>
      </c>
      <c r="CC77" s="41"/>
      <c r="CD77" s="171">
        <f>letrapeso(Z78)</f>
        <v>0</v>
      </c>
      <c r="CE77" s="171">
        <f>letrapeso(AA78)</f>
        <v>0</v>
      </c>
      <c r="CF77" s="41"/>
      <c r="CG77" s="171">
        <f>letrapeso(AC78)</f>
        <v>0</v>
      </c>
      <c r="CH77" s="171">
        <f>letrapeso(AD78)</f>
        <v>0</v>
      </c>
      <c r="CI77" s="41"/>
      <c r="CJ77" s="171">
        <f>letrapeso(AF78)</f>
        <v>0</v>
      </c>
      <c r="CK77" s="171">
        <f>letrapeso(AG78)</f>
        <v>0</v>
      </c>
      <c r="CL77" s="41"/>
      <c r="CM77" s="41">
        <f>IF(ISTEXT($C77),(BL77+BO77+BR77+BU77+BX77+CA77+CD77+CG77+CJ77),0)</f>
        <v>0</v>
      </c>
      <c r="CN77" s="41">
        <f>IF(ISTEXT($C77),(BM77+BP77+BS77+BV77+BY77+CB77+CE77+CH77+CK77),0)</f>
        <v>0</v>
      </c>
    </row>
    <row r="78" spans="1:92" ht="15.75" hidden="1" thickBot="1" x14ac:dyDescent="0.25">
      <c r="A78" s="537" t="str">
        <f>TEXT(D77,"0,00")&amp;"       "&amp;TEXT(E77,"0,00")&amp;"       "&amp;TEXT(F77,"0,00")</f>
        <v>0,00       0,00       0,00</v>
      </c>
      <c r="B78" s="538"/>
      <c r="C78" s="230"/>
      <c r="D78" s="210"/>
      <c r="E78" s="208">
        <f>IF(ISTEXT($C78),(H78*letrapeso(H79)+#REF!*letrapeso(#REF!)+L78*letrapeso(L79)+O78*letrapeso(O79)+R78*letrapeso(R79)+#REF!*letrapeso(#REF!)+U78*letrapeso(U79)+X78*letrapeso(X79)+AA78*letrapeso(AA79)+AD78*letrapeso(AD79)+AG78*letrapeso(AG79))/(letrapeso(H79)+letrapeso(#REF!)+letrapeso(L79)+letrapeso(O79)+letrapeso(R79)+letrapeso(#REF!)+letrapeso(U79)+letrapeso(X79)+letrapeso(AA79)+letrapeso(AD79)+letrapeso(AG79)),0)</f>
        <v>0</v>
      </c>
      <c r="F78" s="209"/>
      <c r="G78" s="231" t="str">
        <f>PEsoLetra('Digitar aqui Notas e Pesos'!D78)</f>
        <v/>
      </c>
      <c r="H78" s="232" t="str">
        <f>PEsoLetra('Digitar aqui Notas e Pesos'!E78)</f>
        <v/>
      </c>
      <c r="I78" s="566"/>
      <c r="J78" s="490"/>
      <c r="K78" s="231" t="str">
        <f>PEsoLetra('Digitar aqui Notas e Pesos'!G78)</f>
        <v/>
      </c>
      <c r="L78" s="232" t="str">
        <f>PEsoLetra('Digitar aqui Notas e Pesos'!H78)</f>
        <v/>
      </c>
      <c r="M78" s="554"/>
      <c r="N78" s="231" t="str">
        <f>PEsoLetra('Digitar aqui Notas e Pesos'!J78)</f>
        <v/>
      </c>
      <c r="O78" s="232" t="str">
        <f>PEsoLetra('Digitar aqui Notas e Pesos'!K78)</f>
        <v/>
      </c>
      <c r="P78" s="554"/>
      <c r="Q78" s="231" t="str">
        <f>PEsoLetra('Digitar aqui Notas e Pesos'!M78)</f>
        <v/>
      </c>
      <c r="R78" s="232" t="str">
        <f>PEsoLetra('Digitar aqui Notas e Pesos'!N78)</f>
        <v/>
      </c>
      <c r="S78" s="554"/>
      <c r="T78" s="231" t="str">
        <f>PEsoLetra('Digitar aqui Notas e Pesos'!P78)</f>
        <v/>
      </c>
      <c r="U78" s="232" t="str">
        <f>PEsoLetra('Digitar aqui Notas e Pesos'!Q78)</f>
        <v/>
      </c>
      <c r="V78" s="554"/>
      <c r="W78" s="231" t="str">
        <f>PEsoLetra('Digitar aqui Notas e Pesos'!S78)</f>
        <v/>
      </c>
      <c r="X78" s="232" t="str">
        <f>PEsoLetra('Digitar aqui Notas e Pesos'!T78)</f>
        <v/>
      </c>
      <c r="Y78" s="554"/>
      <c r="Z78" s="231" t="str">
        <f>PEsoLetra('Digitar aqui Notas e Pesos'!V78)</f>
        <v/>
      </c>
      <c r="AA78" s="232" t="str">
        <f>PEsoLetra('Digitar aqui Notas e Pesos'!W78)</f>
        <v/>
      </c>
      <c r="AB78" s="554"/>
      <c r="AC78" s="231" t="str">
        <f>PEsoLetra('Digitar aqui Notas e Pesos'!Y78)</f>
        <v/>
      </c>
      <c r="AD78" s="232" t="str">
        <f>PEsoLetra('Digitar aqui Notas e Pesos'!Z78)</f>
        <v/>
      </c>
      <c r="AE78" s="554"/>
      <c r="AF78" s="231" t="str">
        <f>PEsoLetra('Digitar aqui Notas e Pesos'!AB78)</f>
        <v/>
      </c>
      <c r="AG78" s="232" t="str">
        <f>PEsoLetra('Digitar aqui Notas e Pesos'!AC78)</f>
        <v/>
      </c>
      <c r="AH78" s="574"/>
      <c r="AI78" s="19" t="str">
        <f>+AI77</f>
        <v>Não Imprime</v>
      </c>
      <c r="AJ78" s="1"/>
      <c r="AK78" s="130"/>
      <c r="AL78" s="130"/>
      <c r="AM78" s="130"/>
      <c r="AN78" s="130"/>
      <c r="AO78" s="130"/>
      <c r="AP78" s="131"/>
      <c r="AQ78" s="130"/>
      <c r="AR78" s="130"/>
      <c r="AS78" s="131"/>
      <c r="AT78" s="130"/>
      <c r="AU78" s="130"/>
      <c r="AV78" s="131"/>
      <c r="AW78" s="130"/>
      <c r="AX78" s="130"/>
      <c r="AY78" s="131"/>
      <c r="AZ78" s="130"/>
      <c r="BA78" s="130"/>
      <c r="BB78" s="131"/>
      <c r="BC78" s="130"/>
      <c r="BD78" s="130"/>
      <c r="BE78" s="131"/>
      <c r="BF78" s="130"/>
      <c r="BG78" s="130"/>
      <c r="BH78" s="131"/>
      <c r="BI78" s="130"/>
      <c r="BJ78" s="130"/>
      <c r="BK78" s="131"/>
      <c r="CM78" s="28"/>
      <c r="CN78" s="28"/>
    </row>
    <row r="79" spans="1:92" ht="15.75" hidden="1" thickBot="1" x14ac:dyDescent="0.25">
      <c r="A79" s="546" t="str">
        <f>'Digitar aqui Notas e Pesos'!A79</f>
        <v>Nome da Atividade 5 da Unidade 4</v>
      </c>
      <c r="B79" s="547"/>
      <c r="C79" s="229">
        <f>IF('Digitar aqui Notas e Pesos'!C79,PEsoLetra('Digitar aqui Notas e Pesos'!C79),0)</f>
        <v>0</v>
      </c>
      <c r="D79" s="208">
        <f>IF(ISTEXT($C79),(G79*letrapeso(G80)+K79*letrapeso(K80)+N79*letrapeso(N80)+Q79*letrapeso(Q80)+T79*letrapeso(T80)+W79*letrapeso(W80)+Z79*letrapeso(Z80)+AC79*letrapeso(AC80)+AF79*letrapeso(AF80))/(letrapeso(G80)+letrapeso(K80)+letrapeso(N80)+letrapeso(Q80)+letrapeso(T80)+letrapeso(W80)+letrapeso(Z80)+letrapeso(AC80)+letrapeso(AF80)),0)</f>
        <v>0</v>
      </c>
      <c r="E79" s="208">
        <f>IF(ISTEXT($C79),(H79*letrapeso(H80)+L79*letrapeso(L80)+O79*letrapeso(O80)+R79*letrapeso(R80)+U79*letrapeso(U80)+X79*letrapeso(X80)+AA79*letrapeso(AA80)+AD79*letrapeso(AD80)+AG79*letrapeso(AG80))/(letrapeso(H80)+letrapeso(L80)+letrapeso(O80)+letrapeso(R80)+letrapeso(U80)+letrapeso(X80)+letrapeso(AA80)+letrapeso(AD80)+letrapeso(AG80)),0)</f>
        <v>0</v>
      </c>
      <c r="F79" s="209">
        <f>IF(ISTEXT($C79),(D79*$A$145+E79*$A$146),0)</f>
        <v>0</v>
      </c>
      <c r="G79" s="259">
        <f>'Digitar aqui Notas e Pesos'!D79</f>
        <v>0</v>
      </c>
      <c r="H79" s="116">
        <f>'Digitar aqui Notas e Pesos'!E79</f>
        <v>0</v>
      </c>
      <c r="I79" s="565">
        <f>IF(AND(G79&lt;&gt;0,H79&lt;&gt;0,$C79&lt;&gt;0),(G79*letrapeso(G80)*$A$145+H79*letrapeso(H80)*$A$146)/(letrapeso(G80)*$A$145+letrapeso(H80)*$A$146),0)</f>
        <v>0</v>
      </c>
      <c r="J79" s="259">
        <f>'Digitar aqui Notas e Pesos'!F79</f>
        <v>0</v>
      </c>
      <c r="K79" s="259">
        <f>'Digitar aqui Notas e Pesos'!G79</f>
        <v>0</v>
      </c>
      <c r="L79" s="116">
        <f>'Digitar aqui Notas e Pesos'!H79</f>
        <v>0</v>
      </c>
      <c r="M79" s="553">
        <f>IF(AND(K79&lt;&gt;0,L79&lt;&gt;0,$C79&lt;&gt;0),(K79*letrapeso(K80)*$A$145+L79*letrapeso(L80)*$A$146)/(letrapeso(K80)*$A$145+letrapeso(L80)*$A$146),0)</f>
        <v>0</v>
      </c>
      <c r="N79" s="259">
        <f>'Digitar aqui Notas e Pesos'!J79</f>
        <v>0</v>
      </c>
      <c r="O79" s="116">
        <f>'Digitar aqui Notas e Pesos'!K79</f>
        <v>0</v>
      </c>
      <c r="P79" s="553">
        <f>IF(AND(N79&lt;&gt;0,O79&lt;&gt;0,$C79&lt;&gt;0),(N79*letrapeso(N80)*$A$145+O79*letrapeso(O80)*$A$146)/(letrapeso(N80)*$A$145+letrapeso(O80)*$A$146),0)</f>
        <v>0</v>
      </c>
      <c r="Q79" s="259">
        <f>'Digitar aqui Notas e Pesos'!M79</f>
        <v>0</v>
      </c>
      <c r="R79" s="116">
        <f>'Digitar aqui Notas e Pesos'!N79</f>
        <v>0</v>
      </c>
      <c r="S79" s="553">
        <f>IF(AND(Q79&lt;&gt;0,R79&lt;&gt;0,$C79&lt;&gt;0),(Q79*letrapeso(Q80)*$A$145+R79*letrapeso(R80)*$A$146)/(letrapeso(Q80)*$A$145+letrapeso(R80)*$A$146),0)</f>
        <v>0</v>
      </c>
      <c r="T79" s="259">
        <f>'Digitar aqui Notas e Pesos'!P79</f>
        <v>0</v>
      </c>
      <c r="U79" s="116">
        <f>'Digitar aqui Notas e Pesos'!Q79</f>
        <v>0</v>
      </c>
      <c r="V79" s="553">
        <f>IF(AND(T79&lt;&gt;0,U79&lt;&gt;0,$C79&lt;&gt;0),(T79*letrapeso(T80)*$A$145+U79*letrapeso(U80)*$A$146)/(letrapeso(T80)*$A$145+letrapeso(U80)*$A$146),0)</f>
        <v>0</v>
      </c>
      <c r="W79" s="259">
        <f>'Digitar aqui Notas e Pesos'!S79</f>
        <v>0</v>
      </c>
      <c r="X79" s="116">
        <f>'Digitar aqui Notas e Pesos'!T79</f>
        <v>0</v>
      </c>
      <c r="Y79" s="553">
        <f>IF(AND(W79&lt;&gt;0,X79&lt;&gt;0,$C79&lt;&gt;0),(W79*letrapeso(W80)*$A$145+X79*letrapeso(X80)*$A$146)/(letrapeso(W80)*$A$145+letrapeso(X80)*$A$146),0)</f>
        <v>0</v>
      </c>
      <c r="Z79" s="259">
        <f>'Digitar aqui Notas e Pesos'!V79</f>
        <v>0</v>
      </c>
      <c r="AA79" s="116">
        <f>'Digitar aqui Notas e Pesos'!W79</f>
        <v>0</v>
      </c>
      <c r="AB79" s="553">
        <f>IF(AND(Z79&lt;&gt;0,AA79&lt;&gt;0,$C79&lt;&gt;0),(Z79*letrapeso(Z80)*$A$145+AA79*letrapeso(AA80)*$A$146)/(letrapeso(Z80)*$A$145+letrapeso(AA80)*$A$146),0)</f>
        <v>0</v>
      </c>
      <c r="AC79" s="259">
        <f>'Digitar aqui Notas e Pesos'!Y79</f>
        <v>0</v>
      </c>
      <c r="AD79" s="116">
        <f>'Digitar aqui Notas e Pesos'!Z79</f>
        <v>0</v>
      </c>
      <c r="AE79" s="553">
        <f>IF(AND(AC79&lt;&gt;0,AD79&lt;&gt;0,$C79&lt;&gt;0),(AC79*letrapeso(AC80)*$A$145+AD79*letrapeso(AD80)*$A$146)/(letrapeso(AC80)*$A$145+letrapeso(AD80)*$A$146),0)</f>
        <v>0</v>
      </c>
      <c r="AF79" s="259">
        <f>'Digitar aqui Notas e Pesos'!AB79</f>
        <v>0</v>
      </c>
      <c r="AG79" s="116">
        <f>'Digitar aqui Notas e Pesos'!AC79</f>
        <v>0</v>
      </c>
      <c r="AH79" s="573">
        <f>IF(AND(AF79&lt;&gt;0,AG79&lt;&gt;0,$C79&lt;&gt;0),(AF79*letrapeso(AF80)*$A$145+AG79*letrapeso(AG80)*$A$146)/(letrapeso(AF80)*$A$145+letrapeso(AG80)*$A$146),0)</f>
        <v>0</v>
      </c>
      <c r="AI79" s="8" t="str">
        <f>IF(letrapeso(C79),"Imprime","Não Imprime")</f>
        <v>Não Imprime</v>
      </c>
      <c r="AJ79" s="14" t="s">
        <v>28</v>
      </c>
      <c r="AK79" s="129">
        <f>G79*letrapeso(G80)*letrapeso($C79)</f>
        <v>0</v>
      </c>
      <c r="AL79" s="129">
        <f>H79*letrapeso(H80)*letrapeso($C79)</f>
        <v>0</v>
      </c>
      <c r="AM79" s="129">
        <f>J79*letrapeso(G80)*letrapeso($C79)</f>
        <v>0</v>
      </c>
      <c r="AN79" s="129">
        <f>K79*letrapeso(K80)*letrapeso($C79)</f>
        <v>0</v>
      </c>
      <c r="AO79" s="129">
        <f>L79*letrapeso(L80)*letrapeso($C79)</f>
        <v>0</v>
      </c>
      <c r="AP79" s="131"/>
      <c r="AQ79" s="129">
        <f>N79*letrapeso(N80)*letrapeso($C79)</f>
        <v>0</v>
      </c>
      <c r="AR79" s="129">
        <f>O79*letrapeso(O80)*letrapeso($C79)</f>
        <v>0</v>
      </c>
      <c r="AS79" s="131"/>
      <c r="AT79" s="129">
        <f>Q79*letrapeso(Q80)*letrapeso($C79)</f>
        <v>0</v>
      </c>
      <c r="AU79" s="129">
        <f>R79*letrapeso(R80)*letrapeso($C79)</f>
        <v>0</v>
      </c>
      <c r="AV79" s="131"/>
      <c r="AW79" s="129">
        <f>T79*letrapeso(T80)*letrapeso($C79)</f>
        <v>0</v>
      </c>
      <c r="AX79" s="129">
        <f>U79*letrapeso(U80)*letrapeso($C79)</f>
        <v>0</v>
      </c>
      <c r="AY79" s="131"/>
      <c r="AZ79" s="129">
        <f>W79*letrapeso(W80)*letrapeso($C79)</f>
        <v>0</v>
      </c>
      <c r="BA79" s="129">
        <f>X79*letrapeso(X80)*letrapeso($C79)</f>
        <v>0</v>
      </c>
      <c r="BB79" s="131"/>
      <c r="BC79" s="129">
        <f>Z79*letrapeso(Z80)*letrapeso($C79)</f>
        <v>0</v>
      </c>
      <c r="BD79" s="129">
        <f>AA79*letrapeso(AA80)*letrapeso($C79)</f>
        <v>0</v>
      </c>
      <c r="BE79" s="131"/>
      <c r="BF79" s="129">
        <f>AC79*letrapeso(AC80)*letrapeso($C79)</f>
        <v>0</v>
      </c>
      <c r="BG79" s="129">
        <f>AD79*letrapeso(AD80)*letrapeso($C79)</f>
        <v>0</v>
      </c>
      <c r="BH79" s="131"/>
      <c r="BI79" s="129">
        <f>AF79*letrapeso(AF80)*letrapeso($C79)</f>
        <v>0</v>
      </c>
      <c r="BJ79" s="129">
        <f>AG79*letrapeso(AG80)*letrapeso($C79)</f>
        <v>0</v>
      </c>
      <c r="BK79" s="131"/>
      <c r="BL79" s="171">
        <f>letrapeso(G80)</f>
        <v>0</v>
      </c>
      <c r="BM79" s="171">
        <f>letrapeso(H80)</f>
        <v>0</v>
      </c>
      <c r="BN79" s="41"/>
      <c r="BO79" s="171">
        <f>letrapeso(K80)</f>
        <v>0</v>
      </c>
      <c r="BP79" s="171">
        <f>letrapeso(L80)</f>
        <v>0</v>
      </c>
      <c r="BQ79" s="41"/>
      <c r="BR79" s="171">
        <f>letrapeso(N80)</f>
        <v>0</v>
      </c>
      <c r="BS79" s="171">
        <f>letrapeso(O80)</f>
        <v>0</v>
      </c>
      <c r="BT79" s="41"/>
      <c r="BU79" s="171">
        <f>letrapeso(Q80)</f>
        <v>0</v>
      </c>
      <c r="BV79" s="171">
        <f>letrapeso(R80)</f>
        <v>0</v>
      </c>
      <c r="BW79" s="41"/>
      <c r="BX79" s="171">
        <f>letrapeso(T80)</f>
        <v>0</v>
      </c>
      <c r="BY79" s="171">
        <f>letrapeso(U80)</f>
        <v>0</v>
      </c>
      <c r="BZ79" s="41"/>
      <c r="CA79" s="171">
        <f>letrapeso(W80)</f>
        <v>0</v>
      </c>
      <c r="CB79" s="171">
        <f>letrapeso(X80)</f>
        <v>0</v>
      </c>
      <c r="CC79" s="41"/>
      <c r="CD79" s="171">
        <f>letrapeso(Z80)</f>
        <v>0</v>
      </c>
      <c r="CE79" s="171">
        <f>letrapeso(AA80)</f>
        <v>0</v>
      </c>
      <c r="CF79" s="41"/>
      <c r="CG79" s="171">
        <f>letrapeso(AC80)</f>
        <v>0</v>
      </c>
      <c r="CH79" s="171">
        <f>letrapeso(AD80)</f>
        <v>0</v>
      </c>
      <c r="CI79" s="41"/>
      <c r="CJ79" s="171">
        <f>letrapeso(AF80)</f>
        <v>0</v>
      </c>
      <c r="CK79" s="171">
        <f>letrapeso(AG80)</f>
        <v>0</v>
      </c>
      <c r="CL79" s="41"/>
      <c r="CM79" s="41">
        <f>IF(ISTEXT($C79),(BL79+BO79+BR79+BU79+BX79+CA79+CD79+CG79+CJ79),0)</f>
        <v>0</v>
      </c>
      <c r="CN79" s="41">
        <f>IF(ISTEXT($C79),(BM79+BP79+BS79+BV79+BY79+CB79+CE79+CH79+CK79),0)</f>
        <v>0</v>
      </c>
    </row>
    <row r="80" spans="1:92" ht="15.75" hidden="1" thickBot="1" x14ac:dyDescent="0.25">
      <c r="A80" s="537" t="str">
        <f>TEXT(D79,"0,00")&amp;"       "&amp;TEXT(E79,"0,00")&amp;"       "&amp;TEXT(F79,"0,00")</f>
        <v>0,00       0,00       0,00</v>
      </c>
      <c r="B80" s="538"/>
      <c r="C80" s="230"/>
      <c r="D80" s="210"/>
      <c r="E80" s="208">
        <f>IF(ISTEXT($C80),(H80*letrapeso(H81)+#REF!*letrapeso(#REF!)+L80*letrapeso(L81)+O80*letrapeso(O81)+R80*letrapeso(R81)+#REF!*letrapeso(#REF!)+U80*letrapeso(U81)+X80*letrapeso(X81)+AA80*letrapeso(AA81)+AD80*letrapeso(AD81)+AG80*letrapeso(AG81))/(letrapeso(H81)+letrapeso(#REF!)+letrapeso(L81)+letrapeso(O81)+letrapeso(R81)+letrapeso(#REF!)+letrapeso(U81)+letrapeso(X81)+letrapeso(AA81)+letrapeso(AD81)+letrapeso(AG81)),0)</f>
        <v>0</v>
      </c>
      <c r="F80" s="209"/>
      <c r="G80" s="231" t="str">
        <f>PEsoLetra('Digitar aqui Notas e Pesos'!D80)</f>
        <v/>
      </c>
      <c r="H80" s="232" t="str">
        <f>PEsoLetra('Digitar aqui Notas e Pesos'!E80)</f>
        <v/>
      </c>
      <c r="I80" s="566"/>
      <c r="J80" s="490"/>
      <c r="K80" s="231" t="str">
        <f>PEsoLetra('Digitar aqui Notas e Pesos'!G80)</f>
        <v/>
      </c>
      <c r="L80" s="232" t="str">
        <f>PEsoLetra('Digitar aqui Notas e Pesos'!H80)</f>
        <v/>
      </c>
      <c r="M80" s="554"/>
      <c r="N80" s="231" t="str">
        <f>PEsoLetra('Digitar aqui Notas e Pesos'!J80)</f>
        <v/>
      </c>
      <c r="O80" s="232" t="str">
        <f>PEsoLetra('Digitar aqui Notas e Pesos'!K80)</f>
        <v/>
      </c>
      <c r="P80" s="554"/>
      <c r="Q80" s="231" t="str">
        <f>PEsoLetra('Digitar aqui Notas e Pesos'!M80)</f>
        <v/>
      </c>
      <c r="R80" s="232" t="str">
        <f>PEsoLetra('Digitar aqui Notas e Pesos'!N80)</f>
        <v/>
      </c>
      <c r="S80" s="554"/>
      <c r="T80" s="231" t="str">
        <f>PEsoLetra('Digitar aqui Notas e Pesos'!P80)</f>
        <v/>
      </c>
      <c r="U80" s="232" t="str">
        <f>PEsoLetra('Digitar aqui Notas e Pesos'!Q80)</f>
        <v/>
      </c>
      <c r="V80" s="554"/>
      <c r="W80" s="231" t="str">
        <f>PEsoLetra('Digitar aqui Notas e Pesos'!S80)</f>
        <v/>
      </c>
      <c r="X80" s="232" t="str">
        <f>PEsoLetra('Digitar aqui Notas e Pesos'!T80)</f>
        <v/>
      </c>
      <c r="Y80" s="554"/>
      <c r="Z80" s="231" t="str">
        <f>PEsoLetra('Digitar aqui Notas e Pesos'!V80)</f>
        <v/>
      </c>
      <c r="AA80" s="232" t="str">
        <f>PEsoLetra('Digitar aqui Notas e Pesos'!W80)</f>
        <v/>
      </c>
      <c r="AB80" s="554"/>
      <c r="AC80" s="231" t="str">
        <f>PEsoLetra('Digitar aqui Notas e Pesos'!Y80)</f>
        <v/>
      </c>
      <c r="AD80" s="232" t="str">
        <f>PEsoLetra('Digitar aqui Notas e Pesos'!Z80)</f>
        <v/>
      </c>
      <c r="AE80" s="554"/>
      <c r="AF80" s="231" t="str">
        <f>PEsoLetra('Digitar aqui Notas e Pesos'!AB80)</f>
        <v/>
      </c>
      <c r="AG80" s="232" t="str">
        <f>PEsoLetra('Digitar aqui Notas e Pesos'!AC80)</f>
        <v/>
      </c>
      <c r="AH80" s="574"/>
      <c r="AI80" s="19" t="str">
        <f>+AI79</f>
        <v>Não Imprime</v>
      </c>
      <c r="AJ80" s="1"/>
      <c r="AK80" s="130"/>
      <c r="AL80" s="130"/>
      <c r="AM80" s="130"/>
      <c r="AN80" s="130"/>
      <c r="AO80" s="130"/>
      <c r="AP80" s="131"/>
      <c r="AQ80" s="130"/>
      <c r="AR80" s="130"/>
      <c r="AS80" s="131"/>
      <c r="AT80" s="130"/>
      <c r="AU80" s="130"/>
      <c r="AV80" s="131"/>
      <c r="AW80" s="130"/>
      <c r="AX80" s="130"/>
      <c r="AY80" s="131"/>
      <c r="AZ80" s="130"/>
      <c r="BA80" s="130"/>
      <c r="BB80" s="131"/>
      <c r="BC80" s="130"/>
      <c r="BD80" s="130"/>
      <c r="BE80" s="131"/>
      <c r="BF80" s="130"/>
      <c r="BG80" s="130"/>
      <c r="BH80" s="131"/>
      <c r="BI80" s="130"/>
      <c r="BJ80" s="130"/>
      <c r="BK80" s="131"/>
      <c r="CM80" s="28"/>
      <c r="CN80" s="28"/>
    </row>
    <row r="81" spans="1:92" ht="15.75" hidden="1" thickBot="1" x14ac:dyDescent="0.25">
      <c r="A81" s="546" t="str">
        <f>'Digitar aqui Notas e Pesos'!A81</f>
        <v>Nome da Atividade 6 da Unidade 4</v>
      </c>
      <c r="B81" s="547"/>
      <c r="C81" s="229">
        <f>IF('Digitar aqui Notas e Pesos'!C81,PEsoLetra('Digitar aqui Notas e Pesos'!C81),0)</f>
        <v>0</v>
      </c>
      <c r="D81" s="208">
        <f>IF(ISTEXT($C81),(G81*letrapeso(G82)+K81*letrapeso(K82)+N81*letrapeso(N82)+Q81*letrapeso(Q82)+T81*letrapeso(T82)+W81*letrapeso(W82)+Z81*letrapeso(Z82)+AC81*letrapeso(AC82)+AF81*letrapeso(AF82))/(letrapeso(G82)+letrapeso(K82)+letrapeso(N82)+letrapeso(Q82)+letrapeso(T82)+letrapeso(W82)+letrapeso(Z82)+letrapeso(AC82)+letrapeso(AF82)),0)</f>
        <v>0</v>
      </c>
      <c r="E81" s="208">
        <f>IF(ISTEXT($C81),(H81*letrapeso(H82)+L81*letrapeso(L82)+O81*letrapeso(O82)+R81*letrapeso(R82)+U81*letrapeso(U82)+X81*letrapeso(X82)+AA81*letrapeso(AA82)+AD81*letrapeso(AD82)+AG81*letrapeso(AG82))/(letrapeso(H82)+letrapeso(L82)+letrapeso(O82)+letrapeso(R82)+letrapeso(U82)+letrapeso(X82)+letrapeso(AA82)+letrapeso(AD82)+letrapeso(AG82)),0)</f>
        <v>0</v>
      </c>
      <c r="F81" s="209">
        <f>IF(ISTEXT($C81),(D81*$A$145+E81*$A$146),0)</f>
        <v>0</v>
      </c>
      <c r="G81" s="259">
        <f>'Digitar aqui Notas e Pesos'!D81</f>
        <v>0</v>
      </c>
      <c r="H81" s="116">
        <f>'Digitar aqui Notas e Pesos'!E81</f>
        <v>0</v>
      </c>
      <c r="I81" s="565">
        <f>IF(AND(G81&lt;&gt;0,H81&lt;&gt;0,$C81&lt;&gt;0),(G81*letrapeso(G82)*$A$145+H81*letrapeso(H82)*$A$146)/(letrapeso(G82)*$A$145+letrapeso(H82)*$A$146),0)</f>
        <v>0</v>
      </c>
      <c r="J81" s="259">
        <f>'Digitar aqui Notas e Pesos'!F81</f>
        <v>0</v>
      </c>
      <c r="K81" s="259">
        <f>'Digitar aqui Notas e Pesos'!G81</f>
        <v>0</v>
      </c>
      <c r="L81" s="116">
        <f>'Digitar aqui Notas e Pesos'!H81</f>
        <v>0</v>
      </c>
      <c r="M81" s="553">
        <f>IF(AND(K81&lt;&gt;0,L81&lt;&gt;0,$C81&lt;&gt;0),(K81*letrapeso(K82)*$A$145+L81*letrapeso(L82)*$A$146)/(letrapeso(K82)*$A$145+letrapeso(L82)*$A$146),0)</f>
        <v>0</v>
      </c>
      <c r="N81" s="259">
        <f>'Digitar aqui Notas e Pesos'!J81</f>
        <v>0</v>
      </c>
      <c r="O81" s="116">
        <f>'Digitar aqui Notas e Pesos'!K81</f>
        <v>0</v>
      </c>
      <c r="P81" s="553">
        <f>IF(AND(N81&lt;&gt;0,O81&lt;&gt;0,$C81&lt;&gt;0),(N81*letrapeso(N82)*$A$145+O81*letrapeso(O82)*$A$146)/(letrapeso(N82)*$A$145+letrapeso(O82)*$A$146),0)</f>
        <v>0</v>
      </c>
      <c r="Q81" s="259">
        <f>'Digitar aqui Notas e Pesos'!M81</f>
        <v>0</v>
      </c>
      <c r="R81" s="116">
        <f>'Digitar aqui Notas e Pesos'!N81</f>
        <v>0</v>
      </c>
      <c r="S81" s="553">
        <f>IF(AND(Q81&lt;&gt;0,R81&lt;&gt;0,$C81&lt;&gt;0),(Q81*letrapeso(Q82)*$A$145+R81*letrapeso(R82)*$A$146)/(letrapeso(Q82)*$A$145+letrapeso(R82)*$A$146),0)</f>
        <v>0</v>
      </c>
      <c r="T81" s="259">
        <f>'Digitar aqui Notas e Pesos'!P81</f>
        <v>0</v>
      </c>
      <c r="U81" s="116">
        <f>'Digitar aqui Notas e Pesos'!Q81</f>
        <v>0</v>
      </c>
      <c r="V81" s="553">
        <f>IF(AND(T81&lt;&gt;0,U81&lt;&gt;0,$C81&lt;&gt;0),(T81*letrapeso(T82)*$A$145+U81*letrapeso(U82)*$A$146)/(letrapeso(T82)*$A$145+letrapeso(U82)*$A$146),0)</f>
        <v>0</v>
      </c>
      <c r="W81" s="259">
        <f>'Digitar aqui Notas e Pesos'!S81</f>
        <v>0</v>
      </c>
      <c r="X81" s="116">
        <f>'Digitar aqui Notas e Pesos'!T81</f>
        <v>0</v>
      </c>
      <c r="Y81" s="553">
        <f>IF(AND(W81&lt;&gt;0,X81&lt;&gt;0,$C81&lt;&gt;0),(W81*letrapeso(W82)*$A$145+X81*letrapeso(X82)*$A$146)/(letrapeso(W82)*$A$145+letrapeso(X82)*$A$146),0)</f>
        <v>0</v>
      </c>
      <c r="Z81" s="259">
        <f>'Digitar aqui Notas e Pesos'!V81</f>
        <v>0</v>
      </c>
      <c r="AA81" s="116">
        <f>'Digitar aqui Notas e Pesos'!W81</f>
        <v>0</v>
      </c>
      <c r="AB81" s="553">
        <f>IF(AND(Z81&lt;&gt;0,AA81&lt;&gt;0,$C81&lt;&gt;0),(Z81*letrapeso(Z82)*$A$145+AA81*letrapeso(AA82)*$A$146)/(letrapeso(Z82)*$A$145+letrapeso(AA82)*$A$146),0)</f>
        <v>0</v>
      </c>
      <c r="AC81" s="259">
        <f>'Digitar aqui Notas e Pesos'!Y81</f>
        <v>0</v>
      </c>
      <c r="AD81" s="116">
        <f>'Digitar aqui Notas e Pesos'!Z81</f>
        <v>0</v>
      </c>
      <c r="AE81" s="553">
        <f>IF(AND(AC81&lt;&gt;0,AD81&lt;&gt;0,$C81&lt;&gt;0),(AC81*letrapeso(AC82)*$A$145+AD81*letrapeso(AD82)*$A$146)/(letrapeso(AC82)*$A$145+letrapeso(AD82)*$A$146),0)</f>
        <v>0</v>
      </c>
      <c r="AF81" s="259">
        <f>'Digitar aqui Notas e Pesos'!AB81</f>
        <v>0</v>
      </c>
      <c r="AG81" s="116">
        <f>'Digitar aqui Notas e Pesos'!AC81</f>
        <v>0</v>
      </c>
      <c r="AH81" s="573">
        <f>IF(AND(AF81&lt;&gt;0,AG81&lt;&gt;0,$C81&lt;&gt;0),(AF81*letrapeso(AF82)*$A$145+AG81*letrapeso(AG82)*$A$146)/(letrapeso(AF82)*$A$145+letrapeso(AG82)*$A$146),0)</f>
        <v>0</v>
      </c>
      <c r="AI81" s="8" t="str">
        <f>IF(letrapeso(C81),"Imprime","Não Imprime")</f>
        <v>Não Imprime</v>
      </c>
      <c r="AJ81" s="14" t="s">
        <v>28</v>
      </c>
      <c r="AK81" s="129">
        <f>G81*letrapeso(G82)*letrapeso($C81)</f>
        <v>0</v>
      </c>
      <c r="AL81" s="129">
        <f>H81*letrapeso(H82)*letrapeso($C81)</f>
        <v>0</v>
      </c>
      <c r="AM81" s="129">
        <f>J81*letrapeso(G82)*letrapeso($C81)</f>
        <v>0</v>
      </c>
      <c r="AN81" s="129">
        <f>K81*letrapeso(K82)*letrapeso($C81)</f>
        <v>0</v>
      </c>
      <c r="AO81" s="129">
        <f>L81*letrapeso(L82)*letrapeso($C81)</f>
        <v>0</v>
      </c>
      <c r="AP81" s="131"/>
      <c r="AQ81" s="129">
        <f>N81*letrapeso(N82)*letrapeso($C81)</f>
        <v>0</v>
      </c>
      <c r="AR81" s="129">
        <f>O81*letrapeso(O82)*letrapeso($C81)</f>
        <v>0</v>
      </c>
      <c r="AS81" s="131"/>
      <c r="AT81" s="129">
        <f>Q81*letrapeso(Q82)*letrapeso($C81)</f>
        <v>0</v>
      </c>
      <c r="AU81" s="129">
        <f>R81*letrapeso(R82)*letrapeso($C81)</f>
        <v>0</v>
      </c>
      <c r="AV81" s="131"/>
      <c r="AW81" s="129">
        <f>T81*letrapeso(T82)*letrapeso($C81)</f>
        <v>0</v>
      </c>
      <c r="AX81" s="129">
        <f>U81*letrapeso(U82)*letrapeso($C81)</f>
        <v>0</v>
      </c>
      <c r="AY81" s="131"/>
      <c r="AZ81" s="129">
        <f>W81*letrapeso(W82)*letrapeso($C81)</f>
        <v>0</v>
      </c>
      <c r="BA81" s="129">
        <f>X81*letrapeso(X82)*letrapeso($C81)</f>
        <v>0</v>
      </c>
      <c r="BB81" s="131"/>
      <c r="BC81" s="129">
        <f>Z81*letrapeso(Z82)*letrapeso($C81)</f>
        <v>0</v>
      </c>
      <c r="BD81" s="129">
        <f>AA81*letrapeso(AA82)*letrapeso($C81)</f>
        <v>0</v>
      </c>
      <c r="BE81" s="131"/>
      <c r="BF81" s="129">
        <f>AC81*letrapeso(AC82)*letrapeso($C81)</f>
        <v>0</v>
      </c>
      <c r="BG81" s="129">
        <f>AD81*letrapeso(AD82)*letrapeso($C81)</f>
        <v>0</v>
      </c>
      <c r="BH81" s="131"/>
      <c r="BI81" s="129">
        <f>AF81*letrapeso(AF82)*letrapeso($C81)</f>
        <v>0</v>
      </c>
      <c r="BJ81" s="129">
        <f>AG81*letrapeso(AG82)*letrapeso($C81)</f>
        <v>0</v>
      </c>
      <c r="BK81" s="131"/>
      <c r="BL81" s="171">
        <f>letrapeso(G82)</f>
        <v>0</v>
      </c>
      <c r="BM81" s="171">
        <f>letrapeso(H82)</f>
        <v>0</v>
      </c>
      <c r="BN81" s="41"/>
      <c r="BO81" s="171">
        <f>letrapeso(K82)</f>
        <v>0</v>
      </c>
      <c r="BP81" s="171">
        <f>letrapeso(L82)</f>
        <v>0</v>
      </c>
      <c r="BQ81" s="41"/>
      <c r="BR81" s="171">
        <f>letrapeso(N82)</f>
        <v>0</v>
      </c>
      <c r="BS81" s="171">
        <f>letrapeso(O82)</f>
        <v>0</v>
      </c>
      <c r="BT81" s="41"/>
      <c r="BU81" s="171">
        <f>letrapeso(Q82)</f>
        <v>0</v>
      </c>
      <c r="BV81" s="171">
        <f>letrapeso(R82)</f>
        <v>0</v>
      </c>
      <c r="BW81" s="41"/>
      <c r="BX81" s="171">
        <f>letrapeso(T82)</f>
        <v>0</v>
      </c>
      <c r="BY81" s="171">
        <f>letrapeso(U82)</f>
        <v>0</v>
      </c>
      <c r="BZ81" s="41"/>
      <c r="CA81" s="171">
        <f>letrapeso(W82)</f>
        <v>0</v>
      </c>
      <c r="CB81" s="171">
        <f>letrapeso(X82)</f>
        <v>0</v>
      </c>
      <c r="CC81" s="41"/>
      <c r="CD81" s="171">
        <f>letrapeso(Z82)</f>
        <v>0</v>
      </c>
      <c r="CE81" s="171">
        <f>letrapeso(AA82)</f>
        <v>0</v>
      </c>
      <c r="CF81" s="41"/>
      <c r="CG81" s="171">
        <f>letrapeso(AC82)</f>
        <v>0</v>
      </c>
      <c r="CH81" s="171">
        <f>letrapeso(AD82)</f>
        <v>0</v>
      </c>
      <c r="CI81" s="41"/>
      <c r="CJ81" s="171">
        <f>letrapeso(AF82)</f>
        <v>0</v>
      </c>
      <c r="CK81" s="171">
        <f>letrapeso(AG82)</f>
        <v>0</v>
      </c>
      <c r="CL81" s="41"/>
      <c r="CM81" s="41">
        <f>IF(ISTEXT($C81),(BL81+BO81+BR81+BU81+BX81+CA81+CD81+CG81+CJ81),0)</f>
        <v>0</v>
      </c>
      <c r="CN81" s="41">
        <f>IF(ISTEXT($C81),(BM81+BP81+BS81+BV81+BY81+CB81+CE81+CH81+CK81),0)</f>
        <v>0</v>
      </c>
    </row>
    <row r="82" spans="1:92" ht="15.75" hidden="1" thickBot="1" x14ac:dyDescent="0.25">
      <c r="A82" s="537" t="str">
        <f>TEXT(D81,"0,00")&amp;"       "&amp;TEXT(E81,"0,00")&amp;"       "&amp;TEXT(F81,"0,00")</f>
        <v>0,00       0,00       0,00</v>
      </c>
      <c r="B82" s="538"/>
      <c r="C82" s="230"/>
      <c r="D82" s="210"/>
      <c r="E82" s="208">
        <f>IF(ISTEXT($C82),(H82*letrapeso(H83)+#REF!*letrapeso(#REF!)+L82*letrapeso(L83)+O82*letrapeso(O83)+R82*letrapeso(R83)+#REF!*letrapeso(#REF!)+U82*letrapeso(U83)+X82*letrapeso(X83)+AA82*letrapeso(AA83)+AD82*letrapeso(AD83)+AG82*letrapeso(AG83))/(letrapeso(H83)+letrapeso(#REF!)+letrapeso(L83)+letrapeso(O83)+letrapeso(R83)+letrapeso(#REF!)+letrapeso(U83)+letrapeso(X83)+letrapeso(AA83)+letrapeso(AD83)+letrapeso(AG83)),0)</f>
        <v>0</v>
      </c>
      <c r="F82" s="209"/>
      <c r="G82" s="231" t="str">
        <f>PEsoLetra('Digitar aqui Notas e Pesos'!D82)</f>
        <v/>
      </c>
      <c r="H82" s="232" t="str">
        <f>PEsoLetra('Digitar aqui Notas e Pesos'!E82)</f>
        <v/>
      </c>
      <c r="I82" s="566"/>
      <c r="J82" s="490"/>
      <c r="K82" s="231" t="str">
        <f>PEsoLetra('Digitar aqui Notas e Pesos'!G82)</f>
        <v/>
      </c>
      <c r="L82" s="232" t="str">
        <f>PEsoLetra('Digitar aqui Notas e Pesos'!H82)</f>
        <v/>
      </c>
      <c r="M82" s="554"/>
      <c r="N82" s="231" t="str">
        <f>PEsoLetra('Digitar aqui Notas e Pesos'!J82)</f>
        <v/>
      </c>
      <c r="O82" s="232" t="str">
        <f>PEsoLetra('Digitar aqui Notas e Pesos'!K82)</f>
        <v/>
      </c>
      <c r="P82" s="554"/>
      <c r="Q82" s="231" t="str">
        <f>PEsoLetra('Digitar aqui Notas e Pesos'!M82)</f>
        <v/>
      </c>
      <c r="R82" s="232" t="str">
        <f>PEsoLetra('Digitar aqui Notas e Pesos'!N82)</f>
        <v/>
      </c>
      <c r="S82" s="554"/>
      <c r="T82" s="231" t="str">
        <f>PEsoLetra('Digitar aqui Notas e Pesos'!P82)</f>
        <v/>
      </c>
      <c r="U82" s="232" t="str">
        <f>PEsoLetra('Digitar aqui Notas e Pesos'!Q82)</f>
        <v/>
      </c>
      <c r="V82" s="554"/>
      <c r="W82" s="231" t="str">
        <f>PEsoLetra('Digitar aqui Notas e Pesos'!S82)</f>
        <v/>
      </c>
      <c r="X82" s="232" t="str">
        <f>PEsoLetra('Digitar aqui Notas e Pesos'!T82)</f>
        <v/>
      </c>
      <c r="Y82" s="554"/>
      <c r="Z82" s="231" t="str">
        <f>PEsoLetra('Digitar aqui Notas e Pesos'!V82)</f>
        <v/>
      </c>
      <c r="AA82" s="232" t="str">
        <f>PEsoLetra('Digitar aqui Notas e Pesos'!W82)</f>
        <v/>
      </c>
      <c r="AB82" s="554"/>
      <c r="AC82" s="231" t="str">
        <f>PEsoLetra('Digitar aqui Notas e Pesos'!Y82)</f>
        <v/>
      </c>
      <c r="AD82" s="232" t="str">
        <f>PEsoLetra('Digitar aqui Notas e Pesos'!Z82)</f>
        <v/>
      </c>
      <c r="AE82" s="554"/>
      <c r="AF82" s="231" t="str">
        <f>PEsoLetra('Digitar aqui Notas e Pesos'!AB82)</f>
        <v/>
      </c>
      <c r="AG82" s="232" t="str">
        <f>PEsoLetra('Digitar aqui Notas e Pesos'!AC82)</f>
        <v/>
      </c>
      <c r="AH82" s="574"/>
      <c r="AI82" s="19" t="str">
        <f>+AI81</f>
        <v>Não Imprime</v>
      </c>
      <c r="AJ82" s="1"/>
      <c r="AK82" s="130"/>
      <c r="AL82" s="130"/>
      <c r="AM82" s="130"/>
      <c r="AN82" s="130"/>
      <c r="AO82" s="130"/>
      <c r="AP82" s="131"/>
      <c r="AQ82" s="130"/>
      <c r="AR82" s="130"/>
      <c r="AS82" s="131"/>
      <c r="AT82" s="130"/>
      <c r="AU82" s="130"/>
      <c r="AV82" s="131"/>
      <c r="AW82" s="130"/>
      <c r="AX82" s="130"/>
      <c r="AY82" s="131"/>
      <c r="AZ82" s="130"/>
      <c r="BA82" s="130"/>
      <c r="BB82" s="131"/>
      <c r="BC82" s="130"/>
      <c r="BD82" s="130"/>
      <c r="BE82" s="131"/>
      <c r="BF82" s="130"/>
      <c r="BG82" s="130"/>
      <c r="BH82" s="131"/>
      <c r="BI82" s="130"/>
      <c r="BJ82" s="130"/>
      <c r="BK82" s="131"/>
      <c r="CM82" s="171"/>
      <c r="CN82" s="28"/>
    </row>
    <row r="83" spans="1:92" ht="15.75" hidden="1" thickBot="1" x14ac:dyDescent="0.25">
      <c r="A83" s="546" t="str">
        <f>'Digitar aqui Notas e Pesos'!A83</f>
        <v>Nome da Atividade 7 da Unidade 4</v>
      </c>
      <c r="B83" s="547"/>
      <c r="C83" s="229">
        <f>IF('Digitar aqui Notas e Pesos'!C83,PEsoLetra('Digitar aqui Notas e Pesos'!C83),0)</f>
        <v>0</v>
      </c>
      <c r="D83" s="208">
        <f>IF(ISTEXT($C83),(G83*letrapeso(G84)+K83*letrapeso(K84)+N83*letrapeso(N84)+Q83*letrapeso(Q84)+T83*letrapeso(T84)+W83*letrapeso(W84)+Z83*letrapeso(Z84)+AC83*letrapeso(AC84)+AF83*letrapeso(AF84))/(letrapeso(G84)+letrapeso(K84)+letrapeso(N84)+letrapeso(Q84)+letrapeso(T84)+letrapeso(W84)+letrapeso(Z84)+letrapeso(AC84)+letrapeso(AF84)),0)</f>
        <v>0</v>
      </c>
      <c r="E83" s="208">
        <f>IF(ISTEXT($C83),(H83*letrapeso(H84)+L83*letrapeso(L84)+O83*letrapeso(O84)+R83*letrapeso(R84)+U83*letrapeso(U84)+X83*letrapeso(X84)+AA83*letrapeso(AA84)+AD83*letrapeso(AD84)+AG83*letrapeso(AG84))/(letrapeso(H84)+letrapeso(L84)+letrapeso(O84)+letrapeso(R84)+letrapeso(U84)+letrapeso(X84)+letrapeso(AA84)+letrapeso(AD84)+letrapeso(AG84)),0)</f>
        <v>0</v>
      </c>
      <c r="F83" s="209">
        <f>IF(ISTEXT($C83),(D83*$A$145+E83*$A$146),0)</f>
        <v>0</v>
      </c>
      <c r="G83" s="115">
        <f>'Digitar aqui Notas e Pesos'!D83</f>
        <v>0</v>
      </c>
      <c r="H83" s="116">
        <f>'Digitar aqui Notas e Pesos'!E83</f>
        <v>0</v>
      </c>
      <c r="I83" s="565">
        <f>IF(AND(G83&lt;&gt;0,H83&lt;&gt;0,$C83&lt;&gt;0),(G83*letrapeso(G84)*$A$145+H83*letrapeso(H84)*$A$146)/(letrapeso(G84)*$A$145+letrapeso(H84)*$A$146),0)</f>
        <v>0</v>
      </c>
      <c r="J83" s="259">
        <f>'Digitar aqui Notas e Pesos'!F83</f>
        <v>0</v>
      </c>
      <c r="K83" s="115">
        <f>'Digitar aqui Notas e Pesos'!G83</f>
        <v>0</v>
      </c>
      <c r="L83" s="116">
        <f>'Digitar aqui Notas e Pesos'!H83</f>
        <v>0</v>
      </c>
      <c r="M83" s="553">
        <f>IF(AND(K83&lt;&gt;0,L83&lt;&gt;0,$C83&lt;&gt;0),(K83*letrapeso(K84)*$A$145+L83*letrapeso(L84)*$A$146)/(letrapeso(K84)*$A$145+letrapeso(L84)*$A$146),0)</f>
        <v>0</v>
      </c>
      <c r="N83" s="115">
        <f>'Digitar aqui Notas e Pesos'!J83</f>
        <v>0</v>
      </c>
      <c r="O83" s="116">
        <f>'Digitar aqui Notas e Pesos'!K83</f>
        <v>0</v>
      </c>
      <c r="P83" s="553">
        <f>IF(AND(N83&lt;&gt;0,O83&lt;&gt;0,$C83&lt;&gt;0),(N83*letrapeso(N84)*$A$145+O83*letrapeso(O84)*$A$146)/(letrapeso(N84)*$A$145+letrapeso(O84)*$A$146),0)</f>
        <v>0</v>
      </c>
      <c r="Q83" s="115">
        <f>'Digitar aqui Notas e Pesos'!M83</f>
        <v>0</v>
      </c>
      <c r="R83" s="116">
        <f>'Digitar aqui Notas e Pesos'!N83</f>
        <v>0</v>
      </c>
      <c r="S83" s="553">
        <f>IF(AND(Q83&lt;&gt;0,R83&lt;&gt;0,$C83&lt;&gt;0),(Q83*letrapeso(Q84)*$A$145+R83*letrapeso(R84)*$A$146)/(letrapeso(Q84)*$A$145+letrapeso(R84)*$A$146),0)</f>
        <v>0</v>
      </c>
      <c r="T83" s="115">
        <f>'Digitar aqui Notas e Pesos'!P83</f>
        <v>0</v>
      </c>
      <c r="U83" s="116">
        <f>'Digitar aqui Notas e Pesos'!Q83</f>
        <v>0</v>
      </c>
      <c r="V83" s="553">
        <f>IF(AND(T83&lt;&gt;0,U83&lt;&gt;0,$C83&lt;&gt;0),(T83*letrapeso(T84)*$A$145+U83*letrapeso(U84)*$A$146)/(letrapeso(T84)*$A$145+letrapeso(U84)*$A$146),0)</f>
        <v>0</v>
      </c>
      <c r="W83" s="115">
        <f>'Digitar aqui Notas e Pesos'!S83</f>
        <v>0</v>
      </c>
      <c r="X83" s="116">
        <f>'Digitar aqui Notas e Pesos'!T83</f>
        <v>0</v>
      </c>
      <c r="Y83" s="553">
        <f>IF(AND(W83&lt;&gt;0,X83&lt;&gt;0,$C83&lt;&gt;0),(W83*letrapeso(W84)*$A$145+X83*letrapeso(X84)*$A$146)/(letrapeso(W84)*$A$145+letrapeso(X84)*$A$146),0)</f>
        <v>0</v>
      </c>
      <c r="Z83" s="115">
        <f>'Digitar aqui Notas e Pesos'!V83</f>
        <v>0</v>
      </c>
      <c r="AA83" s="116">
        <f>'Digitar aqui Notas e Pesos'!W83</f>
        <v>0</v>
      </c>
      <c r="AB83" s="553">
        <f>IF(AND(Z83&lt;&gt;0,AA83&lt;&gt;0,$C83&lt;&gt;0),(Z83*letrapeso(Z84)*$A$145+AA83*letrapeso(AA84)*$A$146)/(letrapeso(Z84)*$A$145+letrapeso(AA84)*$A$146),0)</f>
        <v>0</v>
      </c>
      <c r="AC83" s="115">
        <f>'Digitar aqui Notas e Pesos'!Y83</f>
        <v>0</v>
      </c>
      <c r="AD83" s="116">
        <f>'Digitar aqui Notas e Pesos'!Z83</f>
        <v>0</v>
      </c>
      <c r="AE83" s="553">
        <f>IF(AND(AC83&lt;&gt;0,AD83&lt;&gt;0,$C83&lt;&gt;0),(AC83*letrapeso(AC84)*$A$145+AD83*letrapeso(AD84)*$A$146)/(letrapeso(AC84)*$A$145+letrapeso(AD84)*$A$146),0)</f>
        <v>0</v>
      </c>
      <c r="AF83" s="115">
        <f>'Digitar aqui Notas e Pesos'!AB83</f>
        <v>0</v>
      </c>
      <c r="AG83" s="116">
        <f>'Digitar aqui Notas e Pesos'!AC83</f>
        <v>0</v>
      </c>
      <c r="AH83" s="573">
        <f>IF(AND(AF83&lt;&gt;0,AG83&lt;&gt;0,$C83&lt;&gt;0),(AF83*letrapeso(AF84)*$A$145+AG83*letrapeso(AG84)*$A$146)/(letrapeso(AF84)*$A$145+letrapeso(AG84)*$A$146),0)</f>
        <v>0</v>
      </c>
      <c r="AI83" s="8" t="str">
        <f>IF(letrapeso(C83),"Imprime","Não Imprime")</f>
        <v>Não Imprime</v>
      </c>
      <c r="AJ83" s="14" t="s">
        <v>28</v>
      </c>
      <c r="AK83" s="129">
        <f>G83*letrapeso(G84)*letrapeso($C83)</f>
        <v>0</v>
      </c>
      <c r="AL83" s="129">
        <f>H83*letrapeso(H84)*letrapeso($C83)</f>
        <v>0</v>
      </c>
      <c r="AM83" s="129">
        <f>J83*letrapeso(G84)*letrapeso($C83)</f>
        <v>0</v>
      </c>
      <c r="AN83" s="129">
        <f>K83*letrapeso(K84)*letrapeso($C83)</f>
        <v>0</v>
      </c>
      <c r="AO83" s="129">
        <f>L83*letrapeso(L84)*letrapeso($C83)</f>
        <v>0</v>
      </c>
      <c r="AP83" s="131"/>
      <c r="AQ83" s="129">
        <f>N83*letrapeso(N84)*letrapeso($C83)</f>
        <v>0</v>
      </c>
      <c r="AR83" s="129">
        <f>O83*letrapeso(O84)*letrapeso($C83)</f>
        <v>0</v>
      </c>
      <c r="AS83" s="131"/>
      <c r="AT83" s="129">
        <f>Q83*letrapeso(Q84)*letrapeso($C83)</f>
        <v>0</v>
      </c>
      <c r="AU83" s="129">
        <f>R83*letrapeso(R84)*letrapeso($C83)</f>
        <v>0</v>
      </c>
      <c r="AV83" s="131"/>
      <c r="AW83" s="129">
        <f>T83*letrapeso(T84)*letrapeso($C83)</f>
        <v>0</v>
      </c>
      <c r="AX83" s="129">
        <f>U83*letrapeso(U84)*letrapeso($C83)</f>
        <v>0</v>
      </c>
      <c r="AY83" s="131"/>
      <c r="AZ83" s="129">
        <f>W83*letrapeso(W84)*letrapeso($C83)</f>
        <v>0</v>
      </c>
      <c r="BA83" s="129">
        <f>X83*letrapeso(X84)*letrapeso($C83)</f>
        <v>0</v>
      </c>
      <c r="BB83" s="131"/>
      <c r="BC83" s="129">
        <f>Z83*letrapeso(Z84)*letrapeso($C83)</f>
        <v>0</v>
      </c>
      <c r="BD83" s="129">
        <f>AA83*letrapeso(AA84)*letrapeso($C83)</f>
        <v>0</v>
      </c>
      <c r="BE83" s="131"/>
      <c r="BF83" s="129">
        <f>AC83*letrapeso(AC84)*letrapeso($C83)</f>
        <v>0</v>
      </c>
      <c r="BG83" s="129">
        <f>AD83*letrapeso(AD84)*letrapeso($C83)</f>
        <v>0</v>
      </c>
      <c r="BH83" s="131"/>
      <c r="BI83" s="129">
        <f>AF83*letrapeso(AF84)*letrapeso($C83)</f>
        <v>0</v>
      </c>
      <c r="BJ83" s="129">
        <f>AG83*letrapeso(AG84)*letrapeso($C83)</f>
        <v>0</v>
      </c>
      <c r="BK83" s="131"/>
      <c r="BL83" s="171">
        <f>letrapeso(G84)</f>
        <v>0</v>
      </c>
      <c r="BM83" s="171">
        <f>letrapeso(H84)</f>
        <v>0</v>
      </c>
      <c r="BN83" s="41"/>
      <c r="BO83" s="171">
        <f>letrapeso(K84)</f>
        <v>0</v>
      </c>
      <c r="BP83" s="171">
        <f>letrapeso(L84)</f>
        <v>0</v>
      </c>
      <c r="BQ83" s="41"/>
      <c r="BR83" s="171">
        <f>letrapeso(N84)</f>
        <v>0</v>
      </c>
      <c r="BS83" s="171">
        <f>letrapeso(O84)</f>
        <v>0</v>
      </c>
      <c r="BT83" s="41"/>
      <c r="BU83" s="171">
        <f>letrapeso(Q84)</f>
        <v>0</v>
      </c>
      <c r="BV83" s="171">
        <f>letrapeso(R84)</f>
        <v>0</v>
      </c>
      <c r="BW83" s="41"/>
      <c r="BX83" s="171">
        <f>letrapeso(T84)</f>
        <v>0</v>
      </c>
      <c r="BY83" s="171">
        <f>letrapeso(U84)</f>
        <v>0</v>
      </c>
      <c r="BZ83" s="41"/>
      <c r="CA83" s="171">
        <f>letrapeso(W84)</f>
        <v>0</v>
      </c>
      <c r="CB83" s="171">
        <f>letrapeso(X84)</f>
        <v>0</v>
      </c>
      <c r="CC83" s="41"/>
      <c r="CD83" s="171">
        <f>letrapeso(Z84)</f>
        <v>0</v>
      </c>
      <c r="CE83" s="171">
        <f>letrapeso(AA84)</f>
        <v>0</v>
      </c>
      <c r="CF83" s="41"/>
      <c r="CG83" s="171">
        <f>letrapeso(AC84)</f>
        <v>0</v>
      </c>
      <c r="CH83" s="171">
        <f>letrapeso(AD84)</f>
        <v>0</v>
      </c>
      <c r="CI83" s="41"/>
      <c r="CJ83" s="171">
        <f>letrapeso(AF84)</f>
        <v>0</v>
      </c>
      <c r="CK83" s="171">
        <f>letrapeso(AG84)</f>
        <v>0</v>
      </c>
      <c r="CL83" s="41"/>
      <c r="CM83" s="41">
        <f>IF(ISTEXT($C83),(BL83+BO83+BR83+BU83+BX83+CA83+CD83+CG83+CJ83),0)</f>
        <v>0</v>
      </c>
      <c r="CN83" s="41">
        <f>IF(ISTEXT($C83),(BM83+BP83+BS83+BV83+BY83+CB83+CE83+CH83+CK83),0)</f>
        <v>0</v>
      </c>
    </row>
    <row r="84" spans="1:92" ht="15.75" hidden="1" thickBot="1" x14ac:dyDescent="0.25">
      <c r="A84" s="537" t="str">
        <f>TEXT(D83,"0,00")&amp;"       "&amp;TEXT(E83,"0,00")&amp;"       "&amp;TEXT(F83,"0,00")</f>
        <v>0,00       0,00       0,00</v>
      </c>
      <c r="B84" s="538"/>
      <c r="C84" s="233"/>
      <c r="D84" s="210"/>
      <c r="E84" s="208"/>
      <c r="F84" s="209"/>
      <c r="G84" s="231" t="str">
        <f>PEsoLetra('Digitar aqui Notas e Pesos'!D84)</f>
        <v/>
      </c>
      <c r="H84" s="232" t="str">
        <f>PEsoLetra('Digitar aqui Notas e Pesos'!E84)</f>
        <v/>
      </c>
      <c r="I84" s="565"/>
      <c r="J84" s="491"/>
      <c r="K84" s="231" t="str">
        <f>PEsoLetra('Digitar aqui Notas e Pesos'!G84)</f>
        <v/>
      </c>
      <c r="L84" s="232" t="str">
        <f>PEsoLetra('Digitar aqui Notas e Pesos'!H84)</f>
        <v/>
      </c>
      <c r="M84" s="553"/>
      <c r="N84" s="231" t="str">
        <f>PEsoLetra('Digitar aqui Notas e Pesos'!J84)</f>
        <v/>
      </c>
      <c r="O84" s="232" t="str">
        <f>PEsoLetra('Digitar aqui Notas e Pesos'!K84)</f>
        <v/>
      </c>
      <c r="P84" s="553"/>
      <c r="Q84" s="231" t="str">
        <f>PEsoLetra('Digitar aqui Notas e Pesos'!M84)</f>
        <v/>
      </c>
      <c r="R84" s="232" t="str">
        <f>PEsoLetra('Digitar aqui Notas e Pesos'!N84)</f>
        <v/>
      </c>
      <c r="S84" s="553"/>
      <c r="T84" s="231" t="str">
        <f>PEsoLetra('Digitar aqui Notas e Pesos'!P84)</f>
        <v/>
      </c>
      <c r="U84" s="232" t="str">
        <f>PEsoLetra('Digitar aqui Notas e Pesos'!Q84)</f>
        <v/>
      </c>
      <c r="V84" s="553"/>
      <c r="W84" s="231" t="str">
        <f>PEsoLetra('Digitar aqui Notas e Pesos'!S84)</f>
        <v/>
      </c>
      <c r="X84" s="232" t="str">
        <f>PEsoLetra('Digitar aqui Notas e Pesos'!T84)</f>
        <v/>
      </c>
      <c r="Y84" s="553"/>
      <c r="Z84" s="231" t="str">
        <f>PEsoLetra('Digitar aqui Notas e Pesos'!V84)</f>
        <v/>
      </c>
      <c r="AA84" s="232" t="str">
        <f>PEsoLetra('Digitar aqui Notas e Pesos'!W84)</f>
        <v/>
      </c>
      <c r="AB84" s="553"/>
      <c r="AC84" s="231" t="str">
        <f>PEsoLetra('Digitar aqui Notas e Pesos'!Y84)</f>
        <v/>
      </c>
      <c r="AD84" s="232" t="str">
        <f>PEsoLetra('Digitar aqui Notas e Pesos'!Z84)</f>
        <v/>
      </c>
      <c r="AE84" s="553"/>
      <c r="AF84" s="231" t="str">
        <f>PEsoLetra('Digitar aqui Notas e Pesos'!AB84)</f>
        <v/>
      </c>
      <c r="AG84" s="232" t="str">
        <f>PEsoLetra('Digitar aqui Notas e Pesos'!AC84)</f>
        <v/>
      </c>
      <c r="AH84" s="573"/>
      <c r="AI84" s="19" t="str">
        <f>+AI83</f>
        <v>Não Imprime</v>
      </c>
      <c r="AJ84" s="18" t="s">
        <v>29</v>
      </c>
      <c r="AK84" s="132">
        <f>IF(ISTEXT($C69),(letrapeso(G72)*letrapeso($C71)+letrapeso(G74)*letrapeso($C73)+letrapeso(G76)*letrapeso($C75)+letrapeso(G78)*letrapeso($C77)+letrapeso(G80)*letrapeso($C79)+letrapeso(G82)*letrapeso($C81)+letrapeso(G84)*letrapeso($C83))/(letrapeso($C71)+letrapeso($C73)+letrapeso($C75)+letrapeso($C77)+letrapeso($C79)+letrapeso($C81)+letrapeso($C83)),0)</f>
        <v>0</v>
      </c>
      <c r="AL84" s="132">
        <f>IF(ISTEXT($C69),(letrapeso(H72)*letrapeso($C71)+letrapeso(H74)*letrapeso($C73)+letrapeso(H76)*letrapeso($C75)+letrapeso(H78)*letrapeso($C77)+letrapeso(H80)*letrapeso($C79)+letrapeso(H82)*letrapeso($C81)+letrapeso(H84)*letrapeso($C83))/(letrapeso($C71)+letrapeso($C73)+letrapeso($C75)+letrapeso($C77)+letrapeso($C79)+letrapeso($C81)+letrapeso($C83)),0)</f>
        <v>0</v>
      </c>
      <c r="AM84" s="132">
        <f>IF(ISTEXT($C69),(letrapeso(G72)*letrapeso($C71)+letrapeso(G74)*letrapeso($C73)+letrapeso(G76)*letrapeso($C75)+letrapeso(G78)*letrapeso($C77)+letrapeso(G80)*letrapeso($C79)+letrapeso(G82)*letrapeso($C81)+letrapeso(G84)*letrapeso($C83))/(letrapeso($C71)+letrapeso($C73)+letrapeso($C75)+letrapeso($C77)+letrapeso($C79)+letrapeso($C81)+letrapeso($C83)),0)</f>
        <v>0</v>
      </c>
      <c r="AN84" s="132">
        <f>IF(ISTEXT($C69),(letrapeso(K72)*letrapeso($C71)+letrapeso(K74)*letrapeso($C73)+letrapeso(K76)*letrapeso($C75)+letrapeso(K78)*letrapeso($C77)+letrapeso(K80)*letrapeso($C79)+letrapeso(K82)*letrapeso($C81)+letrapeso(K84)*letrapeso($C83))/(letrapeso($C71)+letrapeso($C73)+letrapeso($C75)+letrapeso($C77)+letrapeso($C79)+letrapeso($C81)+letrapeso($C83)),0)</f>
        <v>8</v>
      </c>
      <c r="AO84" s="132">
        <f>IF(ISTEXT($C69),(letrapeso(L72)*letrapeso($C71)+letrapeso(L74)*letrapeso($C73)+letrapeso(L76)*letrapeso($C75)+letrapeso(L78)*letrapeso($C77)+letrapeso(L80)*letrapeso($C79)+letrapeso(L82)*letrapeso($C81)+letrapeso(L84)*letrapeso($C83))/(letrapeso($C71)+letrapeso($C73)+letrapeso($C75)+letrapeso($C77)+letrapeso($C79)+letrapeso($C81)+letrapeso($C83)),0)</f>
        <v>8</v>
      </c>
      <c r="AP84" s="131"/>
      <c r="AQ84" s="132">
        <f>IF(ISTEXT($C69),(letrapeso(N72)*letrapeso($C71)+letrapeso(N74)*letrapeso($C73)+letrapeso(N76)*letrapeso($C75)+letrapeso(N78)*letrapeso($C77)+letrapeso(N80)*letrapeso($C79)+letrapeso(N82)*letrapeso($C81)+letrapeso(N84)*letrapeso($C83))/(letrapeso($C71)+letrapeso($C73)+letrapeso($C75)+letrapeso($C77)+letrapeso($C79)+letrapeso($C81)+letrapeso($C83)),0)</f>
        <v>8</v>
      </c>
      <c r="AR84" s="132">
        <f>IF(ISTEXT($C69),(letrapeso(O72)*letrapeso($C71)+letrapeso(O74)*letrapeso($C73)+letrapeso(O76)*letrapeso($C75)+letrapeso(O78)*letrapeso($C77)+letrapeso(O80)*letrapeso($C79)+letrapeso(O82)*letrapeso($C81)+letrapeso(O84)*letrapeso($C83))/(letrapeso($C71)+letrapeso($C73)+letrapeso($C75)+letrapeso($C77)+letrapeso($C79)+letrapeso($C81)+letrapeso($C83)),0)</f>
        <v>8</v>
      </c>
      <c r="AS84" s="131"/>
      <c r="AT84" s="132">
        <f>IF(ISTEXT($C69),(letrapeso(Q72)*letrapeso($C71)+letrapeso(Q74)*letrapeso($C73)+letrapeso(Q76)*letrapeso($C75)+letrapeso(Q78)*letrapeso($C77)+letrapeso(Q80)*letrapeso($C79)+letrapeso(Q82)*letrapeso($C81)+letrapeso(Q84)*letrapeso($C83))/(letrapeso($C71)+letrapeso($C73)+letrapeso($C75)+letrapeso($C77)+letrapeso($C79)+letrapeso($C81)+letrapeso($C83)),0)</f>
        <v>0</v>
      </c>
      <c r="AU84" s="132">
        <f>IF(ISTEXT($C69),(letrapeso(R72)*letrapeso($C71)+letrapeso(R74)*letrapeso($C73)+letrapeso(R76)*letrapeso($C75)+letrapeso(R78)*letrapeso($C77)+letrapeso(R80)*letrapeso($C79)+letrapeso(R82)*letrapeso($C81)+letrapeso(R84)*letrapeso($C83))/(letrapeso($C71)+letrapeso($C73)+letrapeso($C75)+letrapeso($C77)+letrapeso($C79)+letrapeso($C81)+letrapeso($C83)),0)</f>
        <v>0</v>
      </c>
      <c r="AV84" s="131"/>
      <c r="AW84" s="132">
        <f>IF(ISTEXT($C69),(letrapeso(T72)*letrapeso($C71)+letrapeso(T74)*letrapeso($C73)+letrapeso(T76)*letrapeso($C75)+letrapeso(T78)*letrapeso($C77)+letrapeso(T80)*letrapeso($C79)+letrapeso(T82)*letrapeso($C81)+letrapeso(T84)*letrapeso($C83))/(letrapeso($C71)+letrapeso($C73)+letrapeso($C75)+letrapeso($C77)+letrapeso($C79)+letrapeso($C81)+letrapeso($C83)),0)</f>
        <v>0</v>
      </c>
      <c r="AX84" s="132">
        <f>IF(ISTEXT($C69),(letrapeso(U72)*letrapeso($C71)+letrapeso(U74)*letrapeso($C73)+letrapeso(U76)*letrapeso($C75)+letrapeso(U78)*letrapeso($C77)+letrapeso(U80)*letrapeso($C79)+letrapeso(U82)*letrapeso($C81)+letrapeso(U84)*letrapeso($C83))/(letrapeso($C71)+letrapeso($C73)+letrapeso($C75)+letrapeso($C77)+letrapeso($C79)+letrapeso($C81)+letrapeso($C83)),0)</f>
        <v>0</v>
      </c>
      <c r="AY84" s="131"/>
      <c r="AZ84" s="132">
        <f>IF(ISTEXT($C69),(letrapeso(W72)*letrapeso($C71)+letrapeso(W74)*letrapeso($C73)+letrapeso(W76)*letrapeso($C75)+letrapeso(W78)*letrapeso($C77)+letrapeso(W80)*letrapeso($C79)+letrapeso(W82)*letrapeso($C81)+letrapeso(W84)*letrapeso($C83))/(letrapeso($C71)+letrapeso($C73)+letrapeso($C75)+letrapeso($C77)+letrapeso($C79)+letrapeso($C81)+letrapeso($C83)),0)</f>
        <v>0</v>
      </c>
      <c r="BA84" s="132">
        <f>IF(ISTEXT($C69),(letrapeso(X72)*letrapeso($C71)+letrapeso(X74)*letrapeso($C73)+letrapeso(X76)*letrapeso($C75)+letrapeso(X78)*letrapeso($C77)+letrapeso(X80)*letrapeso($C79)+letrapeso(X82)*letrapeso($C81)+letrapeso(X84)*letrapeso($C83))/(letrapeso($C71)+letrapeso($C73)+letrapeso($C75)+letrapeso($C77)+letrapeso($C79)+letrapeso($C81)+letrapeso($C83)),0)</f>
        <v>0</v>
      </c>
      <c r="BB84" s="131"/>
      <c r="BC84" s="132">
        <f>IF(ISTEXT($C69),(letrapeso(Z72)*letrapeso($C71)+letrapeso(Z74)*letrapeso($C73)+letrapeso(Z76)*letrapeso($C75)+letrapeso(Z78)*letrapeso($C77)+letrapeso(Z80)*letrapeso($C79)+letrapeso(Z82)*letrapeso($C81)+letrapeso(Z84)*letrapeso($C83))/(letrapeso($C71)+letrapeso($C73)+letrapeso($C75)+letrapeso($C77)+letrapeso($C79)+letrapeso($C81)+letrapeso($C83)),0)</f>
        <v>0</v>
      </c>
      <c r="BD84" s="132">
        <f>IF(ISTEXT($C69),(letrapeso(AA72)*letrapeso($C71)+letrapeso(AA74)*letrapeso($C73)+letrapeso(AA76)*letrapeso($C75)+letrapeso(AA78)*letrapeso($C77)+letrapeso(AA80)*letrapeso($C79)+letrapeso(AA82)*letrapeso($C81)+letrapeso(AA84)*letrapeso($C83))/(letrapeso($C71)+letrapeso($C73)+letrapeso($C75)+letrapeso($C77)+letrapeso($C79)+letrapeso($C81)+letrapeso($C83)),0)</f>
        <v>0</v>
      </c>
      <c r="BE84" s="131"/>
      <c r="BF84" s="132">
        <f>IF(ISTEXT($C69),(letrapeso(AC72)*letrapeso($C71)+letrapeso(AC74)*letrapeso($C73)+letrapeso(AC76)*letrapeso($C75)+letrapeso(AC78)*letrapeso($C77)+letrapeso(AC80)*letrapeso($C79)+letrapeso(AC82)*letrapeso($C81)+letrapeso(AC84)*letrapeso($C83))/(letrapeso($C71)+letrapeso($C73)+letrapeso($C75)+letrapeso($C77)+letrapeso($C79)+letrapeso($C81)+letrapeso($C83)),0)</f>
        <v>0</v>
      </c>
      <c r="BG84" s="132">
        <f>IF(ISTEXT($C69),(letrapeso(AD72)*letrapeso($C71)+letrapeso(AD74)*letrapeso($C73)+letrapeso(AD76)*letrapeso($C75)+letrapeso(AD78)*letrapeso($C77)+letrapeso(AD80)*letrapeso($C79)+letrapeso(AD82)*letrapeso($C81)+letrapeso(AD84)*letrapeso($C83))/(letrapeso($C71)+letrapeso($C73)+letrapeso($C75)+letrapeso($C77)+letrapeso($C79)+letrapeso($C81)+letrapeso($C83)),0)</f>
        <v>0</v>
      </c>
      <c r="BH84" s="131"/>
      <c r="BI84" s="132">
        <f>IF(ISTEXT($C69),(letrapeso(AF72)*letrapeso($C71)+letrapeso(AF74)*letrapeso($C73)+letrapeso(AF76)*letrapeso($C75)+letrapeso(AF78)*letrapeso($C77)+letrapeso(AF80)*letrapeso($C79)+letrapeso(AF82)*letrapeso($C81)+letrapeso(AF84)*letrapeso($C83))/(letrapeso($C71)+letrapeso($C73)+letrapeso($C75)+letrapeso($C77)+letrapeso($C79)+letrapeso($C81)+letrapeso($C83)),0)</f>
        <v>0</v>
      </c>
      <c r="BJ84" s="132">
        <f>IF(ISTEXT($C69),(letrapeso(AG72)*letrapeso($C71)+letrapeso(AG74)*letrapeso($C73)+letrapeso(AG76)*letrapeso($C75)+letrapeso(AG78)*letrapeso($C77)+letrapeso(AG80)*letrapeso($C79)+letrapeso(AG82)*letrapeso($C81)+letrapeso(AG84)*letrapeso($C83))/(letrapeso($C71)+letrapeso($C73)+letrapeso($C75)+letrapeso($C77)+letrapeso($C79)+letrapeso($C81)+letrapeso($C83)),0)</f>
        <v>0</v>
      </c>
      <c r="BK84" s="131"/>
    </row>
    <row r="85" spans="1:92" ht="15.75" hidden="1" thickBot="1" x14ac:dyDescent="0.25">
      <c r="A85" s="191" t="str">
        <f>'Digitar aqui Notas e Pesos'!A85</f>
        <v>Seguros, Previdência e</v>
      </c>
      <c r="B85" s="192"/>
      <c r="C85" s="193" t="str">
        <f>IF('Digitar aqui Notas e Pesos'!C85,PEsoLetra('Digitar aqui Notas e Pesos'!C85),0)</f>
        <v>mb</v>
      </c>
      <c r="D85" s="213">
        <f>IF(letrapeso(C85),(letrapeso($C87)*D87+letrapeso($C89)*D89+letrapeso($C91)*D91+letrapeso($C93)*D93+letrapeso($C95)*D95+letrapeso($C97)*D97+letrapeso($C99)*D99)/(letrapeso($C87)+letrapeso($C89)+letrapeso($C91)+letrapeso($C93)+letrapeso($C95)+letrapeso($C97)+letrapeso($C99)),0)</f>
        <v>2</v>
      </c>
      <c r="E85" s="214">
        <f>IF(letrapeso(C85),(letrapeso($C87)*E87+letrapeso($C89)*E89+letrapeso($C91)*E91+letrapeso($C93)*E93+letrapeso($C95)*E95+letrapeso($C97)*E97+letrapeso($C99)*E99)/(letrapeso($C87)+letrapeso($C89)+letrapeso($C91)+letrapeso($C93)+letrapeso($C95)+letrapeso($C97)+letrapeso($C99)),0)</f>
        <v>2</v>
      </c>
      <c r="F85" s="215">
        <f>IF(letrapeso(C85),(letrapeso($C87)*F87+letrapeso($C89)*F89+letrapeso($C91)*F91+letrapeso($C93)*F93+letrapeso($C95)*F95+letrapeso($C97)*F97+letrapeso($C99)*F99)/(letrapeso($C87)+letrapeso($C89)+letrapeso($C91)+letrapeso($C93)+letrapeso($C95)+letrapeso($C97)+letrapeso($C99)),0)</f>
        <v>2</v>
      </c>
      <c r="G85" s="220"/>
      <c r="H85" s="221"/>
      <c r="I85" s="222"/>
      <c r="J85" s="489"/>
      <c r="K85" s="220"/>
      <c r="L85" s="221"/>
      <c r="M85" s="222"/>
      <c r="N85" s="220"/>
      <c r="O85" s="221"/>
      <c r="P85" s="222"/>
      <c r="Q85" s="220"/>
      <c r="R85" s="221"/>
      <c r="S85" s="222"/>
      <c r="T85" s="220"/>
      <c r="U85" s="221"/>
      <c r="V85" s="222"/>
      <c r="W85" s="220"/>
      <c r="X85" s="221"/>
      <c r="Y85" s="222"/>
      <c r="Z85" s="220"/>
      <c r="AA85" s="221"/>
      <c r="AB85" s="222"/>
      <c r="AC85" s="220"/>
      <c r="AD85" s="221"/>
      <c r="AE85" s="222"/>
      <c r="AF85" s="220"/>
      <c r="AG85" s="221"/>
      <c r="AH85" s="223"/>
      <c r="AI85" s="8" t="str">
        <f>IF(letrapeso(C85),"Imprime","Não Imprime")</f>
        <v>Imprime</v>
      </c>
      <c r="AJ85" s="15"/>
      <c r="AK85" s="133"/>
      <c r="AL85" s="133"/>
      <c r="AM85" s="133"/>
      <c r="AN85" s="133"/>
      <c r="AO85" s="133"/>
      <c r="AP85" s="134"/>
      <c r="AQ85" s="133"/>
      <c r="AR85" s="133"/>
      <c r="AS85" s="134"/>
      <c r="AT85" s="133"/>
      <c r="AU85" s="133"/>
      <c r="AV85" s="134"/>
      <c r="AW85" s="133"/>
      <c r="AX85" s="133"/>
      <c r="AY85" s="134"/>
      <c r="AZ85" s="133"/>
      <c r="BA85" s="133"/>
      <c r="BB85" s="134"/>
      <c r="BC85" s="133"/>
      <c r="BD85" s="133"/>
      <c r="BE85" s="134"/>
      <c r="BF85" s="133"/>
      <c r="BG85" s="133"/>
      <c r="BH85" s="134"/>
      <c r="BI85" s="133"/>
      <c r="BJ85" s="133"/>
      <c r="BK85" s="134"/>
    </row>
    <row r="86" spans="1:92" ht="15.75" hidden="1" thickBot="1" x14ac:dyDescent="0.25">
      <c r="A86" s="567"/>
      <c r="B86" s="568"/>
      <c r="C86" s="228"/>
      <c r="D86" s="214"/>
      <c r="E86" s="214"/>
      <c r="F86" s="215"/>
      <c r="G86" s="224"/>
      <c r="H86" s="225"/>
      <c r="I86" s="226"/>
      <c r="J86" s="490"/>
      <c r="K86" s="224"/>
      <c r="L86" s="225"/>
      <c r="M86" s="226"/>
      <c r="N86" s="224"/>
      <c r="O86" s="225"/>
      <c r="P86" s="226"/>
      <c r="Q86" s="224"/>
      <c r="R86" s="225"/>
      <c r="S86" s="226"/>
      <c r="T86" s="224"/>
      <c r="U86" s="225"/>
      <c r="V86" s="226"/>
      <c r="W86" s="224"/>
      <c r="X86" s="225"/>
      <c r="Y86" s="226"/>
      <c r="Z86" s="224"/>
      <c r="AA86" s="225"/>
      <c r="AB86" s="226"/>
      <c r="AC86" s="224"/>
      <c r="AD86" s="225"/>
      <c r="AE86" s="226"/>
      <c r="AF86" s="224"/>
      <c r="AG86" s="225"/>
      <c r="AH86" s="227"/>
      <c r="AI86" s="19" t="str">
        <f>+AI85</f>
        <v>Imprime</v>
      </c>
      <c r="AJ86" s="15" t="s">
        <v>26</v>
      </c>
      <c r="AK86" s="128">
        <f>IF(SUM(AK87:AK99),SUM(AK87:AK99)/(letrapeso(G88)*letrapeso($C87)+letrapeso(G90)*letrapeso($C89)+letrapeso(G92)*letrapeso($C91)+letrapeso(G94)*letrapeso($C93)+letrapeso(G96)*letrapeso($C95)+letrapeso(G98)*letrapeso($C97)+letrapeso(G100)*letrapeso($C99)),0)</f>
        <v>0</v>
      </c>
      <c r="AL86" s="128">
        <f>IF(SUM(AL87:AL99),SUM(AL87:AL99)/(letrapeso(H88)*letrapeso($C87)+letrapeso(H90)*letrapeso($C89)+letrapeso(H92)*letrapeso($C91)+letrapeso(H94)*letrapeso($C93)+letrapeso(H96)*letrapeso($C95)+letrapeso(H98)*letrapeso($C97)+letrapeso(H100)*letrapeso($C99)),0)</f>
        <v>0</v>
      </c>
      <c r="AM86" s="128">
        <f>IF(SUM(AM87:AM99),SUM(AM87:AM99)/(letrapeso(G88)*letrapeso($C87)+letrapeso(G90)*letrapeso($C89)+letrapeso(G92)*letrapeso($C91)+letrapeso(G94)*letrapeso($C93)+letrapeso(G96)*letrapeso($C95)+letrapeso(G98)*letrapeso($C97)+letrapeso(G100)*letrapeso($C99)),0)</f>
        <v>0</v>
      </c>
      <c r="AN86" s="128">
        <f>IF(SUM(AN87:AN99),SUM(AN87:AN99)/(letrapeso(K88)*letrapeso($C87)+letrapeso(K90)*letrapeso($C89)+letrapeso(K92)*letrapeso($C91)+letrapeso(K94)*letrapeso($C93)+letrapeso(K96)*letrapeso($C95)+letrapeso(K98)*letrapeso($C97)+letrapeso(K100)*letrapeso($C99)),0)</f>
        <v>0</v>
      </c>
      <c r="AO86" s="128">
        <f>IF(SUM(AO87:AO99),SUM(AO87:AO99)/(letrapeso(L88)*letrapeso($C87)+letrapeso(L90)*letrapeso($C89)+letrapeso(L92)*letrapeso($C91)+letrapeso(L94)*letrapeso($C93)+letrapeso(L96)*letrapeso($C95)+letrapeso(L98)*letrapeso($C97)+letrapeso(L100)*letrapeso($C99)),0)</f>
        <v>0</v>
      </c>
      <c r="AQ86" s="128">
        <f>IF(SUM(AQ87:AQ99),SUM(AQ87:AQ99)/(letrapeso(N88)*letrapeso($C87)+letrapeso(N90)*letrapeso($C89)+letrapeso(N92)*letrapeso($C91)+letrapeso(N94)*letrapeso($C93)+letrapeso(N96)*letrapeso($C95)+letrapeso(N98)*letrapeso($C97)+letrapeso(N100)*letrapeso($C99)),0)</f>
        <v>0</v>
      </c>
      <c r="AR86" s="128">
        <f>IF(SUM(AR87:AR99),SUM(AR87:AR99)/(letrapeso(O88)*letrapeso($C87)+letrapeso(O90)*letrapeso($C89)+letrapeso(O92)*letrapeso($C91)+letrapeso(O94)*letrapeso($C93)+letrapeso(O96)*letrapeso($C95)+letrapeso(O98)*letrapeso($C97)+letrapeso(O100)*letrapeso($C99)),0)</f>
        <v>0</v>
      </c>
      <c r="AS86" s="28"/>
      <c r="AT86" s="128">
        <f>IF(SUM(AT87:AT99),SUM(AT87:AT99)/(letrapeso(Q88)*letrapeso($C87)+letrapeso(Q90)*letrapeso($C89)+letrapeso(Q92)*letrapeso($C91)+letrapeso(Q94)*letrapeso($C93)+letrapeso(Q96)*letrapeso($C95)+letrapeso(Q98)*letrapeso($C97)+letrapeso(Q100)*letrapeso($C99)),0)</f>
        <v>2</v>
      </c>
      <c r="AU86" s="128">
        <f>IF(SUM(AU87:AU99),SUM(AU87:AU99)/(letrapeso(R88)*letrapeso($C87)+letrapeso(R90)*letrapeso($C89)+letrapeso(R92)*letrapeso($C91)+letrapeso(R94)*letrapeso($C93)+letrapeso(R96)*letrapeso($C95)+letrapeso(R98)*letrapeso($C97)+letrapeso(R100)*letrapeso($C99)),0)</f>
        <v>2</v>
      </c>
      <c r="AV86" s="28"/>
      <c r="AW86" s="128">
        <f>IF(SUM(AW87:AW99),SUM(AW87:AW99)/(letrapeso(T88)*letrapeso($C87)+letrapeso(T90)*letrapeso($C89)+letrapeso(T92)*letrapeso($C91)+letrapeso(T94)*letrapeso($C93)+letrapeso(T96)*letrapeso($C95)+letrapeso(T98)*letrapeso($C97)+letrapeso(T100)*letrapeso($C99)),0)</f>
        <v>0</v>
      </c>
      <c r="AX86" s="128">
        <f>IF(SUM(AX87:AX99),SUM(AX87:AX99)/(letrapeso(U88)*letrapeso($C87)+letrapeso(U90)*letrapeso($C89)+letrapeso(U92)*letrapeso($C91)+letrapeso(U94)*letrapeso($C93)+letrapeso(U96)*letrapeso($C95)+letrapeso(U98)*letrapeso($C97)+letrapeso(U100)*letrapeso($C99)),0)</f>
        <v>0</v>
      </c>
      <c r="AY86" s="28"/>
      <c r="AZ86" s="128">
        <f>IF(SUM(AZ87:AZ99),SUM(AZ87:AZ99)/(letrapeso(W88)*letrapeso($C87)+letrapeso(W90)*letrapeso($C89)+letrapeso(W92)*letrapeso($C91)+letrapeso(W94)*letrapeso($C93)+letrapeso(W96)*letrapeso($C95)+letrapeso(W98)*letrapeso($C97)+letrapeso(W100)*letrapeso($C99)),0)</f>
        <v>0</v>
      </c>
      <c r="BA86" s="128">
        <f>IF(SUM(BA87:BA99),SUM(BA87:BA99)/(letrapeso(X88)*letrapeso($C87)+letrapeso(X90)*letrapeso($C89)+letrapeso(X92)*letrapeso($C91)+letrapeso(X94)*letrapeso($C93)+letrapeso(X96)*letrapeso($C95)+letrapeso(X98)*letrapeso($C97)+letrapeso(X100)*letrapeso($C99)),0)</f>
        <v>0</v>
      </c>
      <c r="BB86" s="28"/>
      <c r="BC86" s="128">
        <f>IF(SUM(BC87:BC99),SUM(BC87:BC99)/(letrapeso(Z88)*letrapeso($C87)+letrapeso(Z90)*letrapeso($C89)+letrapeso(Z92)*letrapeso($C91)+letrapeso(Z94)*letrapeso($C93)+letrapeso(Z96)*letrapeso($C95)+letrapeso(Z98)*letrapeso($C97)+letrapeso(Z100)*letrapeso($C99)),0)</f>
        <v>0</v>
      </c>
      <c r="BD86" s="128">
        <f>IF(SUM(BD87:BD99),SUM(BD87:BD99)/(letrapeso(AA88)*letrapeso($C87)+letrapeso(AA90)*letrapeso($C89)+letrapeso(AA92)*letrapeso($C91)+letrapeso(AA94)*letrapeso($C93)+letrapeso(AA96)*letrapeso($C95)+letrapeso(AA98)*letrapeso($C97)+letrapeso(AA100)*letrapeso($C99)),0)</f>
        <v>0</v>
      </c>
      <c r="BE86" s="28"/>
      <c r="BF86" s="128">
        <f>IF(SUM(BF87:BF99),SUM(BF87:BF99)/(letrapeso(AC88)*letrapeso($C87)+letrapeso(AC90)*letrapeso($C89)+letrapeso(AC92)*letrapeso($C91)+letrapeso(AC94)*letrapeso($C93)+letrapeso(AC96)*letrapeso($C95)+letrapeso(AC98)*letrapeso($C97)+letrapeso(AC100)*letrapeso($C99)),0)</f>
        <v>0</v>
      </c>
      <c r="BG86" s="128">
        <f>IF(SUM(BG87:BG99),SUM(BG87:BG99)/(letrapeso(AD88)*letrapeso($C87)+letrapeso(AD90)*letrapeso($C89)+letrapeso(AD92)*letrapeso($C91)+letrapeso(AD94)*letrapeso($C93)+letrapeso(AD96)*letrapeso($C95)+letrapeso(AD98)*letrapeso($C97)+letrapeso(AD100)*letrapeso($C99)),0)</f>
        <v>0</v>
      </c>
      <c r="BH86" s="28"/>
      <c r="BI86" s="128">
        <f>IF(SUM(BI87:BI99),SUM(BI87:BI99)/(letrapeso(AF88)*letrapeso($C87)+letrapeso(AF90)*letrapeso($C89)+letrapeso(AF92)*letrapeso($C91)+letrapeso(AF94)*letrapeso($C93)+letrapeso(AF96)*letrapeso($C95)+letrapeso(AF98)*letrapeso($C97)+letrapeso(AF100)*letrapeso($C99)),0)</f>
        <v>0</v>
      </c>
      <c r="BJ86" s="128">
        <f>IF(SUM(BJ87:BJ99),SUM(BJ87:BJ99)/(letrapeso(AG88)*letrapeso($C87)+letrapeso(AG90)*letrapeso($C89)+letrapeso(AG92)*letrapeso($C91)+letrapeso(AG94)*letrapeso($C93)+letrapeso(AG96)*letrapeso($C95)+letrapeso(AG98)*letrapeso($C97)+letrapeso(AG100)*letrapeso($C99)),0)</f>
        <v>0</v>
      </c>
      <c r="BK86" s="28"/>
    </row>
    <row r="87" spans="1:92" ht="15.75" hidden="1" thickBot="1" x14ac:dyDescent="0.25">
      <c r="A87" s="546" t="str">
        <f>'Digitar aqui Notas e Pesos'!A87</f>
        <v>Seguros, Previdência e</v>
      </c>
      <c r="B87" s="547"/>
      <c r="C87" s="229" t="str">
        <f>IF('Digitar aqui Notas e Pesos'!C87,PEsoLetra('Digitar aqui Notas e Pesos'!C87),0)</f>
        <v>a</v>
      </c>
      <c r="D87" s="208">
        <f>IF(ISTEXT($C87),(G87*letrapeso(G88)+K87*letrapeso(K88)+N87*letrapeso(N88)+Q87*letrapeso(Q88)+T87*letrapeso(T88)+W87*letrapeso(W88)+Z87*letrapeso(Z88)+AC87*letrapeso(AC88)+AF87*letrapeso(AF88))/(letrapeso(G88)+letrapeso(K88)+letrapeso(N88)+letrapeso(Q88)+letrapeso(T88)+letrapeso(W88)+letrapeso(Z88)+letrapeso(AC88)+letrapeso(AF88)),0)</f>
        <v>2</v>
      </c>
      <c r="E87" s="208">
        <f>IF(ISTEXT($C87),(H87*letrapeso(H88)+L87*letrapeso(L88)+O87*letrapeso(O88)+R87*letrapeso(R88)+U87*letrapeso(U88)+X87*letrapeso(X88)+AA87*letrapeso(AA88)+AD87*letrapeso(AD88)+AG87*letrapeso(AG88))/(letrapeso(H88)+letrapeso(L88)+letrapeso(O88)+letrapeso(R88)+letrapeso(U88)+letrapeso(X88)+letrapeso(AA88)+letrapeso(AD88)+letrapeso(AG88)),0)</f>
        <v>2</v>
      </c>
      <c r="F87" s="209">
        <f>IF(ISTEXT($C87),(D87*$A$145+E87*$A$146),0)</f>
        <v>2</v>
      </c>
      <c r="G87" s="259">
        <f>'Digitar aqui Notas e Pesos'!D87</f>
        <v>0</v>
      </c>
      <c r="H87" s="116">
        <f>'Digitar aqui Notas e Pesos'!E87</f>
        <v>0</v>
      </c>
      <c r="I87" s="565">
        <f>IF(AND(G87&lt;&gt;0,H87&lt;&gt;0,$C87&lt;&gt;0),(G87*letrapeso(G88)*$A$145+H87*letrapeso(H88)*$A$146)/(letrapeso(G88)*$A$145+letrapeso(H88)*$A$146),0)</f>
        <v>0</v>
      </c>
      <c r="J87" s="259">
        <f>'Digitar aqui Notas e Pesos'!F87</f>
        <v>0</v>
      </c>
      <c r="K87" s="259">
        <f>'Digitar aqui Notas e Pesos'!G87</f>
        <v>0</v>
      </c>
      <c r="L87" s="116">
        <f>'Digitar aqui Notas e Pesos'!H87</f>
        <v>0</v>
      </c>
      <c r="M87" s="553">
        <f>IF(AND(K87&lt;&gt;0,L87&lt;&gt;0,$C87&lt;&gt;0),(K87*letrapeso(K88)*$A$145+L87*letrapeso(L88)*$A$146)/(letrapeso(K88)*$A$145+letrapeso(L88)*$A$146),0)</f>
        <v>0</v>
      </c>
      <c r="N87" s="259">
        <f>'Digitar aqui Notas e Pesos'!J87</f>
        <v>0</v>
      </c>
      <c r="O87" s="116">
        <f>'Digitar aqui Notas e Pesos'!K87</f>
        <v>0</v>
      </c>
      <c r="P87" s="553">
        <f>IF(AND(N87&lt;&gt;0,O87&lt;&gt;0,$C87&lt;&gt;0),(N87*letrapeso(N88)*$A$145+O87*letrapeso(O88)*$A$146)/(letrapeso(N88)*$A$145+letrapeso(O88)*$A$146),0)</f>
        <v>0</v>
      </c>
      <c r="Q87" s="259">
        <f>'Digitar aqui Notas e Pesos'!M87</f>
        <v>2</v>
      </c>
      <c r="R87" s="116">
        <f>'Digitar aqui Notas e Pesos'!N87</f>
        <v>2</v>
      </c>
      <c r="S87" s="553">
        <f>IF(AND(Q87&lt;&gt;0,R87&lt;&gt;0,$C87&lt;&gt;0),(Q87*letrapeso(Q88)*$A$145+R87*letrapeso(R88)*$A$146)/(letrapeso(Q88)*$A$145+letrapeso(R88)*$A$146),0)</f>
        <v>2</v>
      </c>
      <c r="T87" s="259">
        <f>'Digitar aqui Notas e Pesos'!P87</f>
        <v>0</v>
      </c>
      <c r="U87" s="116">
        <f>'Digitar aqui Notas e Pesos'!Q87</f>
        <v>0</v>
      </c>
      <c r="V87" s="553">
        <f>IF(AND(T87&lt;&gt;0,U87&lt;&gt;0,$C87&lt;&gt;0),(T87*letrapeso(T88)*$A$145+U87*letrapeso(U88)*$A$146)/(letrapeso(T88)*$A$145+letrapeso(U88)*$A$146),0)</f>
        <v>0</v>
      </c>
      <c r="W87" s="259">
        <f>'Digitar aqui Notas e Pesos'!S87</f>
        <v>0</v>
      </c>
      <c r="X87" s="116">
        <f>'Digitar aqui Notas e Pesos'!T87</f>
        <v>0</v>
      </c>
      <c r="Y87" s="553">
        <f>IF(AND(W87&lt;&gt;0,X87&lt;&gt;0,$C87&lt;&gt;0),(W87*letrapeso(W88)*$A$145+X87*letrapeso(X88)*$A$146)/(letrapeso(W88)*$A$145+letrapeso(X88)*$A$146),0)</f>
        <v>0</v>
      </c>
      <c r="Z87" s="259">
        <f>'Digitar aqui Notas e Pesos'!V87</f>
        <v>0</v>
      </c>
      <c r="AA87" s="116">
        <f>'Digitar aqui Notas e Pesos'!W87</f>
        <v>0</v>
      </c>
      <c r="AB87" s="553">
        <f>IF(AND(Z87&lt;&gt;0,AA87&lt;&gt;0,$C87&lt;&gt;0),(Z87*letrapeso(Z88)*$A$145+AA87*letrapeso(AA88)*$A$146)/(letrapeso(Z88)*$A$145+letrapeso(AA88)*$A$146),0)</f>
        <v>0</v>
      </c>
      <c r="AC87" s="259">
        <f>'Digitar aqui Notas e Pesos'!Y87</f>
        <v>0</v>
      </c>
      <c r="AD87" s="116">
        <f>'Digitar aqui Notas e Pesos'!Z87</f>
        <v>0</v>
      </c>
      <c r="AE87" s="553">
        <f>IF(AND(AC87&lt;&gt;0,AD87&lt;&gt;0,$C87&lt;&gt;0),(AC87*letrapeso(AC88)*$A$145+AD87*letrapeso(AD88)*$A$146)/(letrapeso(AC88)*$A$145+letrapeso(AD88)*$A$146),0)</f>
        <v>0</v>
      </c>
      <c r="AF87" s="259">
        <f>'Digitar aqui Notas e Pesos'!AB87</f>
        <v>0</v>
      </c>
      <c r="AG87" s="116">
        <f>'Digitar aqui Notas e Pesos'!AC87</f>
        <v>0</v>
      </c>
      <c r="AH87" s="573">
        <f>IF(AND(AF87&lt;&gt;0,AG87&lt;&gt;0,$C87&lt;&gt;0),(AF87*letrapeso(AF88)*$A$145+AG87*letrapeso(AG88)*$A$146)/(letrapeso(AF88)*$A$145+letrapeso(AG88)*$A$146),0)</f>
        <v>0</v>
      </c>
      <c r="AI87" s="8" t="str">
        <f>IF(letrapeso(C87),"Imprime","Não Imprime")</f>
        <v>Imprime</v>
      </c>
      <c r="AJ87" s="14" t="s">
        <v>28</v>
      </c>
      <c r="AK87" s="129">
        <f>G87*letrapeso(G88)*letrapeso($C87)</f>
        <v>0</v>
      </c>
      <c r="AL87" s="129">
        <f>H87*letrapeso(H88)*letrapeso($C87)</f>
        <v>0</v>
      </c>
      <c r="AM87" s="129">
        <f>J87*letrapeso(G88)*letrapeso($C87)</f>
        <v>0</v>
      </c>
      <c r="AN87" s="129">
        <f>K87*letrapeso(K88)*letrapeso($C87)</f>
        <v>0</v>
      </c>
      <c r="AO87" s="129">
        <f>L87*letrapeso(L88)*letrapeso($C87)</f>
        <v>0</v>
      </c>
      <c r="AP87" s="44"/>
      <c r="AQ87" s="129">
        <f>N87*letrapeso(N88)*letrapeso($C87)</f>
        <v>0</v>
      </c>
      <c r="AR87" s="129">
        <f>O87*letrapeso(O88)*letrapeso($C87)</f>
        <v>0</v>
      </c>
      <c r="AS87" s="44"/>
      <c r="AT87" s="129">
        <f>Q87*letrapeso(Q88)*letrapeso($C87)</f>
        <v>128</v>
      </c>
      <c r="AU87" s="129">
        <f>R87*letrapeso(R88)*letrapeso($C87)</f>
        <v>128</v>
      </c>
      <c r="AV87" s="44"/>
      <c r="AW87" s="129">
        <f>T87*letrapeso(T88)*letrapeso($C87)</f>
        <v>0</v>
      </c>
      <c r="AX87" s="129">
        <f>U87*letrapeso(U88)*letrapeso($C87)</f>
        <v>0</v>
      </c>
      <c r="AY87" s="44"/>
      <c r="AZ87" s="129">
        <f>W87*letrapeso(W88)*letrapeso($C87)</f>
        <v>0</v>
      </c>
      <c r="BA87" s="129">
        <f>X87*letrapeso(X88)*letrapeso($C87)</f>
        <v>0</v>
      </c>
      <c r="BB87" s="44"/>
      <c r="BC87" s="129">
        <f>Z87*letrapeso(Z88)*letrapeso($C87)</f>
        <v>0</v>
      </c>
      <c r="BD87" s="129">
        <f>AA87*letrapeso(AA88)*letrapeso($C87)</f>
        <v>0</v>
      </c>
      <c r="BE87" s="44"/>
      <c r="BF87" s="129">
        <f>AC87*letrapeso(AC88)*letrapeso($C87)</f>
        <v>0</v>
      </c>
      <c r="BG87" s="129">
        <f>AD87*letrapeso(AD88)*letrapeso($C87)</f>
        <v>0</v>
      </c>
      <c r="BH87" s="44"/>
      <c r="BI87" s="129">
        <f>AF87*letrapeso(AF88)*letrapeso($C87)</f>
        <v>0</v>
      </c>
      <c r="BJ87" s="129">
        <f>AG87*letrapeso(AG88)*letrapeso($C87)</f>
        <v>0</v>
      </c>
      <c r="BK87" s="44"/>
      <c r="BL87" s="171">
        <f>letrapeso(G88)</f>
        <v>0</v>
      </c>
      <c r="BM87" s="171">
        <f>letrapeso(H88)</f>
        <v>0</v>
      </c>
      <c r="BN87" s="41"/>
      <c r="BO87" s="171">
        <f>letrapeso(K88)</f>
        <v>0</v>
      </c>
      <c r="BP87" s="171">
        <f>letrapeso(L88)</f>
        <v>0</v>
      </c>
      <c r="BQ87" s="41"/>
      <c r="BR87" s="171">
        <f>letrapeso(N88)</f>
        <v>0</v>
      </c>
      <c r="BS87" s="171">
        <f>letrapeso(O88)</f>
        <v>0</v>
      </c>
      <c r="BT87" s="41"/>
      <c r="BU87" s="171">
        <f>letrapeso(Q88)</f>
        <v>8</v>
      </c>
      <c r="BV87" s="171">
        <f>letrapeso(R88)</f>
        <v>8</v>
      </c>
      <c r="BW87" s="41"/>
      <c r="BX87" s="171">
        <f>letrapeso(T88)</f>
        <v>0</v>
      </c>
      <c r="BY87" s="171">
        <f>letrapeso(U88)</f>
        <v>0</v>
      </c>
      <c r="BZ87" s="41"/>
      <c r="CA87" s="171">
        <f>letrapeso(W88)</f>
        <v>0</v>
      </c>
      <c r="CB87" s="171">
        <f>letrapeso(X88)</f>
        <v>0</v>
      </c>
      <c r="CC87" s="41"/>
      <c r="CD87" s="171">
        <f>letrapeso(Z88)</f>
        <v>0</v>
      </c>
      <c r="CE87" s="171">
        <f>letrapeso(AA88)</f>
        <v>0</v>
      </c>
      <c r="CF87" s="41"/>
      <c r="CG87" s="171">
        <f>letrapeso(AC88)</f>
        <v>0</v>
      </c>
      <c r="CH87" s="171">
        <f>letrapeso(AD88)</f>
        <v>0</v>
      </c>
      <c r="CI87" s="41"/>
      <c r="CJ87" s="171">
        <f>letrapeso(AF88)</f>
        <v>0</v>
      </c>
      <c r="CK87" s="171">
        <f>letrapeso(AG88)</f>
        <v>0</v>
      </c>
      <c r="CL87" s="41"/>
      <c r="CM87" s="41">
        <f>IF(ISTEXT($C87),(BL87+BO87+BR87+BU87+BX87+CA87+CD87+CG87+CJ87),0)</f>
        <v>8</v>
      </c>
      <c r="CN87" s="41">
        <f>IF(ISTEXT($C87),(BM87+BP87+BS87+BV87+BY87+CB87+CE87+CH87+CK87),0)</f>
        <v>8</v>
      </c>
    </row>
    <row r="88" spans="1:92" ht="15.75" hidden="1" thickBot="1" x14ac:dyDescent="0.25">
      <c r="A88" s="537" t="str">
        <f>TEXT(D87,"0,00")&amp;"       "&amp;TEXT(E87,"0,00")&amp;"       "&amp;TEXT(F87,"0,00")</f>
        <v>2,00       2,00       2,00</v>
      </c>
      <c r="B88" s="538"/>
      <c r="C88" s="230"/>
      <c r="D88" s="210"/>
      <c r="E88" s="208">
        <f>IF(ISTEXT($C88),(H88*letrapeso(H89)+#REF!*letrapeso(#REF!)+L88*letrapeso(L89)+O88*letrapeso(O89)+R88*letrapeso(R89)+#REF!*letrapeso(#REF!)+U88*letrapeso(U89)+X88*letrapeso(X89)+AA88*letrapeso(AA89)+AD88*letrapeso(AD89)+AG88*letrapeso(AG89))/(letrapeso(H89)+letrapeso(#REF!)+letrapeso(L89)+letrapeso(O89)+letrapeso(R89)+letrapeso(#REF!)+letrapeso(U89)+letrapeso(X89)+letrapeso(AA89)+letrapeso(AD89)+letrapeso(AG89)),0)</f>
        <v>0</v>
      </c>
      <c r="F88" s="209"/>
      <c r="G88" s="231" t="str">
        <f>PEsoLetra('Digitar aqui Notas e Pesos'!D88)</f>
        <v/>
      </c>
      <c r="H88" s="232" t="str">
        <f>PEsoLetra('Digitar aqui Notas e Pesos'!E88)</f>
        <v/>
      </c>
      <c r="I88" s="566"/>
      <c r="J88" s="490"/>
      <c r="K88" s="231" t="str">
        <f>PEsoLetra('Digitar aqui Notas e Pesos'!G88)</f>
        <v/>
      </c>
      <c r="L88" s="232" t="str">
        <f>PEsoLetra('Digitar aqui Notas e Pesos'!H88)</f>
        <v/>
      </c>
      <c r="M88" s="554"/>
      <c r="N88" s="231" t="str">
        <f>PEsoLetra('Digitar aqui Notas e Pesos'!J88)</f>
        <v/>
      </c>
      <c r="O88" s="232" t="str">
        <f>PEsoLetra('Digitar aqui Notas e Pesos'!K88)</f>
        <v/>
      </c>
      <c r="P88" s="554"/>
      <c r="Q88" s="231" t="str">
        <f>PEsoLetra('Digitar aqui Notas e Pesos'!M88)</f>
        <v>a</v>
      </c>
      <c r="R88" s="232" t="str">
        <f>PEsoLetra('Digitar aqui Notas e Pesos'!N88)</f>
        <v>a</v>
      </c>
      <c r="S88" s="554"/>
      <c r="T88" s="231" t="str">
        <f>PEsoLetra('Digitar aqui Notas e Pesos'!P88)</f>
        <v/>
      </c>
      <c r="U88" s="232" t="str">
        <f>PEsoLetra('Digitar aqui Notas e Pesos'!Q88)</f>
        <v/>
      </c>
      <c r="V88" s="554"/>
      <c r="W88" s="231" t="str">
        <f>PEsoLetra('Digitar aqui Notas e Pesos'!S88)</f>
        <v/>
      </c>
      <c r="X88" s="232" t="str">
        <f>PEsoLetra('Digitar aqui Notas e Pesos'!T88)</f>
        <v/>
      </c>
      <c r="Y88" s="554"/>
      <c r="Z88" s="231" t="str">
        <f>PEsoLetra('Digitar aqui Notas e Pesos'!V88)</f>
        <v/>
      </c>
      <c r="AA88" s="232" t="str">
        <f>PEsoLetra('Digitar aqui Notas e Pesos'!W88)</f>
        <v/>
      </c>
      <c r="AB88" s="554"/>
      <c r="AC88" s="231" t="str">
        <f>PEsoLetra('Digitar aqui Notas e Pesos'!Y88)</f>
        <v/>
      </c>
      <c r="AD88" s="232" t="str">
        <f>PEsoLetra('Digitar aqui Notas e Pesos'!Z88)</f>
        <v/>
      </c>
      <c r="AE88" s="554"/>
      <c r="AF88" s="231" t="str">
        <f>PEsoLetra('Digitar aqui Notas e Pesos'!AB88)</f>
        <v/>
      </c>
      <c r="AG88" s="232" t="str">
        <f>PEsoLetra('Digitar aqui Notas e Pesos'!AC88)</f>
        <v/>
      </c>
      <c r="AH88" s="574"/>
      <c r="AI88" s="19" t="str">
        <f>+AI87</f>
        <v>Imprime</v>
      </c>
      <c r="AJ88" s="1"/>
      <c r="AK88" s="130"/>
      <c r="AL88" s="130"/>
      <c r="AM88" s="130"/>
      <c r="AN88" s="130"/>
      <c r="AO88" s="130"/>
      <c r="AQ88" s="130"/>
      <c r="AR88" s="130"/>
      <c r="AS88" s="28"/>
      <c r="AT88" s="130"/>
      <c r="AU88" s="130"/>
      <c r="AV88" s="28"/>
      <c r="AW88" s="130"/>
      <c r="AX88" s="130"/>
      <c r="AY88" s="28"/>
      <c r="AZ88" s="130"/>
      <c r="BA88" s="130"/>
      <c r="BB88" s="28"/>
      <c r="BC88" s="130"/>
      <c r="BD88" s="130"/>
      <c r="BE88" s="28"/>
      <c r="BF88" s="130"/>
      <c r="BG88" s="130"/>
      <c r="BH88" s="28"/>
      <c r="BI88" s="130"/>
      <c r="BJ88" s="130"/>
      <c r="BK88" s="28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171"/>
      <c r="CN88" s="171"/>
    </row>
    <row r="89" spans="1:92" ht="15.75" hidden="1" thickBot="1" x14ac:dyDescent="0.25">
      <c r="A89" s="546" t="str">
        <f>'Digitar aqui Notas e Pesos'!A89</f>
        <v>Nome da Atividade 2 da Unidade 5</v>
      </c>
      <c r="B89" s="547"/>
      <c r="C89" s="229">
        <f>IF('Digitar aqui Notas e Pesos'!C89,PEsoLetra('Digitar aqui Notas e Pesos'!C89),0)</f>
        <v>0</v>
      </c>
      <c r="D89" s="208">
        <f>IF(ISTEXT($C89),(G89*letrapeso(G90)+K89*letrapeso(K90)+N89*letrapeso(N90)+Q89*letrapeso(Q90)+T89*letrapeso(T90)+W89*letrapeso(W90)+Z89*letrapeso(Z90)+AC89*letrapeso(AC90)+AF89*letrapeso(AF90))/(letrapeso(G90)+letrapeso(K90)+letrapeso(N90)+letrapeso(Q90)+letrapeso(T90)+letrapeso(W90)+letrapeso(Z90)+letrapeso(AC90)+letrapeso(AF90)),0)</f>
        <v>0</v>
      </c>
      <c r="E89" s="208">
        <f>IF(ISTEXT($C89),(H89*letrapeso(H90)+L89*letrapeso(L90)+O89*letrapeso(O90)+R89*letrapeso(R90)+U89*letrapeso(U90)+X89*letrapeso(X90)+AA89*letrapeso(AA90)+AD89*letrapeso(AD90)+AG89*letrapeso(AG90))/(letrapeso(H90)+letrapeso(L90)+letrapeso(O90)+letrapeso(R90)+letrapeso(U90)+letrapeso(X90)+letrapeso(AA90)+letrapeso(AD90)+letrapeso(AG90)),0)</f>
        <v>0</v>
      </c>
      <c r="F89" s="209">
        <f>IF(ISTEXT($C89),(D89*$A$145+E89*$A$146),0)</f>
        <v>0</v>
      </c>
      <c r="G89" s="259">
        <f>'Digitar aqui Notas e Pesos'!D89</f>
        <v>0</v>
      </c>
      <c r="H89" s="116">
        <f>'Digitar aqui Notas e Pesos'!E89</f>
        <v>0</v>
      </c>
      <c r="I89" s="565">
        <f>IF(AND(G89&lt;&gt;0,H89&lt;&gt;0,$C89&lt;&gt;0),(G89*letrapeso(G90)*$A$145+H89*letrapeso(H90)*$A$146)/(letrapeso(G90)*$A$145+letrapeso(H90)*$A$146),0)</f>
        <v>0</v>
      </c>
      <c r="J89" s="259">
        <f>'Digitar aqui Notas e Pesos'!F89</f>
        <v>0</v>
      </c>
      <c r="K89" s="259">
        <f>'Digitar aqui Notas e Pesos'!G89</f>
        <v>0</v>
      </c>
      <c r="L89" s="116">
        <f>'Digitar aqui Notas e Pesos'!H89</f>
        <v>0</v>
      </c>
      <c r="M89" s="553">
        <f>IF(AND(K89&lt;&gt;0,L89&lt;&gt;0,$C89&lt;&gt;0),(K89*letrapeso(K90)*$A$145+L89*letrapeso(L90)*$A$146)/(letrapeso(K90)*$A$145+letrapeso(L90)*$A$146),0)</f>
        <v>0</v>
      </c>
      <c r="N89" s="259">
        <f>'Digitar aqui Notas e Pesos'!J89</f>
        <v>0</v>
      </c>
      <c r="O89" s="116">
        <f>'Digitar aqui Notas e Pesos'!K89</f>
        <v>0</v>
      </c>
      <c r="P89" s="553">
        <f>IF(AND(N89&lt;&gt;0,O89&lt;&gt;0,$C89&lt;&gt;0),(N89*letrapeso(N90)*$A$145+O89*letrapeso(O90)*$A$146)/(letrapeso(N90)*$A$145+letrapeso(O90)*$A$146),0)</f>
        <v>0</v>
      </c>
      <c r="Q89" s="259">
        <f>'Digitar aqui Notas e Pesos'!M89</f>
        <v>0</v>
      </c>
      <c r="R89" s="116">
        <f>'Digitar aqui Notas e Pesos'!N89</f>
        <v>0</v>
      </c>
      <c r="S89" s="553">
        <f>IF(AND(Q89&lt;&gt;0,R89&lt;&gt;0,$C89&lt;&gt;0),(Q89*letrapeso(Q90)*$A$145+R89*letrapeso(R90)*$A$146)/(letrapeso(Q90)*$A$145+letrapeso(R90)*$A$146),0)</f>
        <v>0</v>
      </c>
      <c r="T89" s="259">
        <f>'Digitar aqui Notas e Pesos'!P89</f>
        <v>0</v>
      </c>
      <c r="U89" s="116">
        <f>'Digitar aqui Notas e Pesos'!Q89</f>
        <v>0</v>
      </c>
      <c r="V89" s="553">
        <f>IF(AND(T89&lt;&gt;0,U89&lt;&gt;0,$C89&lt;&gt;0),(T89*letrapeso(T90)*$A$145+U89*letrapeso(U90)*$A$146)/(letrapeso(T90)*$A$145+letrapeso(U90)*$A$146),0)</f>
        <v>0</v>
      </c>
      <c r="W89" s="259">
        <f>'Digitar aqui Notas e Pesos'!S89</f>
        <v>0</v>
      </c>
      <c r="X89" s="116">
        <f>'Digitar aqui Notas e Pesos'!T89</f>
        <v>0</v>
      </c>
      <c r="Y89" s="553">
        <f>IF(AND(W89&lt;&gt;0,X89&lt;&gt;0,$C89&lt;&gt;0),(W89*letrapeso(W90)*$A$145+X89*letrapeso(X90)*$A$146)/(letrapeso(W90)*$A$145+letrapeso(X90)*$A$146),0)</f>
        <v>0</v>
      </c>
      <c r="Z89" s="259">
        <f>'Digitar aqui Notas e Pesos'!V89</f>
        <v>0</v>
      </c>
      <c r="AA89" s="116">
        <f>'Digitar aqui Notas e Pesos'!W89</f>
        <v>0</v>
      </c>
      <c r="AB89" s="553">
        <f>IF(AND(Z89&lt;&gt;0,AA89&lt;&gt;0,$C89&lt;&gt;0),(Z89*letrapeso(Z90)*$A$145+AA89*letrapeso(AA90)*$A$146)/(letrapeso(Z90)*$A$145+letrapeso(AA90)*$A$146),0)</f>
        <v>0</v>
      </c>
      <c r="AC89" s="259">
        <f>'Digitar aqui Notas e Pesos'!Y89</f>
        <v>0</v>
      </c>
      <c r="AD89" s="116">
        <f>'Digitar aqui Notas e Pesos'!Z89</f>
        <v>0</v>
      </c>
      <c r="AE89" s="553">
        <f>IF(AND(AC89&lt;&gt;0,AD89&lt;&gt;0,$C89&lt;&gt;0),(AC89*letrapeso(AC90)*$A$145+AD89*letrapeso(AD90)*$A$146)/(letrapeso(AC90)*$A$145+letrapeso(AD90)*$A$146),0)</f>
        <v>0</v>
      </c>
      <c r="AF89" s="259">
        <f>'Digitar aqui Notas e Pesos'!AB89</f>
        <v>0</v>
      </c>
      <c r="AG89" s="116">
        <f>'Digitar aqui Notas e Pesos'!AC89</f>
        <v>0</v>
      </c>
      <c r="AH89" s="573">
        <f>IF(AND(AF89&lt;&gt;0,AG89&lt;&gt;0,$C89&lt;&gt;0),(AF89*letrapeso(AF90)*$A$145+AG89*letrapeso(AG90)*$A$146)/(letrapeso(AF90)*$A$145+letrapeso(AG90)*$A$146),0)</f>
        <v>0</v>
      </c>
      <c r="AI89" s="8" t="str">
        <f>IF(letrapeso(C89),"Imprime","Não Imprime")</f>
        <v>Não Imprime</v>
      </c>
      <c r="AJ89" s="14" t="s">
        <v>28</v>
      </c>
      <c r="AK89" s="129">
        <f>G89*letrapeso(G90)*letrapeso($C89)</f>
        <v>0</v>
      </c>
      <c r="AL89" s="129">
        <f>H89*letrapeso(H90)*letrapeso($C89)</f>
        <v>0</v>
      </c>
      <c r="AM89" s="129">
        <f>J89*letrapeso(G90)*letrapeso($C89)</f>
        <v>0</v>
      </c>
      <c r="AN89" s="129">
        <f>K89*letrapeso(K90)*letrapeso($C89)</f>
        <v>0</v>
      </c>
      <c r="AO89" s="129">
        <f>L89*letrapeso(L90)*letrapeso($C89)</f>
        <v>0</v>
      </c>
      <c r="AP89" s="131"/>
      <c r="AQ89" s="129">
        <f>N89*letrapeso(N90)*letrapeso($C89)</f>
        <v>0</v>
      </c>
      <c r="AR89" s="129">
        <f>O89*letrapeso(O90)*letrapeso($C89)</f>
        <v>0</v>
      </c>
      <c r="AS89" s="131"/>
      <c r="AT89" s="129">
        <f>Q89*letrapeso(Q90)*letrapeso($C89)</f>
        <v>0</v>
      </c>
      <c r="AU89" s="129">
        <f>R89*letrapeso(R90)*letrapeso($C89)</f>
        <v>0</v>
      </c>
      <c r="AV89" s="131"/>
      <c r="AW89" s="129">
        <f>T89*letrapeso(T90)*letrapeso($C89)</f>
        <v>0</v>
      </c>
      <c r="AX89" s="129">
        <f>U89*letrapeso(U90)*letrapeso($C89)</f>
        <v>0</v>
      </c>
      <c r="AY89" s="131"/>
      <c r="AZ89" s="129">
        <f>W89*letrapeso(W90)*letrapeso($C89)</f>
        <v>0</v>
      </c>
      <c r="BA89" s="129">
        <f>X89*letrapeso(X90)*letrapeso($C89)</f>
        <v>0</v>
      </c>
      <c r="BB89" s="131"/>
      <c r="BC89" s="129">
        <f>Z89*letrapeso(Z90)*letrapeso($C89)</f>
        <v>0</v>
      </c>
      <c r="BD89" s="129">
        <f>AA89*letrapeso(AA90)*letrapeso($C89)</f>
        <v>0</v>
      </c>
      <c r="BE89" s="131"/>
      <c r="BF89" s="129">
        <f>AC89*letrapeso(AC90)*letrapeso($C89)</f>
        <v>0</v>
      </c>
      <c r="BG89" s="129">
        <f>AD89*letrapeso(AD90)*letrapeso($C89)</f>
        <v>0</v>
      </c>
      <c r="BH89" s="131"/>
      <c r="BI89" s="129">
        <f>AF89*letrapeso(AF90)*letrapeso($C89)</f>
        <v>0</v>
      </c>
      <c r="BJ89" s="129">
        <f>AG89*letrapeso(AG90)*letrapeso($C89)</f>
        <v>0</v>
      </c>
      <c r="BK89" s="131"/>
      <c r="BL89" s="171">
        <f>letrapeso(G90)</f>
        <v>0</v>
      </c>
      <c r="BM89" s="171">
        <f>letrapeso(H90)</f>
        <v>0</v>
      </c>
      <c r="BN89" s="41"/>
      <c r="BO89" s="171">
        <f>letrapeso(K90)</f>
        <v>0</v>
      </c>
      <c r="BP89" s="171">
        <f>letrapeso(L90)</f>
        <v>0</v>
      </c>
      <c r="BQ89" s="41"/>
      <c r="BR89" s="171">
        <f>letrapeso(N90)</f>
        <v>0</v>
      </c>
      <c r="BS89" s="171">
        <f>letrapeso(O90)</f>
        <v>0</v>
      </c>
      <c r="BT89" s="41"/>
      <c r="BU89" s="171">
        <f>letrapeso(Q90)</f>
        <v>0</v>
      </c>
      <c r="BV89" s="171">
        <f>letrapeso(R90)</f>
        <v>0</v>
      </c>
      <c r="BW89" s="41"/>
      <c r="BX89" s="171">
        <f>letrapeso(T90)</f>
        <v>0</v>
      </c>
      <c r="BY89" s="171">
        <f>letrapeso(U90)</f>
        <v>0</v>
      </c>
      <c r="BZ89" s="41"/>
      <c r="CA89" s="171">
        <f>letrapeso(W90)</f>
        <v>0</v>
      </c>
      <c r="CB89" s="171">
        <f>letrapeso(X90)</f>
        <v>0</v>
      </c>
      <c r="CC89" s="41"/>
      <c r="CD89" s="171">
        <f>letrapeso(Z90)</f>
        <v>0</v>
      </c>
      <c r="CE89" s="171">
        <f>letrapeso(AA90)</f>
        <v>0</v>
      </c>
      <c r="CF89" s="41"/>
      <c r="CG89" s="171">
        <f>letrapeso(AC90)</f>
        <v>0</v>
      </c>
      <c r="CH89" s="171">
        <f>letrapeso(AD90)</f>
        <v>0</v>
      </c>
      <c r="CI89" s="41"/>
      <c r="CJ89" s="171">
        <f>letrapeso(AF90)</f>
        <v>0</v>
      </c>
      <c r="CK89" s="171">
        <f>letrapeso(AG90)</f>
        <v>0</v>
      </c>
      <c r="CL89" s="41"/>
      <c r="CM89" s="41">
        <f>IF(ISTEXT($C89),(BL89+BO89+BR89+BU89+BX89+CA89+CD89+CG89+CJ89),0)</f>
        <v>0</v>
      </c>
      <c r="CN89" s="41">
        <f>IF(ISTEXT($C89),(BM89+BP89+BS89+BV89+BY89+CB89+CE89+CH89+CK89),0)</f>
        <v>0</v>
      </c>
    </row>
    <row r="90" spans="1:92" ht="15.75" hidden="1" thickBot="1" x14ac:dyDescent="0.25">
      <c r="A90" s="537" t="str">
        <f>TEXT(D89,"0,00")&amp;"       "&amp;TEXT(E89,"0,00")&amp;"       "&amp;TEXT(F89,"0,00")</f>
        <v>0,00       0,00       0,00</v>
      </c>
      <c r="B90" s="538"/>
      <c r="C90" s="230"/>
      <c r="D90" s="210"/>
      <c r="E90" s="208">
        <f>IF(ISTEXT($C90),(H90*letrapeso(H91)+#REF!*letrapeso(#REF!)+L90*letrapeso(L91)+O90*letrapeso(O91)+R90*letrapeso(R91)+#REF!*letrapeso(#REF!)+U90*letrapeso(U91)+X90*letrapeso(X91)+AA90*letrapeso(AA91)+AD90*letrapeso(AD91)+AG90*letrapeso(AG91))/(letrapeso(H91)+letrapeso(#REF!)+letrapeso(L91)+letrapeso(O91)+letrapeso(R91)+letrapeso(#REF!)+letrapeso(U91)+letrapeso(X91)+letrapeso(AA91)+letrapeso(AD91)+letrapeso(AG91)),0)</f>
        <v>0</v>
      </c>
      <c r="F90" s="209"/>
      <c r="G90" s="231" t="str">
        <f>PEsoLetra('Digitar aqui Notas e Pesos'!D90)</f>
        <v/>
      </c>
      <c r="H90" s="232" t="str">
        <f>PEsoLetra('Digitar aqui Notas e Pesos'!E90)</f>
        <v/>
      </c>
      <c r="I90" s="566"/>
      <c r="J90" s="490"/>
      <c r="K90" s="231" t="str">
        <f>PEsoLetra('Digitar aqui Notas e Pesos'!G90)</f>
        <v/>
      </c>
      <c r="L90" s="232" t="str">
        <f>PEsoLetra('Digitar aqui Notas e Pesos'!H90)</f>
        <v/>
      </c>
      <c r="M90" s="554"/>
      <c r="N90" s="231" t="str">
        <f>PEsoLetra('Digitar aqui Notas e Pesos'!J90)</f>
        <v/>
      </c>
      <c r="O90" s="232" t="str">
        <f>PEsoLetra('Digitar aqui Notas e Pesos'!K90)</f>
        <v/>
      </c>
      <c r="P90" s="554"/>
      <c r="Q90" s="231" t="str">
        <f>PEsoLetra('Digitar aqui Notas e Pesos'!M90)</f>
        <v/>
      </c>
      <c r="R90" s="232" t="str">
        <f>PEsoLetra('Digitar aqui Notas e Pesos'!N90)</f>
        <v/>
      </c>
      <c r="S90" s="554"/>
      <c r="T90" s="231" t="str">
        <f>PEsoLetra('Digitar aqui Notas e Pesos'!P90)</f>
        <v/>
      </c>
      <c r="U90" s="232" t="str">
        <f>PEsoLetra('Digitar aqui Notas e Pesos'!Q90)</f>
        <v/>
      </c>
      <c r="V90" s="554"/>
      <c r="W90" s="231" t="str">
        <f>PEsoLetra('Digitar aqui Notas e Pesos'!S90)</f>
        <v/>
      </c>
      <c r="X90" s="232" t="str">
        <f>PEsoLetra('Digitar aqui Notas e Pesos'!T90)</f>
        <v/>
      </c>
      <c r="Y90" s="554"/>
      <c r="Z90" s="231" t="str">
        <f>PEsoLetra('Digitar aqui Notas e Pesos'!V90)</f>
        <v/>
      </c>
      <c r="AA90" s="232" t="str">
        <f>PEsoLetra('Digitar aqui Notas e Pesos'!W90)</f>
        <v/>
      </c>
      <c r="AB90" s="554"/>
      <c r="AC90" s="231" t="str">
        <f>PEsoLetra('Digitar aqui Notas e Pesos'!Y90)</f>
        <v/>
      </c>
      <c r="AD90" s="232" t="str">
        <f>PEsoLetra('Digitar aqui Notas e Pesos'!Z90)</f>
        <v/>
      </c>
      <c r="AE90" s="554"/>
      <c r="AF90" s="231" t="str">
        <f>PEsoLetra('Digitar aqui Notas e Pesos'!AB90)</f>
        <v/>
      </c>
      <c r="AG90" s="232" t="str">
        <f>PEsoLetra('Digitar aqui Notas e Pesos'!AC90)</f>
        <v/>
      </c>
      <c r="AH90" s="574"/>
      <c r="AI90" s="19" t="str">
        <f>+AI89</f>
        <v>Não Imprime</v>
      </c>
      <c r="AJ90" s="1"/>
      <c r="AK90" s="130"/>
      <c r="AL90" s="130"/>
      <c r="AM90" s="130"/>
      <c r="AN90" s="130"/>
      <c r="AO90" s="130"/>
      <c r="AP90" s="131"/>
      <c r="AQ90" s="130"/>
      <c r="AR90" s="130"/>
      <c r="AS90" s="131"/>
      <c r="AT90" s="130"/>
      <c r="AU90" s="130"/>
      <c r="AV90" s="131"/>
      <c r="AW90" s="130"/>
      <c r="AX90" s="130"/>
      <c r="AY90" s="131"/>
      <c r="AZ90" s="130"/>
      <c r="BA90" s="130"/>
      <c r="BB90" s="131"/>
      <c r="BC90" s="130"/>
      <c r="BD90" s="130"/>
      <c r="BE90" s="131"/>
      <c r="BF90" s="130"/>
      <c r="BG90" s="130"/>
      <c r="BH90" s="131"/>
      <c r="BI90" s="130"/>
      <c r="BJ90" s="130"/>
      <c r="BK90" s="131"/>
      <c r="CM90" s="28"/>
      <c r="CN90" s="28"/>
    </row>
    <row r="91" spans="1:92" ht="15.75" hidden="1" thickBot="1" x14ac:dyDescent="0.25">
      <c r="A91" s="546" t="str">
        <f>'Digitar aqui Notas e Pesos'!A91</f>
        <v>Nome da Atividade 3 da Unidade 5</v>
      </c>
      <c r="B91" s="547"/>
      <c r="C91" s="229">
        <f>IF('Digitar aqui Notas e Pesos'!C91,PEsoLetra('Digitar aqui Notas e Pesos'!C91),0)</f>
        <v>0</v>
      </c>
      <c r="D91" s="208">
        <f>IF(ISTEXT($C91),(G91*letrapeso(G92)+K91*letrapeso(K92)+N91*letrapeso(N92)+Q91*letrapeso(Q92)+T91*letrapeso(T92)+W91*letrapeso(W92)+Z91*letrapeso(Z92)+AC91*letrapeso(AC92)+AF91*letrapeso(AF92))/(letrapeso(G92)+letrapeso(K92)+letrapeso(N92)+letrapeso(Q92)+letrapeso(T92)+letrapeso(W92)+letrapeso(Z92)+letrapeso(AC92)+letrapeso(AF92)),0)</f>
        <v>0</v>
      </c>
      <c r="E91" s="208">
        <f>IF(ISTEXT($C91),(H91*letrapeso(H92)+L91*letrapeso(L92)+O91*letrapeso(O92)+R91*letrapeso(R92)+U91*letrapeso(U92)+X91*letrapeso(X92)+AA91*letrapeso(AA92)+AD91*letrapeso(AD92)+AG91*letrapeso(AG92))/(letrapeso(H92)+letrapeso(L92)+letrapeso(O92)+letrapeso(R92)+letrapeso(U92)+letrapeso(X92)+letrapeso(AA92)+letrapeso(AD92)+letrapeso(AG92)),0)</f>
        <v>0</v>
      </c>
      <c r="F91" s="209">
        <f>IF(ISTEXT($C91),(D91*$A$145+E91*$A$146),0)</f>
        <v>0</v>
      </c>
      <c r="G91" s="259">
        <f>'Digitar aqui Notas e Pesos'!D91</f>
        <v>0</v>
      </c>
      <c r="H91" s="116">
        <f>'Digitar aqui Notas e Pesos'!E91</f>
        <v>0</v>
      </c>
      <c r="I91" s="565">
        <f>IF(AND(G91&lt;&gt;0,H91&lt;&gt;0,$C91&lt;&gt;0),(G91*letrapeso(G92)*$A$145+H91*letrapeso(H92)*$A$146)/(letrapeso(G92)*$A$145+letrapeso(H92)*$A$146),0)</f>
        <v>0</v>
      </c>
      <c r="J91" s="259">
        <f>'Digitar aqui Notas e Pesos'!F91</f>
        <v>0</v>
      </c>
      <c r="K91" s="259">
        <f>'Digitar aqui Notas e Pesos'!G91</f>
        <v>0</v>
      </c>
      <c r="L91" s="116">
        <f>'Digitar aqui Notas e Pesos'!H91</f>
        <v>0</v>
      </c>
      <c r="M91" s="553">
        <f>IF(AND(K91&lt;&gt;0,L91&lt;&gt;0,$C91&lt;&gt;0),(K91*letrapeso(K92)*$A$145+L91*letrapeso(L92)*$A$146)/(letrapeso(K92)*$A$145+letrapeso(L92)*$A$146),0)</f>
        <v>0</v>
      </c>
      <c r="N91" s="259">
        <f>'Digitar aqui Notas e Pesos'!J91</f>
        <v>0</v>
      </c>
      <c r="O91" s="116">
        <f>'Digitar aqui Notas e Pesos'!K91</f>
        <v>0</v>
      </c>
      <c r="P91" s="553">
        <f>IF(AND(N91&lt;&gt;0,O91&lt;&gt;0,$C91&lt;&gt;0),(N91*letrapeso(N92)*$A$145+O91*letrapeso(O92)*$A$146)/(letrapeso(N92)*$A$145+letrapeso(O92)*$A$146),0)</f>
        <v>0</v>
      </c>
      <c r="Q91" s="259">
        <f>'Digitar aqui Notas e Pesos'!M91</f>
        <v>0</v>
      </c>
      <c r="R91" s="116">
        <f>'Digitar aqui Notas e Pesos'!N91</f>
        <v>0</v>
      </c>
      <c r="S91" s="553">
        <f>IF(AND(Q91&lt;&gt;0,R91&lt;&gt;0,$C91&lt;&gt;0),(Q91*letrapeso(Q92)*$A$145+R91*letrapeso(R92)*$A$146)/(letrapeso(Q92)*$A$145+letrapeso(R92)*$A$146),0)</f>
        <v>0</v>
      </c>
      <c r="T91" s="259">
        <f>'Digitar aqui Notas e Pesos'!P91</f>
        <v>0</v>
      </c>
      <c r="U91" s="116">
        <f>'Digitar aqui Notas e Pesos'!Q91</f>
        <v>0</v>
      </c>
      <c r="V91" s="553">
        <f>IF(AND(T91&lt;&gt;0,U91&lt;&gt;0,$C91&lt;&gt;0),(T91*letrapeso(T92)*$A$145+U91*letrapeso(U92)*$A$146)/(letrapeso(T92)*$A$145+letrapeso(U92)*$A$146),0)</f>
        <v>0</v>
      </c>
      <c r="W91" s="259">
        <f>'Digitar aqui Notas e Pesos'!S91</f>
        <v>0</v>
      </c>
      <c r="X91" s="116">
        <f>'Digitar aqui Notas e Pesos'!T91</f>
        <v>0</v>
      </c>
      <c r="Y91" s="553">
        <f>IF(AND(W91&lt;&gt;0,X91&lt;&gt;0,$C91&lt;&gt;0),(W91*letrapeso(W92)*$A$145+X91*letrapeso(X92)*$A$146)/(letrapeso(W92)*$A$145+letrapeso(X92)*$A$146),0)</f>
        <v>0</v>
      </c>
      <c r="Z91" s="259">
        <f>'Digitar aqui Notas e Pesos'!V91</f>
        <v>0</v>
      </c>
      <c r="AA91" s="116">
        <f>'Digitar aqui Notas e Pesos'!W91</f>
        <v>0</v>
      </c>
      <c r="AB91" s="553">
        <f>IF(AND(Z91&lt;&gt;0,AA91&lt;&gt;0,$C91&lt;&gt;0),(Z91*letrapeso(Z92)*$A$145+AA91*letrapeso(AA92)*$A$146)/(letrapeso(Z92)*$A$145+letrapeso(AA92)*$A$146),0)</f>
        <v>0</v>
      </c>
      <c r="AC91" s="259">
        <f>'Digitar aqui Notas e Pesos'!Y91</f>
        <v>0</v>
      </c>
      <c r="AD91" s="116">
        <f>'Digitar aqui Notas e Pesos'!Z91</f>
        <v>0</v>
      </c>
      <c r="AE91" s="553">
        <f>IF(AND(AC91&lt;&gt;0,AD91&lt;&gt;0,$C91&lt;&gt;0),(AC91*letrapeso(AC92)*$A$145+AD91*letrapeso(AD92)*$A$146)/(letrapeso(AC92)*$A$145+letrapeso(AD92)*$A$146),0)</f>
        <v>0</v>
      </c>
      <c r="AF91" s="259">
        <f>'Digitar aqui Notas e Pesos'!AB91</f>
        <v>0</v>
      </c>
      <c r="AG91" s="116">
        <f>'Digitar aqui Notas e Pesos'!AC91</f>
        <v>0</v>
      </c>
      <c r="AH91" s="573">
        <f>IF(AND(AF91&lt;&gt;0,AG91&lt;&gt;0,$C91&lt;&gt;0),(AF91*letrapeso(AF92)*$A$145+AG91*letrapeso(AG92)*$A$146)/(letrapeso(AF92)*$A$145+letrapeso(AG92)*$A$146),0)</f>
        <v>0</v>
      </c>
      <c r="AI91" s="8" t="str">
        <f>IF(letrapeso(C91),"Imprime","Não Imprime")</f>
        <v>Não Imprime</v>
      </c>
      <c r="AJ91" s="14" t="s">
        <v>28</v>
      </c>
      <c r="AK91" s="129">
        <f>G91*letrapeso(G92)*letrapeso($C91)</f>
        <v>0</v>
      </c>
      <c r="AL91" s="129">
        <f>H91*letrapeso(H92)*letrapeso($C91)</f>
        <v>0</v>
      </c>
      <c r="AM91" s="129">
        <f>J91*letrapeso(G92)*letrapeso($C91)</f>
        <v>0</v>
      </c>
      <c r="AN91" s="129">
        <f>K91*letrapeso(K92)*letrapeso($C91)</f>
        <v>0</v>
      </c>
      <c r="AO91" s="129">
        <f>L91*letrapeso(L92)*letrapeso($C91)</f>
        <v>0</v>
      </c>
      <c r="AP91" s="131"/>
      <c r="AQ91" s="129">
        <f>N91*letrapeso(N92)*letrapeso($C91)</f>
        <v>0</v>
      </c>
      <c r="AR91" s="129">
        <f>O91*letrapeso(O92)*letrapeso($C91)</f>
        <v>0</v>
      </c>
      <c r="AS91" s="131"/>
      <c r="AT91" s="129">
        <f>Q91*letrapeso(Q92)*letrapeso($C91)</f>
        <v>0</v>
      </c>
      <c r="AU91" s="129">
        <f>R91*letrapeso(R92)*letrapeso($C91)</f>
        <v>0</v>
      </c>
      <c r="AV91" s="131"/>
      <c r="AW91" s="129">
        <f>T91*letrapeso(T92)*letrapeso($C91)</f>
        <v>0</v>
      </c>
      <c r="AX91" s="129">
        <f>U91*letrapeso(U92)*letrapeso($C91)</f>
        <v>0</v>
      </c>
      <c r="AY91" s="131"/>
      <c r="AZ91" s="129">
        <f>W91*letrapeso(W92)*letrapeso($C91)</f>
        <v>0</v>
      </c>
      <c r="BA91" s="129">
        <f>X91*letrapeso(X92)*letrapeso($C91)</f>
        <v>0</v>
      </c>
      <c r="BB91" s="131"/>
      <c r="BC91" s="129">
        <f>Z91*letrapeso(Z92)*letrapeso($C91)</f>
        <v>0</v>
      </c>
      <c r="BD91" s="129">
        <f>AA91*letrapeso(AA92)*letrapeso($C91)</f>
        <v>0</v>
      </c>
      <c r="BE91" s="131"/>
      <c r="BF91" s="129">
        <f>AC91*letrapeso(AC92)*letrapeso($C91)</f>
        <v>0</v>
      </c>
      <c r="BG91" s="129">
        <f>AD91*letrapeso(AD92)*letrapeso($C91)</f>
        <v>0</v>
      </c>
      <c r="BH91" s="131"/>
      <c r="BI91" s="129">
        <f>AF91*letrapeso(AF92)*letrapeso($C91)</f>
        <v>0</v>
      </c>
      <c r="BJ91" s="129">
        <f>AG91*letrapeso(AG92)*letrapeso($C91)</f>
        <v>0</v>
      </c>
      <c r="BK91" s="131"/>
      <c r="BL91" s="171">
        <f>letrapeso(G92)</f>
        <v>0</v>
      </c>
      <c r="BM91" s="171">
        <f>letrapeso(H92)</f>
        <v>0</v>
      </c>
      <c r="BN91" s="41"/>
      <c r="BO91" s="171">
        <f>letrapeso(K92)</f>
        <v>0</v>
      </c>
      <c r="BP91" s="171">
        <f>letrapeso(L92)</f>
        <v>0</v>
      </c>
      <c r="BQ91" s="41"/>
      <c r="BR91" s="171">
        <f>letrapeso(N92)</f>
        <v>0</v>
      </c>
      <c r="BS91" s="171">
        <f>letrapeso(O92)</f>
        <v>0</v>
      </c>
      <c r="BT91" s="41"/>
      <c r="BU91" s="171">
        <f>letrapeso(Q92)</f>
        <v>0</v>
      </c>
      <c r="BV91" s="171">
        <f>letrapeso(R92)</f>
        <v>0</v>
      </c>
      <c r="BW91" s="41"/>
      <c r="BX91" s="171">
        <f>letrapeso(T92)</f>
        <v>0</v>
      </c>
      <c r="BY91" s="171">
        <f>letrapeso(U92)</f>
        <v>0</v>
      </c>
      <c r="BZ91" s="41"/>
      <c r="CA91" s="171">
        <f>letrapeso(W92)</f>
        <v>0</v>
      </c>
      <c r="CB91" s="171">
        <f>letrapeso(X92)</f>
        <v>0</v>
      </c>
      <c r="CC91" s="41"/>
      <c r="CD91" s="171">
        <f>letrapeso(Z92)</f>
        <v>0</v>
      </c>
      <c r="CE91" s="171">
        <f>letrapeso(AA92)</f>
        <v>0</v>
      </c>
      <c r="CF91" s="41"/>
      <c r="CG91" s="171">
        <f>letrapeso(AC92)</f>
        <v>0</v>
      </c>
      <c r="CH91" s="171">
        <f>letrapeso(AD92)</f>
        <v>0</v>
      </c>
      <c r="CI91" s="41"/>
      <c r="CJ91" s="171">
        <f>letrapeso(AF92)</f>
        <v>0</v>
      </c>
      <c r="CK91" s="171">
        <f>letrapeso(AG92)</f>
        <v>0</v>
      </c>
      <c r="CL91" s="41"/>
      <c r="CM91" s="41">
        <f>IF(ISTEXT($C91),(BL91+BO91+BR91+BU91+BX91+CA91+CD91+CG91+CJ91),0)</f>
        <v>0</v>
      </c>
      <c r="CN91" s="41">
        <f>IF(ISTEXT($C91),(BM91+BP91+BS91+BV91+BY91+CB91+CE91+CH91+CK91),0)</f>
        <v>0</v>
      </c>
    </row>
    <row r="92" spans="1:92" ht="15.75" hidden="1" thickBot="1" x14ac:dyDescent="0.25">
      <c r="A92" s="537" t="str">
        <f>TEXT(D91,"0,00")&amp;"       "&amp;TEXT(E91,"0,00")&amp;"       "&amp;TEXT(F91,"0,00")</f>
        <v>0,00       0,00       0,00</v>
      </c>
      <c r="B92" s="538"/>
      <c r="C92" s="230"/>
      <c r="D92" s="210"/>
      <c r="E92" s="208">
        <f>IF(ISTEXT($C92),(H92*letrapeso(H93)+#REF!*letrapeso(#REF!)+L92*letrapeso(L93)+O92*letrapeso(O93)+R92*letrapeso(R93)+#REF!*letrapeso(#REF!)+U92*letrapeso(U93)+X92*letrapeso(X93)+AA92*letrapeso(AA93)+AD92*letrapeso(AD93)+AG92*letrapeso(AG93))/(letrapeso(H93)+letrapeso(#REF!)+letrapeso(L93)+letrapeso(O93)+letrapeso(R93)+letrapeso(#REF!)+letrapeso(U93)+letrapeso(X93)+letrapeso(AA93)+letrapeso(AD93)+letrapeso(AG93)),0)</f>
        <v>0</v>
      </c>
      <c r="F92" s="209"/>
      <c r="G92" s="231" t="str">
        <f>PEsoLetra('Digitar aqui Notas e Pesos'!D92)</f>
        <v/>
      </c>
      <c r="H92" s="232" t="str">
        <f>PEsoLetra('Digitar aqui Notas e Pesos'!E92)</f>
        <v/>
      </c>
      <c r="I92" s="566"/>
      <c r="J92" s="490"/>
      <c r="K92" s="231" t="str">
        <f>PEsoLetra('Digitar aqui Notas e Pesos'!G92)</f>
        <v/>
      </c>
      <c r="L92" s="232" t="str">
        <f>PEsoLetra('Digitar aqui Notas e Pesos'!H92)</f>
        <v/>
      </c>
      <c r="M92" s="554"/>
      <c r="N92" s="231" t="str">
        <f>PEsoLetra('Digitar aqui Notas e Pesos'!J92)</f>
        <v/>
      </c>
      <c r="O92" s="232" t="str">
        <f>PEsoLetra('Digitar aqui Notas e Pesos'!K92)</f>
        <v/>
      </c>
      <c r="P92" s="554"/>
      <c r="Q92" s="231" t="str">
        <f>PEsoLetra('Digitar aqui Notas e Pesos'!M92)</f>
        <v/>
      </c>
      <c r="R92" s="232" t="str">
        <f>PEsoLetra('Digitar aqui Notas e Pesos'!N92)</f>
        <v/>
      </c>
      <c r="S92" s="554"/>
      <c r="T92" s="231" t="str">
        <f>PEsoLetra('Digitar aqui Notas e Pesos'!P92)</f>
        <v/>
      </c>
      <c r="U92" s="232" t="str">
        <f>PEsoLetra('Digitar aqui Notas e Pesos'!Q92)</f>
        <v/>
      </c>
      <c r="V92" s="554"/>
      <c r="W92" s="231" t="str">
        <f>PEsoLetra('Digitar aqui Notas e Pesos'!S92)</f>
        <v/>
      </c>
      <c r="X92" s="232" t="str">
        <f>PEsoLetra('Digitar aqui Notas e Pesos'!T92)</f>
        <v/>
      </c>
      <c r="Y92" s="554"/>
      <c r="Z92" s="231" t="str">
        <f>PEsoLetra('Digitar aqui Notas e Pesos'!V92)</f>
        <v/>
      </c>
      <c r="AA92" s="232" t="str">
        <f>PEsoLetra('Digitar aqui Notas e Pesos'!W92)</f>
        <v/>
      </c>
      <c r="AB92" s="554"/>
      <c r="AC92" s="231" t="str">
        <f>PEsoLetra('Digitar aqui Notas e Pesos'!Y92)</f>
        <v/>
      </c>
      <c r="AD92" s="232" t="str">
        <f>PEsoLetra('Digitar aqui Notas e Pesos'!Z92)</f>
        <v/>
      </c>
      <c r="AE92" s="554"/>
      <c r="AF92" s="231" t="str">
        <f>PEsoLetra('Digitar aqui Notas e Pesos'!AB92)</f>
        <v/>
      </c>
      <c r="AG92" s="232" t="str">
        <f>PEsoLetra('Digitar aqui Notas e Pesos'!AC92)</f>
        <v/>
      </c>
      <c r="AH92" s="574"/>
      <c r="AI92" s="19" t="str">
        <f>+AI91</f>
        <v>Não Imprime</v>
      </c>
      <c r="AJ92" s="1"/>
      <c r="AK92" s="130"/>
      <c r="AL92" s="130"/>
      <c r="AM92" s="130"/>
      <c r="AN92" s="130"/>
      <c r="AO92" s="130"/>
      <c r="AP92" s="131"/>
      <c r="AQ92" s="130"/>
      <c r="AR92" s="130"/>
      <c r="AS92" s="131"/>
      <c r="AT92" s="130"/>
      <c r="AU92" s="130"/>
      <c r="AV92" s="131"/>
      <c r="AW92" s="130"/>
      <c r="AX92" s="130"/>
      <c r="AY92" s="131"/>
      <c r="AZ92" s="130"/>
      <c r="BA92" s="130"/>
      <c r="BB92" s="131"/>
      <c r="BC92" s="130"/>
      <c r="BD92" s="130"/>
      <c r="BE92" s="131"/>
      <c r="BF92" s="130"/>
      <c r="BG92" s="130"/>
      <c r="BH92" s="131"/>
      <c r="BI92" s="130"/>
      <c r="BJ92" s="130"/>
      <c r="BK92" s="131"/>
      <c r="CM92" s="28"/>
      <c r="CN92" s="28"/>
    </row>
    <row r="93" spans="1:92" ht="15.75" hidden="1" thickBot="1" x14ac:dyDescent="0.25">
      <c r="A93" s="546" t="str">
        <f>'Digitar aqui Notas e Pesos'!A93</f>
        <v>Nome da Atividade 4 da Unidade 5</v>
      </c>
      <c r="B93" s="547"/>
      <c r="C93" s="229">
        <f>IF('Digitar aqui Notas e Pesos'!C93,PEsoLetra('Digitar aqui Notas e Pesos'!C93),0)</f>
        <v>0</v>
      </c>
      <c r="D93" s="208">
        <f>IF(ISTEXT($C93),(G93*letrapeso(G94)+K93*letrapeso(K94)+N93*letrapeso(N94)+Q93*letrapeso(Q94)+T93*letrapeso(T94)+W93*letrapeso(W94)+Z93*letrapeso(Z94)+AC93*letrapeso(AC94)+AF93*letrapeso(AF94))/(letrapeso(G94)+letrapeso(K94)+letrapeso(N94)+letrapeso(Q94)+letrapeso(T94)+letrapeso(W94)+letrapeso(Z94)+letrapeso(AC94)+letrapeso(AF94)),0)</f>
        <v>0</v>
      </c>
      <c r="E93" s="208">
        <f>IF(ISTEXT($C93),(H93*letrapeso(H94)+L93*letrapeso(L94)+O93*letrapeso(O94)+R93*letrapeso(R94)+U93*letrapeso(U94)+X93*letrapeso(X94)+AA93*letrapeso(AA94)+AD93*letrapeso(AD94)+AG93*letrapeso(AG94))/(letrapeso(H94)+letrapeso(L94)+letrapeso(O94)+letrapeso(R94)+letrapeso(U94)+letrapeso(X94)+letrapeso(AA94)+letrapeso(AD94)+letrapeso(AG94)),0)</f>
        <v>0</v>
      </c>
      <c r="F93" s="209">
        <f>IF(ISTEXT($C93),(D93*$A$145+E93*$A$146),0)</f>
        <v>0</v>
      </c>
      <c r="G93" s="259">
        <f>'Digitar aqui Notas e Pesos'!D93</f>
        <v>0</v>
      </c>
      <c r="H93" s="116">
        <f>'Digitar aqui Notas e Pesos'!E93</f>
        <v>0</v>
      </c>
      <c r="I93" s="565">
        <f>IF(AND(G93&lt;&gt;0,H93&lt;&gt;0,$C93&lt;&gt;0),(G93*letrapeso(G94)*$A$145+H93*letrapeso(H94)*$A$146)/(letrapeso(G94)*$A$145+letrapeso(H94)*$A$146),0)</f>
        <v>0</v>
      </c>
      <c r="J93" s="259">
        <f>'Digitar aqui Notas e Pesos'!F93</f>
        <v>0</v>
      </c>
      <c r="K93" s="259">
        <f>'Digitar aqui Notas e Pesos'!G93</f>
        <v>0</v>
      </c>
      <c r="L93" s="116">
        <f>'Digitar aqui Notas e Pesos'!H93</f>
        <v>0</v>
      </c>
      <c r="M93" s="553">
        <f>IF(AND(K93&lt;&gt;0,L93&lt;&gt;0,$C93&lt;&gt;0),(K93*letrapeso(K94)*$A$145+L93*letrapeso(L94)*$A$146)/(letrapeso(K94)*$A$145+letrapeso(L94)*$A$146),0)</f>
        <v>0</v>
      </c>
      <c r="N93" s="259">
        <f>'Digitar aqui Notas e Pesos'!J93</f>
        <v>0</v>
      </c>
      <c r="O93" s="116">
        <f>'Digitar aqui Notas e Pesos'!K93</f>
        <v>0</v>
      </c>
      <c r="P93" s="553">
        <f>IF(AND(N93&lt;&gt;0,O93&lt;&gt;0,$C93&lt;&gt;0),(N93*letrapeso(N94)*$A$145+O93*letrapeso(O94)*$A$146)/(letrapeso(N94)*$A$145+letrapeso(O94)*$A$146),0)</f>
        <v>0</v>
      </c>
      <c r="Q93" s="259">
        <f>'Digitar aqui Notas e Pesos'!M93</f>
        <v>0</v>
      </c>
      <c r="R93" s="116">
        <f>'Digitar aqui Notas e Pesos'!N93</f>
        <v>0</v>
      </c>
      <c r="S93" s="553">
        <f>IF(AND(Q93&lt;&gt;0,R93&lt;&gt;0,$C93&lt;&gt;0),(Q93*letrapeso(Q94)*$A$145+R93*letrapeso(R94)*$A$146)/(letrapeso(Q94)*$A$145+letrapeso(R94)*$A$146),0)</f>
        <v>0</v>
      </c>
      <c r="T93" s="259">
        <f>'Digitar aqui Notas e Pesos'!P93</f>
        <v>0</v>
      </c>
      <c r="U93" s="116">
        <f>'Digitar aqui Notas e Pesos'!Q93</f>
        <v>0</v>
      </c>
      <c r="V93" s="553">
        <f>IF(AND(T93&lt;&gt;0,U93&lt;&gt;0,$C93&lt;&gt;0),(T93*letrapeso(T94)*$A$145+U93*letrapeso(U94)*$A$146)/(letrapeso(T94)*$A$145+letrapeso(U94)*$A$146),0)</f>
        <v>0</v>
      </c>
      <c r="W93" s="259">
        <f>'Digitar aqui Notas e Pesos'!S93</f>
        <v>0</v>
      </c>
      <c r="X93" s="116">
        <f>'Digitar aqui Notas e Pesos'!T93</f>
        <v>0</v>
      </c>
      <c r="Y93" s="553">
        <f>IF(AND(W93&lt;&gt;0,X93&lt;&gt;0,$C93&lt;&gt;0),(W93*letrapeso(W94)*$A$145+X93*letrapeso(X94)*$A$146)/(letrapeso(W94)*$A$145+letrapeso(X94)*$A$146),0)</f>
        <v>0</v>
      </c>
      <c r="Z93" s="259">
        <f>'Digitar aqui Notas e Pesos'!V93</f>
        <v>0</v>
      </c>
      <c r="AA93" s="116">
        <f>'Digitar aqui Notas e Pesos'!W93</f>
        <v>0</v>
      </c>
      <c r="AB93" s="553">
        <f>IF(AND(Z93&lt;&gt;0,AA93&lt;&gt;0,$C93&lt;&gt;0),(Z93*letrapeso(Z94)*$A$145+AA93*letrapeso(AA94)*$A$146)/(letrapeso(Z94)*$A$145+letrapeso(AA94)*$A$146),0)</f>
        <v>0</v>
      </c>
      <c r="AC93" s="259">
        <f>'Digitar aqui Notas e Pesos'!Y93</f>
        <v>0</v>
      </c>
      <c r="AD93" s="116">
        <f>'Digitar aqui Notas e Pesos'!Z93</f>
        <v>0</v>
      </c>
      <c r="AE93" s="553">
        <f>IF(AND(AC93&lt;&gt;0,AD93&lt;&gt;0,$C93&lt;&gt;0),(AC93*letrapeso(AC94)*$A$145+AD93*letrapeso(AD94)*$A$146)/(letrapeso(AC94)*$A$145+letrapeso(AD94)*$A$146),0)</f>
        <v>0</v>
      </c>
      <c r="AF93" s="259">
        <f>'Digitar aqui Notas e Pesos'!AB93</f>
        <v>0</v>
      </c>
      <c r="AG93" s="116">
        <f>'Digitar aqui Notas e Pesos'!AC93</f>
        <v>0</v>
      </c>
      <c r="AH93" s="573">
        <f>IF(AND(AF93&lt;&gt;0,AG93&lt;&gt;0,$C93&lt;&gt;0),(AF93*letrapeso(AF94)*$A$145+AG93*letrapeso(AG94)*$A$146)/(letrapeso(AF94)*$A$145+letrapeso(AG94)*$A$146),0)</f>
        <v>0</v>
      </c>
      <c r="AI93" s="8" t="str">
        <f>IF(letrapeso(C93),"Imprime","Não Imprime")</f>
        <v>Não Imprime</v>
      </c>
      <c r="AJ93" s="14" t="s">
        <v>28</v>
      </c>
      <c r="AK93" s="129">
        <f>G93*letrapeso(G94)*letrapeso($C93)</f>
        <v>0</v>
      </c>
      <c r="AL93" s="129">
        <f>H93*letrapeso(H94)*letrapeso($C93)</f>
        <v>0</v>
      </c>
      <c r="AM93" s="129">
        <f>J93*letrapeso(G94)*letrapeso($C93)</f>
        <v>0</v>
      </c>
      <c r="AN93" s="129">
        <f>K93*letrapeso(K94)*letrapeso($C93)</f>
        <v>0</v>
      </c>
      <c r="AO93" s="129">
        <f>L93*letrapeso(L94)*letrapeso($C93)</f>
        <v>0</v>
      </c>
      <c r="AP93" s="131"/>
      <c r="AQ93" s="129">
        <f>N93*letrapeso(N94)*letrapeso($C93)</f>
        <v>0</v>
      </c>
      <c r="AR93" s="129">
        <f>O93*letrapeso(O94)*letrapeso($C93)</f>
        <v>0</v>
      </c>
      <c r="AS93" s="131"/>
      <c r="AT93" s="129">
        <f>Q93*letrapeso(Q94)*letrapeso($C93)</f>
        <v>0</v>
      </c>
      <c r="AU93" s="129">
        <f>R93*letrapeso(R94)*letrapeso($C93)</f>
        <v>0</v>
      </c>
      <c r="AV93" s="131"/>
      <c r="AW93" s="129">
        <f>T93*letrapeso(T94)*letrapeso($C93)</f>
        <v>0</v>
      </c>
      <c r="AX93" s="129">
        <f>U93*letrapeso(U94)*letrapeso($C93)</f>
        <v>0</v>
      </c>
      <c r="AY93" s="131"/>
      <c r="AZ93" s="129">
        <f>W93*letrapeso(W94)*letrapeso($C93)</f>
        <v>0</v>
      </c>
      <c r="BA93" s="129">
        <f>X93*letrapeso(X94)*letrapeso($C93)</f>
        <v>0</v>
      </c>
      <c r="BB93" s="131"/>
      <c r="BC93" s="129">
        <f>Z93*letrapeso(Z94)*letrapeso($C93)</f>
        <v>0</v>
      </c>
      <c r="BD93" s="129">
        <f>AA93*letrapeso(AA94)*letrapeso($C93)</f>
        <v>0</v>
      </c>
      <c r="BE93" s="131"/>
      <c r="BF93" s="129">
        <f>AC93*letrapeso(AC94)*letrapeso($C93)</f>
        <v>0</v>
      </c>
      <c r="BG93" s="129">
        <f>AD93*letrapeso(AD94)*letrapeso($C93)</f>
        <v>0</v>
      </c>
      <c r="BH93" s="131"/>
      <c r="BI93" s="129">
        <f>AF93*letrapeso(AF94)*letrapeso($C93)</f>
        <v>0</v>
      </c>
      <c r="BJ93" s="129">
        <f>AG93*letrapeso(AG94)*letrapeso($C93)</f>
        <v>0</v>
      </c>
      <c r="BK93" s="131"/>
      <c r="BL93" s="171">
        <f>letrapeso(G94)</f>
        <v>0</v>
      </c>
      <c r="BM93" s="171">
        <f>letrapeso(H94)</f>
        <v>0</v>
      </c>
      <c r="BN93" s="41"/>
      <c r="BO93" s="171">
        <f>letrapeso(K94)</f>
        <v>0</v>
      </c>
      <c r="BP93" s="171">
        <f>letrapeso(L94)</f>
        <v>0</v>
      </c>
      <c r="BQ93" s="41"/>
      <c r="BR93" s="171">
        <f>letrapeso(N94)</f>
        <v>0</v>
      </c>
      <c r="BS93" s="171">
        <f>letrapeso(O94)</f>
        <v>0</v>
      </c>
      <c r="BT93" s="41"/>
      <c r="BU93" s="171">
        <f>letrapeso(Q94)</f>
        <v>0</v>
      </c>
      <c r="BV93" s="171">
        <f>letrapeso(R94)</f>
        <v>0</v>
      </c>
      <c r="BW93" s="41"/>
      <c r="BX93" s="171">
        <f>letrapeso(T94)</f>
        <v>0</v>
      </c>
      <c r="BY93" s="171">
        <f>letrapeso(U94)</f>
        <v>0</v>
      </c>
      <c r="BZ93" s="41"/>
      <c r="CA93" s="171">
        <f>letrapeso(W94)</f>
        <v>0</v>
      </c>
      <c r="CB93" s="171">
        <f>letrapeso(X94)</f>
        <v>0</v>
      </c>
      <c r="CC93" s="41"/>
      <c r="CD93" s="171">
        <f>letrapeso(Z94)</f>
        <v>0</v>
      </c>
      <c r="CE93" s="171">
        <f>letrapeso(AA94)</f>
        <v>0</v>
      </c>
      <c r="CF93" s="41"/>
      <c r="CG93" s="171">
        <f>letrapeso(AC94)</f>
        <v>0</v>
      </c>
      <c r="CH93" s="171">
        <f>letrapeso(AD94)</f>
        <v>0</v>
      </c>
      <c r="CI93" s="41"/>
      <c r="CJ93" s="171">
        <f>letrapeso(AF94)</f>
        <v>0</v>
      </c>
      <c r="CK93" s="171">
        <f>letrapeso(AG94)</f>
        <v>0</v>
      </c>
      <c r="CL93" s="41"/>
      <c r="CM93" s="41">
        <f>IF(ISTEXT($C93),(BL93+BO93+BR93+BU93+BX93+CA93+CD93+CG93+CJ93),0)</f>
        <v>0</v>
      </c>
      <c r="CN93" s="41">
        <f>IF(ISTEXT($C93),(BM93+BP93+BS93+BV93+BY93+CB93+CE93+CH93+CK93),0)</f>
        <v>0</v>
      </c>
    </row>
    <row r="94" spans="1:92" ht="15.75" hidden="1" thickBot="1" x14ac:dyDescent="0.25">
      <c r="A94" s="537" t="str">
        <f>TEXT(D93,"0,00")&amp;"       "&amp;TEXT(E93,"0,00")&amp;"       "&amp;TEXT(F93,"0,00")</f>
        <v>0,00       0,00       0,00</v>
      </c>
      <c r="B94" s="538"/>
      <c r="C94" s="230"/>
      <c r="D94" s="210"/>
      <c r="E94" s="208">
        <f>IF(ISTEXT($C94),(H94*letrapeso(H95)+#REF!*letrapeso(#REF!)+L94*letrapeso(L95)+O94*letrapeso(O95)+R94*letrapeso(R95)+#REF!*letrapeso(#REF!)+U94*letrapeso(U95)+X94*letrapeso(X95)+AA94*letrapeso(AA95)+AD94*letrapeso(AD95)+AG94*letrapeso(AG95))/(letrapeso(H95)+letrapeso(#REF!)+letrapeso(L95)+letrapeso(O95)+letrapeso(R95)+letrapeso(#REF!)+letrapeso(U95)+letrapeso(X95)+letrapeso(AA95)+letrapeso(AD95)+letrapeso(AG95)),0)</f>
        <v>0</v>
      </c>
      <c r="F94" s="209"/>
      <c r="G94" s="231" t="str">
        <f>PEsoLetra('Digitar aqui Notas e Pesos'!D94)</f>
        <v/>
      </c>
      <c r="H94" s="232" t="str">
        <f>PEsoLetra('Digitar aqui Notas e Pesos'!E94)</f>
        <v/>
      </c>
      <c r="I94" s="566"/>
      <c r="J94" s="490"/>
      <c r="K94" s="231" t="str">
        <f>PEsoLetra('Digitar aqui Notas e Pesos'!G94)</f>
        <v/>
      </c>
      <c r="L94" s="232" t="str">
        <f>PEsoLetra('Digitar aqui Notas e Pesos'!H94)</f>
        <v/>
      </c>
      <c r="M94" s="554"/>
      <c r="N94" s="231" t="str">
        <f>PEsoLetra('Digitar aqui Notas e Pesos'!J94)</f>
        <v/>
      </c>
      <c r="O94" s="232" t="str">
        <f>PEsoLetra('Digitar aqui Notas e Pesos'!K94)</f>
        <v/>
      </c>
      <c r="P94" s="554"/>
      <c r="Q94" s="231" t="str">
        <f>PEsoLetra('Digitar aqui Notas e Pesos'!M94)</f>
        <v/>
      </c>
      <c r="R94" s="232" t="str">
        <f>PEsoLetra('Digitar aqui Notas e Pesos'!N94)</f>
        <v/>
      </c>
      <c r="S94" s="554"/>
      <c r="T94" s="231" t="str">
        <f>PEsoLetra('Digitar aqui Notas e Pesos'!P94)</f>
        <v/>
      </c>
      <c r="U94" s="232" t="str">
        <f>PEsoLetra('Digitar aqui Notas e Pesos'!Q94)</f>
        <v/>
      </c>
      <c r="V94" s="554"/>
      <c r="W94" s="231" t="str">
        <f>PEsoLetra('Digitar aqui Notas e Pesos'!S94)</f>
        <v/>
      </c>
      <c r="X94" s="232" t="str">
        <f>PEsoLetra('Digitar aqui Notas e Pesos'!T94)</f>
        <v/>
      </c>
      <c r="Y94" s="554"/>
      <c r="Z94" s="231" t="str">
        <f>PEsoLetra('Digitar aqui Notas e Pesos'!V94)</f>
        <v/>
      </c>
      <c r="AA94" s="232" t="str">
        <f>PEsoLetra('Digitar aqui Notas e Pesos'!W94)</f>
        <v/>
      </c>
      <c r="AB94" s="554"/>
      <c r="AC94" s="231" t="str">
        <f>PEsoLetra('Digitar aqui Notas e Pesos'!Y94)</f>
        <v/>
      </c>
      <c r="AD94" s="232" t="str">
        <f>PEsoLetra('Digitar aqui Notas e Pesos'!Z94)</f>
        <v/>
      </c>
      <c r="AE94" s="554"/>
      <c r="AF94" s="231" t="str">
        <f>PEsoLetra('Digitar aqui Notas e Pesos'!AB94)</f>
        <v/>
      </c>
      <c r="AG94" s="232" t="str">
        <f>PEsoLetra('Digitar aqui Notas e Pesos'!AC94)</f>
        <v/>
      </c>
      <c r="AH94" s="574"/>
      <c r="AI94" s="19" t="str">
        <f>+AI93</f>
        <v>Não Imprime</v>
      </c>
      <c r="AJ94" s="1"/>
      <c r="AK94" s="130"/>
      <c r="AL94" s="130"/>
      <c r="AM94" s="130"/>
      <c r="AN94" s="130"/>
      <c r="AO94" s="130"/>
      <c r="AP94" s="131"/>
      <c r="AQ94" s="130"/>
      <c r="AR94" s="130"/>
      <c r="AS94" s="131"/>
      <c r="AT94" s="130"/>
      <c r="AU94" s="130"/>
      <c r="AV94" s="131"/>
      <c r="AW94" s="130"/>
      <c r="AX94" s="130"/>
      <c r="AY94" s="131"/>
      <c r="AZ94" s="130"/>
      <c r="BA94" s="130"/>
      <c r="BB94" s="131"/>
      <c r="BC94" s="130"/>
      <c r="BD94" s="130"/>
      <c r="BE94" s="131"/>
      <c r="BF94" s="130"/>
      <c r="BG94" s="130"/>
      <c r="BH94" s="131"/>
      <c r="BI94" s="130"/>
      <c r="BJ94" s="130"/>
      <c r="BK94" s="131"/>
      <c r="CM94" s="28"/>
      <c r="CN94" s="28"/>
    </row>
    <row r="95" spans="1:92" ht="15.75" hidden="1" thickBot="1" x14ac:dyDescent="0.25">
      <c r="A95" s="546" t="str">
        <f>'Digitar aqui Notas e Pesos'!A95</f>
        <v>Nome da Atividade 5 da Unidade 5</v>
      </c>
      <c r="B95" s="547"/>
      <c r="C95" s="229">
        <f>IF('Digitar aqui Notas e Pesos'!C95,PEsoLetra('Digitar aqui Notas e Pesos'!C95),0)</f>
        <v>0</v>
      </c>
      <c r="D95" s="208">
        <f>IF(ISTEXT($C95),(G95*letrapeso(G96)+K95*letrapeso(K96)+N95*letrapeso(N96)+Q95*letrapeso(Q96)+T95*letrapeso(T96)+W95*letrapeso(W96)+Z95*letrapeso(Z96)+AC95*letrapeso(AC96)+AF95*letrapeso(AF96))/(letrapeso(G96)+letrapeso(K96)+letrapeso(N96)+letrapeso(Q96)+letrapeso(T96)+letrapeso(W96)+letrapeso(Z96)+letrapeso(AC96)+letrapeso(AF96)),0)</f>
        <v>0</v>
      </c>
      <c r="E95" s="208">
        <f>IF(ISTEXT($C95),(H95*letrapeso(H96)+L95*letrapeso(L96)+O95*letrapeso(O96)+R95*letrapeso(R96)+U95*letrapeso(U96)+X95*letrapeso(X96)+AA95*letrapeso(AA96)+AD95*letrapeso(AD96)+AG95*letrapeso(AG96))/(letrapeso(H96)+letrapeso(L96)+letrapeso(O96)+letrapeso(R96)+letrapeso(U96)+letrapeso(X96)+letrapeso(AA96)+letrapeso(AD96)+letrapeso(AG96)),0)</f>
        <v>0</v>
      </c>
      <c r="F95" s="209">
        <f>IF(ISTEXT($C95),(D95*$A$145+E95*$A$146),0)</f>
        <v>0</v>
      </c>
      <c r="G95" s="259">
        <f>'Digitar aqui Notas e Pesos'!D95</f>
        <v>0</v>
      </c>
      <c r="H95" s="116">
        <f>'Digitar aqui Notas e Pesos'!E95</f>
        <v>0</v>
      </c>
      <c r="I95" s="565">
        <f>IF(AND(G95&lt;&gt;0,H95&lt;&gt;0,$C95&lt;&gt;0),(G95*letrapeso(G96)*$A$145+H95*letrapeso(H96)*$A$146)/(letrapeso(G96)*$A$145+letrapeso(H96)*$A$146),0)</f>
        <v>0</v>
      </c>
      <c r="J95" s="259">
        <f>'Digitar aqui Notas e Pesos'!F95</f>
        <v>0</v>
      </c>
      <c r="K95" s="259">
        <f>'Digitar aqui Notas e Pesos'!G95</f>
        <v>0</v>
      </c>
      <c r="L95" s="116">
        <f>'Digitar aqui Notas e Pesos'!H95</f>
        <v>0</v>
      </c>
      <c r="M95" s="553">
        <f>IF(AND(K95&lt;&gt;0,L95&lt;&gt;0,$C95&lt;&gt;0),(K95*letrapeso(K96)*$A$145+L95*letrapeso(L96)*$A$146)/(letrapeso(K96)*$A$145+letrapeso(L96)*$A$146),0)</f>
        <v>0</v>
      </c>
      <c r="N95" s="259">
        <f>'Digitar aqui Notas e Pesos'!J95</f>
        <v>0</v>
      </c>
      <c r="O95" s="116">
        <f>'Digitar aqui Notas e Pesos'!K95</f>
        <v>0</v>
      </c>
      <c r="P95" s="553">
        <f>IF(AND(N95&lt;&gt;0,O95&lt;&gt;0,$C95&lt;&gt;0),(N95*letrapeso(N96)*$A$145+O95*letrapeso(O96)*$A$146)/(letrapeso(N96)*$A$145+letrapeso(O96)*$A$146),0)</f>
        <v>0</v>
      </c>
      <c r="Q95" s="259">
        <f>'Digitar aqui Notas e Pesos'!M95</f>
        <v>0</v>
      </c>
      <c r="R95" s="116">
        <f>'Digitar aqui Notas e Pesos'!N95</f>
        <v>0</v>
      </c>
      <c r="S95" s="553">
        <f>IF(AND(Q95&lt;&gt;0,R95&lt;&gt;0,$C95&lt;&gt;0),(Q95*letrapeso(Q96)*$A$145+R95*letrapeso(R96)*$A$146)/(letrapeso(Q96)*$A$145+letrapeso(R96)*$A$146),0)</f>
        <v>0</v>
      </c>
      <c r="T95" s="259">
        <f>'Digitar aqui Notas e Pesos'!P95</f>
        <v>0</v>
      </c>
      <c r="U95" s="116">
        <f>'Digitar aqui Notas e Pesos'!Q95</f>
        <v>0</v>
      </c>
      <c r="V95" s="553">
        <f>IF(AND(T95&lt;&gt;0,U95&lt;&gt;0,$C95&lt;&gt;0),(T95*letrapeso(T96)*$A$145+U95*letrapeso(U96)*$A$146)/(letrapeso(T96)*$A$145+letrapeso(U96)*$A$146),0)</f>
        <v>0</v>
      </c>
      <c r="W95" s="259">
        <f>'Digitar aqui Notas e Pesos'!S95</f>
        <v>0</v>
      </c>
      <c r="X95" s="116">
        <f>'Digitar aqui Notas e Pesos'!T95</f>
        <v>0</v>
      </c>
      <c r="Y95" s="553">
        <f>IF(AND(W95&lt;&gt;0,X95&lt;&gt;0,$C95&lt;&gt;0),(W95*letrapeso(W96)*$A$145+X95*letrapeso(X96)*$A$146)/(letrapeso(W96)*$A$145+letrapeso(X96)*$A$146),0)</f>
        <v>0</v>
      </c>
      <c r="Z95" s="259">
        <f>'Digitar aqui Notas e Pesos'!V95</f>
        <v>0</v>
      </c>
      <c r="AA95" s="116">
        <f>'Digitar aqui Notas e Pesos'!W95</f>
        <v>0</v>
      </c>
      <c r="AB95" s="553">
        <f>IF(AND(Z95&lt;&gt;0,AA95&lt;&gt;0,$C95&lt;&gt;0),(Z95*letrapeso(Z96)*$A$145+AA95*letrapeso(AA96)*$A$146)/(letrapeso(Z96)*$A$145+letrapeso(AA96)*$A$146),0)</f>
        <v>0</v>
      </c>
      <c r="AC95" s="259">
        <f>'Digitar aqui Notas e Pesos'!Y95</f>
        <v>0</v>
      </c>
      <c r="AD95" s="116">
        <f>'Digitar aqui Notas e Pesos'!Z95</f>
        <v>0</v>
      </c>
      <c r="AE95" s="553">
        <f>IF(AND(AC95&lt;&gt;0,AD95&lt;&gt;0,$C95&lt;&gt;0),(AC95*letrapeso(AC96)*$A$145+AD95*letrapeso(AD96)*$A$146)/(letrapeso(AC96)*$A$145+letrapeso(AD96)*$A$146),0)</f>
        <v>0</v>
      </c>
      <c r="AF95" s="259">
        <f>'Digitar aqui Notas e Pesos'!AB95</f>
        <v>0</v>
      </c>
      <c r="AG95" s="116">
        <f>'Digitar aqui Notas e Pesos'!AC95</f>
        <v>0</v>
      </c>
      <c r="AH95" s="573">
        <f>IF(AND(AF95&lt;&gt;0,AG95&lt;&gt;0,$C95&lt;&gt;0),(AF95*letrapeso(AF96)*$A$145+AG95*letrapeso(AG96)*$A$146)/(letrapeso(AF96)*$A$145+letrapeso(AG96)*$A$146),0)</f>
        <v>0</v>
      </c>
      <c r="AI95" s="8" t="str">
        <f>IF(letrapeso(C95),"Imprime","Não Imprime")</f>
        <v>Não Imprime</v>
      </c>
      <c r="AJ95" s="14" t="s">
        <v>28</v>
      </c>
      <c r="AK95" s="129">
        <f>G95*letrapeso(G96)*letrapeso($C95)</f>
        <v>0</v>
      </c>
      <c r="AL95" s="129">
        <f>H95*letrapeso(H96)*letrapeso($C95)</f>
        <v>0</v>
      </c>
      <c r="AM95" s="129">
        <f>J95*letrapeso(G96)*letrapeso($C95)</f>
        <v>0</v>
      </c>
      <c r="AN95" s="129">
        <f>K95*letrapeso(K96)*letrapeso($C95)</f>
        <v>0</v>
      </c>
      <c r="AO95" s="129">
        <f>L95*letrapeso(L96)*letrapeso($C95)</f>
        <v>0</v>
      </c>
      <c r="AP95" s="131"/>
      <c r="AQ95" s="129">
        <f>N95*letrapeso(N96)*letrapeso($C95)</f>
        <v>0</v>
      </c>
      <c r="AR95" s="129">
        <f>O95*letrapeso(O96)*letrapeso($C95)</f>
        <v>0</v>
      </c>
      <c r="AS95" s="131"/>
      <c r="AT95" s="129">
        <f>Q95*letrapeso(Q96)*letrapeso($C95)</f>
        <v>0</v>
      </c>
      <c r="AU95" s="129">
        <f>R95*letrapeso(R96)*letrapeso($C95)</f>
        <v>0</v>
      </c>
      <c r="AV95" s="131"/>
      <c r="AW95" s="129">
        <f>T95*letrapeso(T96)*letrapeso($C95)</f>
        <v>0</v>
      </c>
      <c r="AX95" s="129">
        <f>U95*letrapeso(U96)*letrapeso($C95)</f>
        <v>0</v>
      </c>
      <c r="AY95" s="131"/>
      <c r="AZ95" s="129">
        <f>W95*letrapeso(W96)*letrapeso($C95)</f>
        <v>0</v>
      </c>
      <c r="BA95" s="129">
        <f>X95*letrapeso(X96)*letrapeso($C95)</f>
        <v>0</v>
      </c>
      <c r="BB95" s="131"/>
      <c r="BC95" s="129">
        <f>Z95*letrapeso(Z96)*letrapeso($C95)</f>
        <v>0</v>
      </c>
      <c r="BD95" s="129">
        <f>AA95*letrapeso(AA96)*letrapeso($C95)</f>
        <v>0</v>
      </c>
      <c r="BE95" s="131"/>
      <c r="BF95" s="129">
        <f>AC95*letrapeso(AC96)*letrapeso($C95)</f>
        <v>0</v>
      </c>
      <c r="BG95" s="129">
        <f>AD95*letrapeso(AD96)*letrapeso($C95)</f>
        <v>0</v>
      </c>
      <c r="BH95" s="131"/>
      <c r="BI95" s="129">
        <f>AF95*letrapeso(AF96)*letrapeso($C95)</f>
        <v>0</v>
      </c>
      <c r="BJ95" s="129">
        <f>AG95*letrapeso(AG96)*letrapeso($C95)</f>
        <v>0</v>
      </c>
      <c r="BK95" s="131"/>
      <c r="BL95" s="171">
        <f>letrapeso(G96)</f>
        <v>0</v>
      </c>
      <c r="BM95" s="171">
        <f>letrapeso(H96)</f>
        <v>0</v>
      </c>
      <c r="BN95" s="41"/>
      <c r="BO95" s="171">
        <f>letrapeso(K96)</f>
        <v>0</v>
      </c>
      <c r="BP95" s="171">
        <f>letrapeso(L96)</f>
        <v>0</v>
      </c>
      <c r="BQ95" s="41"/>
      <c r="BR95" s="171">
        <f>letrapeso(N96)</f>
        <v>0</v>
      </c>
      <c r="BS95" s="171">
        <f>letrapeso(O96)</f>
        <v>0</v>
      </c>
      <c r="BT95" s="41"/>
      <c r="BU95" s="171">
        <f>letrapeso(Q96)</f>
        <v>0</v>
      </c>
      <c r="BV95" s="171">
        <f>letrapeso(R96)</f>
        <v>0</v>
      </c>
      <c r="BW95" s="41"/>
      <c r="BX95" s="171">
        <f>letrapeso(T96)</f>
        <v>0</v>
      </c>
      <c r="BY95" s="171">
        <f>letrapeso(U96)</f>
        <v>0</v>
      </c>
      <c r="BZ95" s="41"/>
      <c r="CA95" s="171">
        <f>letrapeso(W96)</f>
        <v>0</v>
      </c>
      <c r="CB95" s="171">
        <f>letrapeso(X96)</f>
        <v>0</v>
      </c>
      <c r="CC95" s="41"/>
      <c r="CD95" s="171">
        <f>letrapeso(Z96)</f>
        <v>0</v>
      </c>
      <c r="CE95" s="171">
        <f>letrapeso(AA96)</f>
        <v>0</v>
      </c>
      <c r="CF95" s="41"/>
      <c r="CG95" s="171">
        <f>letrapeso(AC96)</f>
        <v>0</v>
      </c>
      <c r="CH95" s="171">
        <f>letrapeso(AD96)</f>
        <v>0</v>
      </c>
      <c r="CI95" s="41"/>
      <c r="CJ95" s="171">
        <f>letrapeso(AF96)</f>
        <v>0</v>
      </c>
      <c r="CK95" s="171">
        <f>letrapeso(AG96)</f>
        <v>0</v>
      </c>
      <c r="CL95" s="41"/>
      <c r="CM95" s="41">
        <f>IF(ISTEXT($C95),(BL95+BO95+BR95+BU95+BX95+CA95+CD95+CG95+CJ95),0)</f>
        <v>0</v>
      </c>
      <c r="CN95" s="41">
        <f>IF(ISTEXT($C95),(BM95+BP95+BS95+BV95+BY95+CB95+CE95+CH95+CK95),0)</f>
        <v>0</v>
      </c>
    </row>
    <row r="96" spans="1:92" ht="15.75" hidden="1" thickBot="1" x14ac:dyDescent="0.25">
      <c r="A96" s="537" t="str">
        <f>TEXT(D95,"0,00")&amp;"       "&amp;TEXT(E95,"0,00")&amp;"       "&amp;TEXT(F95,"0,00")</f>
        <v>0,00       0,00       0,00</v>
      </c>
      <c r="B96" s="538"/>
      <c r="C96" s="230"/>
      <c r="D96" s="210"/>
      <c r="E96" s="208">
        <f>IF(ISTEXT($C96),(H96*letrapeso(H97)+#REF!*letrapeso(#REF!)+L96*letrapeso(L97)+O96*letrapeso(O97)+R96*letrapeso(R97)+#REF!*letrapeso(#REF!)+U96*letrapeso(U97)+X96*letrapeso(X97)+AA96*letrapeso(AA97)+AD96*letrapeso(AD97)+AG96*letrapeso(AG97))/(letrapeso(H97)+letrapeso(#REF!)+letrapeso(L97)+letrapeso(O97)+letrapeso(R97)+letrapeso(#REF!)+letrapeso(U97)+letrapeso(X97)+letrapeso(AA97)+letrapeso(AD97)+letrapeso(AG97)),0)</f>
        <v>0</v>
      </c>
      <c r="F96" s="209"/>
      <c r="G96" s="231" t="str">
        <f>PEsoLetra('Digitar aqui Notas e Pesos'!D96)</f>
        <v/>
      </c>
      <c r="H96" s="232" t="str">
        <f>PEsoLetra('Digitar aqui Notas e Pesos'!E96)</f>
        <v/>
      </c>
      <c r="I96" s="566"/>
      <c r="J96" s="490"/>
      <c r="K96" s="231" t="str">
        <f>PEsoLetra('Digitar aqui Notas e Pesos'!G96)</f>
        <v/>
      </c>
      <c r="L96" s="232" t="str">
        <f>PEsoLetra('Digitar aqui Notas e Pesos'!H96)</f>
        <v/>
      </c>
      <c r="M96" s="554"/>
      <c r="N96" s="231" t="str">
        <f>PEsoLetra('Digitar aqui Notas e Pesos'!J96)</f>
        <v/>
      </c>
      <c r="O96" s="232" t="str">
        <f>PEsoLetra('Digitar aqui Notas e Pesos'!K96)</f>
        <v/>
      </c>
      <c r="P96" s="554"/>
      <c r="Q96" s="231" t="str">
        <f>PEsoLetra('Digitar aqui Notas e Pesos'!M96)</f>
        <v/>
      </c>
      <c r="R96" s="232" t="str">
        <f>PEsoLetra('Digitar aqui Notas e Pesos'!N96)</f>
        <v/>
      </c>
      <c r="S96" s="554"/>
      <c r="T96" s="231" t="str">
        <f>PEsoLetra('Digitar aqui Notas e Pesos'!P96)</f>
        <v/>
      </c>
      <c r="U96" s="232" t="str">
        <f>PEsoLetra('Digitar aqui Notas e Pesos'!Q96)</f>
        <v/>
      </c>
      <c r="V96" s="554"/>
      <c r="W96" s="231" t="str">
        <f>PEsoLetra('Digitar aqui Notas e Pesos'!S96)</f>
        <v/>
      </c>
      <c r="X96" s="232" t="str">
        <f>PEsoLetra('Digitar aqui Notas e Pesos'!T96)</f>
        <v/>
      </c>
      <c r="Y96" s="554"/>
      <c r="Z96" s="231" t="str">
        <f>PEsoLetra('Digitar aqui Notas e Pesos'!V96)</f>
        <v/>
      </c>
      <c r="AA96" s="232" t="str">
        <f>PEsoLetra('Digitar aqui Notas e Pesos'!W96)</f>
        <v/>
      </c>
      <c r="AB96" s="554"/>
      <c r="AC96" s="231" t="str">
        <f>PEsoLetra('Digitar aqui Notas e Pesos'!Y96)</f>
        <v/>
      </c>
      <c r="AD96" s="232" t="str">
        <f>PEsoLetra('Digitar aqui Notas e Pesos'!Z96)</f>
        <v/>
      </c>
      <c r="AE96" s="554"/>
      <c r="AF96" s="231" t="str">
        <f>PEsoLetra('Digitar aqui Notas e Pesos'!AB96)</f>
        <v/>
      </c>
      <c r="AG96" s="232" t="str">
        <f>PEsoLetra('Digitar aqui Notas e Pesos'!AC96)</f>
        <v/>
      </c>
      <c r="AH96" s="574"/>
      <c r="AI96" s="19" t="str">
        <f>+AI95</f>
        <v>Não Imprime</v>
      </c>
      <c r="AJ96" s="1"/>
      <c r="AK96" s="130"/>
      <c r="AL96" s="130"/>
      <c r="AM96" s="130"/>
      <c r="AN96" s="130"/>
      <c r="AO96" s="130"/>
      <c r="AP96" s="131"/>
      <c r="AQ96" s="130"/>
      <c r="AR96" s="130"/>
      <c r="AS96" s="131"/>
      <c r="AT96" s="130"/>
      <c r="AU96" s="130"/>
      <c r="AV96" s="131"/>
      <c r="AW96" s="130"/>
      <c r="AX96" s="130"/>
      <c r="AY96" s="131"/>
      <c r="AZ96" s="130"/>
      <c r="BA96" s="130"/>
      <c r="BB96" s="131"/>
      <c r="BC96" s="130"/>
      <c r="BD96" s="130"/>
      <c r="BE96" s="131"/>
      <c r="BF96" s="130"/>
      <c r="BG96" s="130"/>
      <c r="BH96" s="131"/>
      <c r="BI96" s="130"/>
      <c r="BJ96" s="130"/>
      <c r="BK96" s="131"/>
      <c r="CM96" s="28"/>
      <c r="CN96" s="28"/>
    </row>
    <row r="97" spans="1:92" ht="15.75" hidden="1" thickBot="1" x14ac:dyDescent="0.25">
      <c r="A97" s="546" t="str">
        <f>'Digitar aqui Notas e Pesos'!A97</f>
        <v>Nome da Atividade 6 da Unidade 5</v>
      </c>
      <c r="B97" s="547"/>
      <c r="C97" s="229">
        <f>IF('Digitar aqui Notas e Pesos'!C97,PEsoLetra('Digitar aqui Notas e Pesos'!C97),0)</f>
        <v>0</v>
      </c>
      <c r="D97" s="208">
        <f>IF(ISTEXT($C97),(G97*letrapeso(G98)+K97*letrapeso(K98)+N97*letrapeso(N98)+Q97*letrapeso(Q98)+T97*letrapeso(T98)+W97*letrapeso(W98)+Z97*letrapeso(Z98)+AC97*letrapeso(AC98)+AF97*letrapeso(AF98))/(letrapeso(G98)+letrapeso(K98)+letrapeso(N98)+letrapeso(Q98)+letrapeso(T98)+letrapeso(W98)+letrapeso(Z98)+letrapeso(AC98)+letrapeso(AF98)),0)</f>
        <v>0</v>
      </c>
      <c r="E97" s="208">
        <f>IF(ISTEXT($C97),(H97*letrapeso(H98)+L97*letrapeso(L98)+O97*letrapeso(O98)+R97*letrapeso(R98)+U97*letrapeso(U98)+X97*letrapeso(X98)+AA97*letrapeso(AA98)+AD97*letrapeso(AD98)+AG97*letrapeso(AG98))/(letrapeso(H98)+letrapeso(L98)+letrapeso(O98)+letrapeso(R98)+letrapeso(U98)+letrapeso(X98)+letrapeso(AA98)+letrapeso(AD98)+letrapeso(AG98)),0)</f>
        <v>0</v>
      </c>
      <c r="F97" s="209">
        <f>IF(ISTEXT($C97),(D97*$A$145+E97*$A$146),0)</f>
        <v>0</v>
      </c>
      <c r="G97" s="259">
        <f>'Digitar aqui Notas e Pesos'!D97</f>
        <v>0</v>
      </c>
      <c r="H97" s="116">
        <f>'Digitar aqui Notas e Pesos'!E97</f>
        <v>0</v>
      </c>
      <c r="I97" s="565">
        <f>IF(AND(G97&lt;&gt;0,H97&lt;&gt;0,$C97&lt;&gt;0),(G97*letrapeso(G98)*$A$145+H97*letrapeso(H98)*$A$146)/(letrapeso(G98)*$A$145+letrapeso(H98)*$A$146),0)</f>
        <v>0</v>
      </c>
      <c r="J97" s="259">
        <f>'Digitar aqui Notas e Pesos'!F97</f>
        <v>0</v>
      </c>
      <c r="K97" s="259">
        <f>'Digitar aqui Notas e Pesos'!G97</f>
        <v>0</v>
      </c>
      <c r="L97" s="116">
        <f>'Digitar aqui Notas e Pesos'!H97</f>
        <v>0</v>
      </c>
      <c r="M97" s="553">
        <f>IF(AND(K97&lt;&gt;0,L97&lt;&gt;0,$C97&lt;&gt;0),(K97*letrapeso(K98)*$A$145+L97*letrapeso(L98)*$A$146)/(letrapeso(K98)*$A$145+letrapeso(L98)*$A$146),0)</f>
        <v>0</v>
      </c>
      <c r="N97" s="259">
        <f>'Digitar aqui Notas e Pesos'!J97</f>
        <v>0</v>
      </c>
      <c r="O97" s="116">
        <f>'Digitar aqui Notas e Pesos'!K97</f>
        <v>0</v>
      </c>
      <c r="P97" s="553">
        <f>IF(AND(N97&lt;&gt;0,O97&lt;&gt;0,$C97&lt;&gt;0),(N97*letrapeso(N98)*$A$145+O97*letrapeso(O98)*$A$146)/(letrapeso(N98)*$A$145+letrapeso(O98)*$A$146),0)</f>
        <v>0</v>
      </c>
      <c r="Q97" s="259">
        <f>'Digitar aqui Notas e Pesos'!M97</f>
        <v>0</v>
      </c>
      <c r="R97" s="116">
        <f>'Digitar aqui Notas e Pesos'!N97</f>
        <v>0</v>
      </c>
      <c r="S97" s="553">
        <f>IF(AND(Q97&lt;&gt;0,R97&lt;&gt;0,$C97&lt;&gt;0),(Q97*letrapeso(Q98)*$A$145+R97*letrapeso(R98)*$A$146)/(letrapeso(Q98)*$A$145+letrapeso(R98)*$A$146),0)</f>
        <v>0</v>
      </c>
      <c r="T97" s="259">
        <f>'Digitar aqui Notas e Pesos'!P97</f>
        <v>0</v>
      </c>
      <c r="U97" s="116">
        <f>'Digitar aqui Notas e Pesos'!Q97</f>
        <v>0</v>
      </c>
      <c r="V97" s="553">
        <f>IF(AND(T97&lt;&gt;0,U97&lt;&gt;0,$C97&lt;&gt;0),(T97*letrapeso(T98)*$A$145+U97*letrapeso(U98)*$A$146)/(letrapeso(T98)*$A$145+letrapeso(U98)*$A$146),0)</f>
        <v>0</v>
      </c>
      <c r="W97" s="259">
        <f>'Digitar aqui Notas e Pesos'!S97</f>
        <v>0</v>
      </c>
      <c r="X97" s="116">
        <f>'Digitar aqui Notas e Pesos'!T97</f>
        <v>0</v>
      </c>
      <c r="Y97" s="553">
        <f>IF(AND(W97&lt;&gt;0,X97&lt;&gt;0,$C97&lt;&gt;0),(W97*letrapeso(W98)*$A$145+X97*letrapeso(X98)*$A$146)/(letrapeso(W98)*$A$145+letrapeso(X98)*$A$146),0)</f>
        <v>0</v>
      </c>
      <c r="Z97" s="259">
        <f>'Digitar aqui Notas e Pesos'!V97</f>
        <v>0</v>
      </c>
      <c r="AA97" s="116">
        <f>'Digitar aqui Notas e Pesos'!W97</f>
        <v>0</v>
      </c>
      <c r="AB97" s="553">
        <f>IF(AND(Z97&lt;&gt;0,AA97&lt;&gt;0,$C97&lt;&gt;0),(Z97*letrapeso(Z98)*$A$145+AA97*letrapeso(AA98)*$A$146)/(letrapeso(Z98)*$A$145+letrapeso(AA98)*$A$146),0)</f>
        <v>0</v>
      </c>
      <c r="AC97" s="259">
        <f>'Digitar aqui Notas e Pesos'!Y97</f>
        <v>0</v>
      </c>
      <c r="AD97" s="116">
        <f>'Digitar aqui Notas e Pesos'!Z97</f>
        <v>0</v>
      </c>
      <c r="AE97" s="553">
        <f>IF(AND(AC97&lt;&gt;0,AD97&lt;&gt;0,$C97&lt;&gt;0),(AC97*letrapeso(AC98)*$A$145+AD97*letrapeso(AD98)*$A$146)/(letrapeso(AC98)*$A$145+letrapeso(AD98)*$A$146),0)</f>
        <v>0</v>
      </c>
      <c r="AF97" s="259">
        <f>'Digitar aqui Notas e Pesos'!AB97</f>
        <v>0</v>
      </c>
      <c r="AG97" s="116">
        <f>'Digitar aqui Notas e Pesos'!AC97</f>
        <v>0</v>
      </c>
      <c r="AH97" s="573">
        <f>IF(AND(AF97&lt;&gt;0,AG97&lt;&gt;0,$C97&lt;&gt;0),(AF97*letrapeso(AF98)*$A$145+AG97*letrapeso(AG98)*$A$146)/(letrapeso(AF98)*$A$145+letrapeso(AG98)*$A$146),0)</f>
        <v>0</v>
      </c>
      <c r="AI97" s="8" t="str">
        <f>IF(letrapeso(C97),"Imprime","Não Imprime")</f>
        <v>Não Imprime</v>
      </c>
      <c r="AJ97" s="14" t="s">
        <v>28</v>
      </c>
      <c r="AK97" s="129">
        <f>G97*letrapeso(G98)*letrapeso($C97)</f>
        <v>0</v>
      </c>
      <c r="AL97" s="129">
        <f>H97*letrapeso(H98)*letrapeso($C97)</f>
        <v>0</v>
      </c>
      <c r="AM97" s="129">
        <f>J97*letrapeso(G98)*letrapeso($C97)</f>
        <v>0</v>
      </c>
      <c r="AN97" s="129">
        <f>K97*letrapeso(K98)*letrapeso($C97)</f>
        <v>0</v>
      </c>
      <c r="AO97" s="129">
        <f>L97*letrapeso(L98)*letrapeso($C97)</f>
        <v>0</v>
      </c>
      <c r="AP97" s="131"/>
      <c r="AQ97" s="129">
        <f>N97*letrapeso(N98)*letrapeso($C97)</f>
        <v>0</v>
      </c>
      <c r="AR97" s="129">
        <f>O97*letrapeso(O98)*letrapeso($C97)</f>
        <v>0</v>
      </c>
      <c r="AS97" s="131"/>
      <c r="AT97" s="129">
        <f>Q97*letrapeso(Q98)*letrapeso($C97)</f>
        <v>0</v>
      </c>
      <c r="AU97" s="129">
        <f>R97*letrapeso(R98)*letrapeso($C97)</f>
        <v>0</v>
      </c>
      <c r="AV97" s="131"/>
      <c r="AW97" s="129">
        <f>T97*letrapeso(T98)*letrapeso($C97)</f>
        <v>0</v>
      </c>
      <c r="AX97" s="129">
        <f>U97*letrapeso(U98)*letrapeso($C97)</f>
        <v>0</v>
      </c>
      <c r="AY97" s="131"/>
      <c r="AZ97" s="129">
        <f>W97*letrapeso(W98)*letrapeso($C97)</f>
        <v>0</v>
      </c>
      <c r="BA97" s="129">
        <f>X97*letrapeso(X98)*letrapeso($C97)</f>
        <v>0</v>
      </c>
      <c r="BB97" s="131"/>
      <c r="BC97" s="129">
        <f>Z97*letrapeso(Z98)*letrapeso($C97)</f>
        <v>0</v>
      </c>
      <c r="BD97" s="129">
        <f>AA97*letrapeso(AA98)*letrapeso($C97)</f>
        <v>0</v>
      </c>
      <c r="BE97" s="131"/>
      <c r="BF97" s="129">
        <f>AC97*letrapeso(AC98)*letrapeso($C97)</f>
        <v>0</v>
      </c>
      <c r="BG97" s="129">
        <f>AD97*letrapeso(AD98)*letrapeso($C97)</f>
        <v>0</v>
      </c>
      <c r="BH97" s="131"/>
      <c r="BI97" s="129">
        <f>AF97*letrapeso(AF98)*letrapeso($C97)</f>
        <v>0</v>
      </c>
      <c r="BJ97" s="129">
        <f>AG97*letrapeso(AG98)*letrapeso($C97)</f>
        <v>0</v>
      </c>
      <c r="BK97" s="131"/>
      <c r="BL97" s="171">
        <f>letrapeso(G98)</f>
        <v>0</v>
      </c>
      <c r="BM97" s="171">
        <f>letrapeso(H98)</f>
        <v>0</v>
      </c>
      <c r="BN97" s="41"/>
      <c r="BO97" s="171">
        <f>letrapeso(K98)</f>
        <v>0</v>
      </c>
      <c r="BP97" s="171">
        <f>letrapeso(L98)</f>
        <v>0</v>
      </c>
      <c r="BQ97" s="41"/>
      <c r="BR97" s="171">
        <f>letrapeso(N98)</f>
        <v>0</v>
      </c>
      <c r="BS97" s="171">
        <f>letrapeso(O98)</f>
        <v>0</v>
      </c>
      <c r="BT97" s="41"/>
      <c r="BU97" s="171">
        <f>letrapeso(Q98)</f>
        <v>0</v>
      </c>
      <c r="BV97" s="171">
        <f>letrapeso(R98)</f>
        <v>0</v>
      </c>
      <c r="BW97" s="41"/>
      <c r="BX97" s="171">
        <f>letrapeso(T98)</f>
        <v>0</v>
      </c>
      <c r="BY97" s="171">
        <f>letrapeso(U98)</f>
        <v>0</v>
      </c>
      <c r="BZ97" s="41"/>
      <c r="CA97" s="171">
        <f>letrapeso(W98)</f>
        <v>0</v>
      </c>
      <c r="CB97" s="171">
        <f>letrapeso(X98)</f>
        <v>0</v>
      </c>
      <c r="CC97" s="41"/>
      <c r="CD97" s="171">
        <f>letrapeso(Z98)</f>
        <v>0</v>
      </c>
      <c r="CE97" s="171">
        <f>letrapeso(AA98)</f>
        <v>0</v>
      </c>
      <c r="CF97" s="41"/>
      <c r="CG97" s="171">
        <f>letrapeso(AC98)</f>
        <v>0</v>
      </c>
      <c r="CH97" s="171">
        <f>letrapeso(AD98)</f>
        <v>0</v>
      </c>
      <c r="CI97" s="41"/>
      <c r="CJ97" s="171">
        <f>letrapeso(AF98)</f>
        <v>0</v>
      </c>
      <c r="CK97" s="171">
        <f>letrapeso(AG98)</f>
        <v>0</v>
      </c>
      <c r="CL97" s="41"/>
      <c r="CM97" s="41">
        <f>IF(ISTEXT($C97),(BL97+BO97+BR97+BU97+BX97+CA97+CD97+CG97+CJ97),0)</f>
        <v>0</v>
      </c>
      <c r="CN97" s="41">
        <f>IF(ISTEXT($C97),(BM97+BP97+BS97+BV97+BY97+CB97+CE97+CH97+CK97),0)</f>
        <v>0</v>
      </c>
    </row>
    <row r="98" spans="1:92" ht="15.75" hidden="1" thickBot="1" x14ac:dyDescent="0.25">
      <c r="A98" s="537" t="str">
        <f>TEXT(D97,"0,00")&amp;"       "&amp;TEXT(E97,"0,00")&amp;"       "&amp;TEXT(F97,"0,00")</f>
        <v>0,00       0,00       0,00</v>
      </c>
      <c r="B98" s="538"/>
      <c r="C98" s="230"/>
      <c r="D98" s="210"/>
      <c r="E98" s="208">
        <f>IF(ISTEXT($C98),(H98*letrapeso(H99)+#REF!*letrapeso(#REF!)+L98*letrapeso(L99)+O98*letrapeso(O99)+R98*letrapeso(R99)+#REF!*letrapeso(#REF!)+U98*letrapeso(U99)+X98*letrapeso(X99)+AA98*letrapeso(AA99)+AD98*letrapeso(AD99)+AG98*letrapeso(AG99))/(letrapeso(H99)+letrapeso(#REF!)+letrapeso(L99)+letrapeso(O99)+letrapeso(R99)+letrapeso(#REF!)+letrapeso(U99)+letrapeso(X99)+letrapeso(AA99)+letrapeso(AD99)+letrapeso(AG99)),0)</f>
        <v>0</v>
      </c>
      <c r="F98" s="209"/>
      <c r="G98" s="231" t="str">
        <f>PEsoLetra('Digitar aqui Notas e Pesos'!D98)</f>
        <v/>
      </c>
      <c r="H98" s="232" t="str">
        <f>PEsoLetra('Digitar aqui Notas e Pesos'!E98)</f>
        <v/>
      </c>
      <c r="I98" s="566"/>
      <c r="J98" s="490"/>
      <c r="K98" s="231" t="str">
        <f>PEsoLetra('Digitar aqui Notas e Pesos'!G98)</f>
        <v/>
      </c>
      <c r="L98" s="232" t="str">
        <f>PEsoLetra('Digitar aqui Notas e Pesos'!H98)</f>
        <v/>
      </c>
      <c r="M98" s="554"/>
      <c r="N98" s="231" t="str">
        <f>PEsoLetra('Digitar aqui Notas e Pesos'!J98)</f>
        <v/>
      </c>
      <c r="O98" s="232" t="str">
        <f>PEsoLetra('Digitar aqui Notas e Pesos'!K98)</f>
        <v/>
      </c>
      <c r="P98" s="554"/>
      <c r="Q98" s="231" t="str">
        <f>PEsoLetra('Digitar aqui Notas e Pesos'!M98)</f>
        <v/>
      </c>
      <c r="R98" s="232" t="str">
        <f>PEsoLetra('Digitar aqui Notas e Pesos'!N98)</f>
        <v/>
      </c>
      <c r="S98" s="554"/>
      <c r="T98" s="231" t="str">
        <f>PEsoLetra('Digitar aqui Notas e Pesos'!P98)</f>
        <v/>
      </c>
      <c r="U98" s="232" t="str">
        <f>PEsoLetra('Digitar aqui Notas e Pesos'!Q98)</f>
        <v/>
      </c>
      <c r="V98" s="554"/>
      <c r="W98" s="231" t="str">
        <f>PEsoLetra('Digitar aqui Notas e Pesos'!S98)</f>
        <v/>
      </c>
      <c r="X98" s="232" t="str">
        <f>PEsoLetra('Digitar aqui Notas e Pesos'!T98)</f>
        <v/>
      </c>
      <c r="Y98" s="554"/>
      <c r="Z98" s="231" t="str">
        <f>PEsoLetra('Digitar aqui Notas e Pesos'!V98)</f>
        <v/>
      </c>
      <c r="AA98" s="232" t="str">
        <f>PEsoLetra('Digitar aqui Notas e Pesos'!W98)</f>
        <v/>
      </c>
      <c r="AB98" s="554"/>
      <c r="AC98" s="231" t="str">
        <f>PEsoLetra('Digitar aqui Notas e Pesos'!Y98)</f>
        <v/>
      </c>
      <c r="AD98" s="232" t="str">
        <f>PEsoLetra('Digitar aqui Notas e Pesos'!Z98)</f>
        <v/>
      </c>
      <c r="AE98" s="554"/>
      <c r="AF98" s="231" t="str">
        <f>PEsoLetra('Digitar aqui Notas e Pesos'!AB98)</f>
        <v/>
      </c>
      <c r="AG98" s="232" t="str">
        <f>PEsoLetra('Digitar aqui Notas e Pesos'!AC98)</f>
        <v/>
      </c>
      <c r="AH98" s="574"/>
      <c r="AI98" s="19" t="str">
        <f>+AI97</f>
        <v>Não Imprime</v>
      </c>
      <c r="AJ98" s="1"/>
      <c r="AK98" s="130"/>
      <c r="AL98" s="130"/>
      <c r="AM98" s="130"/>
      <c r="AN98" s="130"/>
      <c r="AO98" s="130"/>
      <c r="AP98" s="131"/>
      <c r="AQ98" s="130"/>
      <c r="AR98" s="130"/>
      <c r="AS98" s="131"/>
      <c r="AT98" s="130"/>
      <c r="AU98" s="130"/>
      <c r="AV98" s="131"/>
      <c r="AW98" s="130"/>
      <c r="AX98" s="130"/>
      <c r="AY98" s="131"/>
      <c r="AZ98" s="130"/>
      <c r="BA98" s="130"/>
      <c r="BB98" s="131"/>
      <c r="BC98" s="130"/>
      <c r="BD98" s="130"/>
      <c r="BE98" s="131"/>
      <c r="BF98" s="130"/>
      <c r="BG98" s="130"/>
      <c r="BH98" s="131"/>
      <c r="BI98" s="130"/>
      <c r="BJ98" s="130"/>
      <c r="BK98" s="131"/>
      <c r="CM98" s="171"/>
      <c r="CN98" s="28"/>
    </row>
    <row r="99" spans="1:92" ht="15.75" hidden="1" thickBot="1" x14ac:dyDescent="0.25">
      <c r="A99" s="546" t="str">
        <f>'Digitar aqui Notas e Pesos'!A99</f>
        <v>Nome da Atividade 7 da Unidade 5</v>
      </c>
      <c r="B99" s="547"/>
      <c r="C99" s="229">
        <f>IF('Digitar aqui Notas e Pesos'!C99,PEsoLetra('Digitar aqui Notas e Pesos'!C99),0)</f>
        <v>0</v>
      </c>
      <c r="D99" s="208">
        <f>IF(ISTEXT($C99),(G99*letrapeso(G100)+K99*letrapeso(K100)+N99*letrapeso(N100)+Q99*letrapeso(Q100)+T99*letrapeso(T100)+W99*letrapeso(W100)+Z99*letrapeso(Z100)+AC99*letrapeso(AC100)+AF99*letrapeso(AF100))/(letrapeso(G100)+letrapeso(K100)+letrapeso(N100)+letrapeso(Q100)+letrapeso(T100)+letrapeso(W100)+letrapeso(Z100)+letrapeso(AC100)+letrapeso(AF100)),0)</f>
        <v>0</v>
      </c>
      <c r="E99" s="208">
        <f>IF(ISTEXT($C99),(H99*letrapeso(H100)+L99*letrapeso(L100)+O99*letrapeso(O100)+R99*letrapeso(R100)+U99*letrapeso(U100)+X99*letrapeso(X100)+AA99*letrapeso(AA100)+AD99*letrapeso(AD100)+AG99*letrapeso(AG100))/(letrapeso(H100)+letrapeso(L100)+letrapeso(O100)+letrapeso(R100)+letrapeso(U100)+letrapeso(X100)+letrapeso(AA100)+letrapeso(AD100)+letrapeso(AG100)),0)</f>
        <v>0</v>
      </c>
      <c r="F99" s="209">
        <f>IF(ISTEXT($C99),(D99*$A$145+E99*$A$146),0)</f>
        <v>0</v>
      </c>
      <c r="G99" s="115">
        <f>'Digitar aqui Notas e Pesos'!D99</f>
        <v>0</v>
      </c>
      <c r="H99" s="116">
        <f>'Digitar aqui Notas e Pesos'!E99</f>
        <v>0</v>
      </c>
      <c r="I99" s="565">
        <f>IF(AND(G99&lt;&gt;0,H99&lt;&gt;0,$C99&lt;&gt;0),(G99*letrapeso(G100)*$A$145+H99*letrapeso(H100)*$A$146)/(letrapeso(G100)*$A$145+letrapeso(H100)*$A$146),0)</f>
        <v>0</v>
      </c>
      <c r="J99" s="259">
        <f>'Digitar aqui Notas e Pesos'!F99</f>
        <v>0</v>
      </c>
      <c r="K99" s="115">
        <f>'Digitar aqui Notas e Pesos'!G99</f>
        <v>0</v>
      </c>
      <c r="L99" s="116">
        <f>'Digitar aqui Notas e Pesos'!H99</f>
        <v>0</v>
      </c>
      <c r="M99" s="553">
        <f>IF(AND(K99&lt;&gt;0,L99&lt;&gt;0,$C99&lt;&gt;0),(K99*letrapeso(K100)*$A$145+L99*letrapeso(L100)*$A$146)/(letrapeso(K100)*$A$145+letrapeso(L100)*$A$146),0)</f>
        <v>0</v>
      </c>
      <c r="N99" s="115">
        <f>'Digitar aqui Notas e Pesos'!J99</f>
        <v>0</v>
      </c>
      <c r="O99" s="116">
        <f>'Digitar aqui Notas e Pesos'!K99</f>
        <v>0</v>
      </c>
      <c r="P99" s="553">
        <f>IF(AND(N99&lt;&gt;0,O99&lt;&gt;0,$C99&lt;&gt;0),(N99*letrapeso(N100)*$A$145+O99*letrapeso(O100)*$A$146)/(letrapeso(N100)*$A$145+letrapeso(O100)*$A$146),0)</f>
        <v>0</v>
      </c>
      <c r="Q99" s="115">
        <f>'Digitar aqui Notas e Pesos'!M99</f>
        <v>0</v>
      </c>
      <c r="R99" s="116">
        <f>'Digitar aqui Notas e Pesos'!N99</f>
        <v>0</v>
      </c>
      <c r="S99" s="553">
        <f>IF(AND(Q99&lt;&gt;0,R99&lt;&gt;0,$C99&lt;&gt;0),(Q99*letrapeso(Q100)*$A$145+R99*letrapeso(R100)*$A$146)/(letrapeso(Q100)*$A$145+letrapeso(R100)*$A$146),0)</f>
        <v>0</v>
      </c>
      <c r="T99" s="115">
        <f>'Digitar aqui Notas e Pesos'!P99</f>
        <v>0</v>
      </c>
      <c r="U99" s="116">
        <f>'Digitar aqui Notas e Pesos'!Q99</f>
        <v>0</v>
      </c>
      <c r="V99" s="553">
        <f>IF(AND(T99&lt;&gt;0,U99&lt;&gt;0,$C99&lt;&gt;0),(T99*letrapeso(T100)*$A$145+U99*letrapeso(U100)*$A$146)/(letrapeso(T100)*$A$145+letrapeso(U100)*$A$146),0)</f>
        <v>0</v>
      </c>
      <c r="W99" s="115">
        <f>'Digitar aqui Notas e Pesos'!S99</f>
        <v>0</v>
      </c>
      <c r="X99" s="116">
        <f>'Digitar aqui Notas e Pesos'!T99</f>
        <v>0</v>
      </c>
      <c r="Y99" s="553">
        <f>IF(AND(W99&lt;&gt;0,X99&lt;&gt;0,$C99&lt;&gt;0),(W99*letrapeso(W100)*$A$145+X99*letrapeso(X100)*$A$146)/(letrapeso(W100)*$A$145+letrapeso(X100)*$A$146),0)</f>
        <v>0</v>
      </c>
      <c r="Z99" s="115">
        <f>'Digitar aqui Notas e Pesos'!V99</f>
        <v>0</v>
      </c>
      <c r="AA99" s="116">
        <f>'Digitar aqui Notas e Pesos'!W99</f>
        <v>0</v>
      </c>
      <c r="AB99" s="553">
        <f>IF(AND(Z99&lt;&gt;0,AA99&lt;&gt;0,$C99&lt;&gt;0),(Z99*letrapeso(Z100)*$A$145+AA99*letrapeso(AA100)*$A$146)/(letrapeso(Z100)*$A$145+letrapeso(AA100)*$A$146),0)</f>
        <v>0</v>
      </c>
      <c r="AC99" s="115">
        <f>'Digitar aqui Notas e Pesos'!Y99</f>
        <v>0</v>
      </c>
      <c r="AD99" s="116">
        <f>'Digitar aqui Notas e Pesos'!Z99</f>
        <v>0</v>
      </c>
      <c r="AE99" s="553">
        <f>IF(AND(AC99&lt;&gt;0,AD99&lt;&gt;0,$C99&lt;&gt;0),(AC99*letrapeso(AC100)*$A$145+AD99*letrapeso(AD100)*$A$146)/(letrapeso(AC100)*$A$145+letrapeso(AD100)*$A$146),0)</f>
        <v>0</v>
      </c>
      <c r="AF99" s="115">
        <f>'Digitar aqui Notas e Pesos'!AB99</f>
        <v>0</v>
      </c>
      <c r="AG99" s="116">
        <f>'Digitar aqui Notas e Pesos'!AC99</f>
        <v>0</v>
      </c>
      <c r="AH99" s="573">
        <f>IF(AND(AF99&lt;&gt;0,AG99&lt;&gt;0,$C99&lt;&gt;0),(AF99*letrapeso(AF100)*$A$145+AG99*letrapeso(AG100)*$A$146)/(letrapeso(AF100)*$A$145+letrapeso(AG100)*$A$146),0)</f>
        <v>0</v>
      </c>
      <c r="AI99" s="8" t="str">
        <f>IF(letrapeso(C99),"Imprime","Não Imprime")</f>
        <v>Não Imprime</v>
      </c>
      <c r="AJ99" s="14" t="s">
        <v>28</v>
      </c>
      <c r="AK99" s="129">
        <f>G99*letrapeso(G100)*letrapeso($C99)</f>
        <v>0</v>
      </c>
      <c r="AL99" s="129">
        <f>H99*letrapeso(H100)*letrapeso($C99)</f>
        <v>0</v>
      </c>
      <c r="AM99" s="129">
        <f>J99*letrapeso(G100)*letrapeso($C99)</f>
        <v>0</v>
      </c>
      <c r="AN99" s="129">
        <f>K99*letrapeso(K100)*letrapeso($C99)</f>
        <v>0</v>
      </c>
      <c r="AO99" s="129">
        <f>L99*letrapeso(L100)*letrapeso($C99)</f>
        <v>0</v>
      </c>
      <c r="AP99" s="131"/>
      <c r="AQ99" s="129">
        <f>N99*letrapeso(N100)*letrapeso($C99)</f>
        <v>0</v>
      </c>
      <c r="AR99" s="129">
        <f>O99*letrapeso(O100)*letrapeso($C99)</f>
        <v>0</v>
      </c>
      <c r="AS99" s="131"/>
      <c r="AT99" s="129">
        <f>Q99*letrapeso(Q100)*letrapeso($C99)</f>
        <v>0</v>
      </c>
      <c r="AU99" s="129">
        <f>R99*letrapeso(R100)*letrapeso($C99)</f>
        <v>0</v>
      </c>
      <c r="AV99" s="131"/>
      <c r="AW99" s="129">
        <f>T99*letrapeso(T100)*letrapeso($C99)</f>
        <v>0</v>
      </c>
      <c r="AX99" s="129">
        <f>U99*letrapeso(U100)*letrapeso($C99)</f>
        <v>0</v>
      </c>
      <c r="AY99" s="131"/>
      <c r="AZ99" s="129">
        <f>W99*letrapeso(W100)*letrapeso($C99)</f>
        <v>0</v>
      </c>
      <c r="BA99" s="129">
        <f>X99*letrapeso(X100)*letrapeso($C99)</f>
        <v>0</v>
      </c>
      <c r="BB99" s="131"/>
      <c r="BC99" s="129">
        <f>Z99*letrapeso(Z100)*letrapeso($C99)</f>
        <v>0</v>
      </c>
      <c r="BD99" s="129">
        <f>AA99*letrapeso(AA100)*letrapeso($C99)</f>
        <v>0</v>
      </c>
      <c r="BE99" s="131"/>
      <c r="BF99" s="129">
        <f>AC99*letrapeso(AC100)*letrapeso($C99)</f>
        <v>0</v>
      </c>
      <c r="BG99" s="129">
        <f>AD99*letrapeso(AD100)*letrapeso($C99)</f>
        <v>0</v>
      </c>
      <c r="BH99" s="131"/>
      <c r="BI99" s="129">
        <f>AF99*letrapeso(AF100)*letrapeso($C99)</f>
        <v>0</v>
      </c>
      <c r="BJ99" s="129">
        <f>AG99*letrapeso(AG100)*letrapeso($C99)</f>
        <v>0</v>
      </c>
      <c r="BK99" s="131"/>
      <c r="BL99" s="171">
        <f>letrapeso(G100)</f>
        <v>0</v>
      </c>
      <c r="BM99" s="171">
        <f>letrapeso(H100)</f>
        <v>0</v>
      </c>
      <c r="BN99" s="41"/>
      <c r="BO99" s="171">
        <f>letrapeso(K100)</f>
        <v>0</v>
      </c>
      <c r="BP99" s="171">
        <f>letrapeso(L100)</f>
        <v>0</v>
      </c>
      <c r="BQ99" s="41"/>
      <c r="BR99" s="171">
        <f>letrapeso(N100)</f>
        <v>0</v>
      </c>
      <c r="BS99" s="171">
        <f>letrapeso(O100)</f>
        <v>0</v>
      </c>
      <c r="BT99" s="41"/>
      <c r="BU99" s="171">
        <f>letrapeso(Q100)</f>
        <v>0</v>
      </c>
      <c r="BV99" s="171">
        <f>letrapeso(R100)</f>
        <v>0</v>
      </c>
      <c r="BW99" s="41"/>
      <c r="BX99" s="171">
        <f>letrapeso(T100)</f>
        <v>0</v>
      </c>
      <c r="BY99" s="171">
        <f>letrapeso(U100)</f>
        <v>0</v>
      </c>
      <c r="BZ99" s="41"/>
      <c r="CA99" s="171">
        <f>letrapeso(W100)</f>
        <v>0</v>
      </c>
      <c r="CB99" s="171">
        <f>letrapeso(X100)</f>
        <v>0</v>
      </c>
      <c r="CC99" s="41"/>
      <c r="CD99" s="171">
        <f>letrapeso(Z100)</f>
        <v>0</v>
      </c>
      <c r="CE99" s="171">
        <f>letrapeso(AA100)</f>
        <v>0</v>
      </c>
      <c r="CF99" s="41"/>
      <c r="CG99" s="171">
        <f>letrapeso(AC100)</f>
        <v>0</v>
      </c>
      <c r="CH99" s="171">
        <f>letrapeso(AD100)</f>
        <v>0</v>
      </c>
      <c r="CI99" s="41"/>
      <c r="CJ99" s="171">
        <f>letrapeso(AF100)</f>
        <v>0</v>
      </c>
      <c r="CK99" s="171">
        <f>letrapeso(AG100)</f>
        <v>0</v>
      </c>
      <c r="CL99" s="41"/>
      <c r="CM99" s="41">
        <f>IF(ISTEXT($C99),(BL99+BO99+BR99+BU99+BX99+CA99+CD99+CG99+CJ99),0)</f>
        <v>0</v>
      </c>
      <c r="CN99" s="41">
        <f>IF(ISTEXT($C99),(BM99+BP99+BS99+BV99+BY99+CB99+CE99+CH99+CK99),0)</f>
        <v>0</v>
      </c>
    </row>
    <row r="100" spans="1:92" ht="15.75" hidden="1" thickBot="1" x14ac:dyDescent="0.25">
      <c r="A100" s="537" t="str">
        <f>TEXT(D99,"0,00")&amp;"       "&amp;TEXT(E99,"0,00")&amp;"       "&amp;TEXT(F99,"0,00")</f>
        <v>0,00       0,00       0,00</v>
      </c>
      <c r="B100" s="538"/>
      <c r="C100" s="233"/>
      <c r="D100" s="210"/>
      <c r="E100" s="208"/>
      <c r="F100" s="209"/>
      <c r="G100" s="231" t="str">
        <f>PEsoLetra('Digitar aqui Notas e Pesos'!D100)</f>
        <v/>
      </c>
      <c r="H100" s="232" t="str">
        <f>PEsoLetra('Digitar aqui Notas e Pesos'!E100)</f>
        <v/>
      </c>
      <c r="I100" s="565"/>
      <c r="J100" s="491"/>
      <c r="K100" s="231" t="str">
        <f>PEsoLetra('Digitar aqui Notas e Pesos'!G100)</f>
        <v/>
      </c>
      <c r="L100" s="232" t="str">
        <f>PEsoLetra('Digitar aqui Notas e Pesos'!H100)</f>
        <v/>
      </c>
      <c r="M100" s="553"/>
      <c r="N100" s="231" t="str">
        <f>PEsoLetra('Digitar aqui Notas e Pesos'!J100)</f>
        <v/>
      </c>
      <c r="O100" s="232" t="str">
        <f>PEsoLetra('Digitar aqui Notas e Pesos'!K100)</f>
        <v/>
      </c>
      <c r="P100" s="553"/>
      <c r="Q100" s="231" t="str">
        <f>PEsoLetra('Digitar aqui Notas e Pesos'!M100)</f>
        <v/>
      </c>
      <c r="R100" s="232" t="str">
        <f>PEsoLetra('Digitar aqui Notas e Pesos'!N100)</f>
        <v/>
      </c>
      <c r="S100" s="553"/>
      <c r="T100" s="231" t="str">
        <f>PEsoLetra('Digitar aqui Notas e Pesos'!P100)</f>
        <v/>
      </c>
      <c r="U100" s="232" t="str">
        <f>PEsoLetra('Digitar aqui Notas e Pesos'!Q100)</f>
        <v/>
      </c>
      <c r="V100" s="553"/>
      <c r="W100" s="231" t="str">
        <f>PEsoLetra('Digitar aqui Notas e Pesos'!S100)</f>
        <v/>
      </c>
      <c r="X100" s="232" t="str">
        <f>PEsoLetra('Digitar aqui Notas e Pesos'!T100)</f>
        <v/>
      </c>
      <c r="Y100" s="553"/>
      <c r="Z100" s="231" t="str">
        <f>PEsoLetra('Digitar aqui Notas e Pesos'!V100)</f>
        <v/>
      </c>
      <c r="AA100" s="232" t="str">
        <f>PEsoLetra('Digitar aqui Notas e Pesos'!W100)</f>
        <v/>
      </c>
      <c r="AB100" s="553"/>
      <c r="AC100" s="231" t="str">
        <f>PEsoLetra('Digitar aqui Notas e Pesos'!Y100)</f>
        <v/>
      </c>
      <c r="AD100" s="232" t="str">
        <f>PEsoLetra('Digitar aqui Notas e Pesos'!Z100)</f>
        <v/>
      </c>
      <c r="AE100" s="553"/>
      <c r="AF100" s="231" t="str">
        <f>PEsoLetra('Digitar aqui Notas e Pesos'!AB100)</f>
        <v/>
      </c>
      <c r="AG100" s="232" t="str">
        <f>PEsoLetra('Digitar aqui Notas e Pesos'!AC100)</f>
        <v/>
      </c>
      <c r="AH100" s="573"/>
      <c r="AI100" s="19" t="str">
        <f>+AI99</f>
        <v>Não Imprime</v>
      </c>
      <c r="AJ100" s="18" t="s">
        <v>29</v>
      </c>
      <c r="AK100" s="132">
        <f>IF(ISTEXT($C85),(letrapeso(G88)*letrapeso($C87)+letrapeso(G90)*letrapeso($C89)+letrapeso(G92)*letrapeso($C91)+letrapeso(G94)*letrapeso($C93)+letrapeso(G96)*letrapeso($C95)+letrapeso(G98)*letrapeso($C97)+letrapeso(G100)*letrapeso($C99))/(letrapeso($C87)+letrapeso($C89)+letrapeso($C91)+letrapeso($C93)+letrapeso($C95)+letrapeso($C97)+letrapeso($C99)),0)</f>
        <v>0</v>
      </c>
      <c r="AL100" s="132">
        <f>IF(ISTEXT($C85),(letrapeso(H88)*letrapeso($C87)+letrapeso(H90)*letrapeso($C89)+letrapeso(H92)*letrapeso($C91)+letrapeso(H94)*letrapeso($C93)+letrapeso(H96)*letrapeso($C95)+letrapeso(H98)*letrapeso($C97)+letrapeso(H100)*letrapeso($C99))/(letrapeso($C87)+letrapeso($C89)+letrapeso($C91)+letrapeso($C93)+letrapeso($C95)+letrapeso($C97)+letrapeso($C99)),0)</f>
        <v>0</v>
      </c>
      <c r="AM100" s="132">
        <f>IF(ISTEXT($C85),(letrapeso(G88)*letrapeso($C87)+letrapeso(G90)*letrapeso($C89)+letrapeso(G92)*letrapeso($C91)+letrapeso(G94)*letrapeso($C93)+letrapeso(G96)*letrapeso($C95)+letrapeso(G98)*letrapeso($C97)+letrapeso(G100)*letrapeso($C99))/(letrapeso($C87)+letrapeso($C89)+letrapeso($C91)+letrapeso($C93)+letrapeso($C95)+letrapeso($C97)+letrapeso($C99)),0)</f>
        <v>0</v>
      </c>
      <c r="AN100" s="132">
        <f>IF(ISTEXT($C85),(letrapeso(K88)*letrapeso($C87)+letrapeso(K90)*letrapeso($C89)+letrapeso(K92)*letrapeso($C91)+letrapeso(K94)*letrapeso($C93)+letrapeso(K96)*letrapeso($C95)+letrapeso(K98)*letrapeso($C97)+letrapeso(K100)*letrapeso($C99))/(letrapeso($C87)+letrapeso($C89)+letrapeso($C91)+letrapeso($C93)+letrapeso($C95)+letrapeso($C97)+letrapeso($C99)),0)</f>
        <v>0</v>
      </c>
      <c r="AO100" s="132">
        <f>IF(ISTEXT($C85),(letrapeso(L88)*letrapeso($C87)+letrapeso(L90)*letrapeso($C89)+letrapeso(L92)*letrapeso($C91)+letrapeso(L94)*letrapeso($C93)+letrapeso(L96)*letrapeso($C95)+letrapeso(L98)*letrapeso($C97)+letrapeso(L100)*letrapeso($C99))/(letrapeso($C87)+letrapeso($C89)+letrapeso($C91)+letrapeso($C93)+letrapeso($C95)+letrapeso($C97)+letrapeso($C99)),0)</f>
        <v>0</v>
      </c>
      <c r="AP100" s="131"/>
      <c r="AQ100" s="132">
        <f>IF(ISTEXT($C85),(letrapeso(N88)*letrapeso($C87)+letrapeso(N90)*letrapeso($C89)+letrapeso(N92)*letrapeso($C91)+letrapeso(N94)*letrapeso($C93)+letrapeso(N96)*letrapeso($C95)+letrapeso(N98)*letrapeso($C97)+letrapeso(N100)*letrapeso($C99))/(letrapeso($C87)+letrapeso($C89)+letrapeso($C91)+letrapeso($C93)+letrapeso($C95)+letrapeso($C97)+letrapeso($C99)),0)</f>
        <v>0</v>
      </c>
      <c r="AR100" s="132">
        <f>IF(ISTEXT($C85),(letrapeso(O88)*letrapeso($C87)+letrapeso(O90)*letrapeso($C89)+letrapeso(O92)*letrapeso($C91)+letrapeso(O94)*letrapeso($C93)+letrapeso(O96)*letrapeso($C95)+letrapeso(O98)*letrapeso($C97)+letrapeso(O100)*letrapeso($C99))/(letrapeso($C87)+letrapeso($C89)+letrapeso($C91)+letrapeso($C93)+letrapeso($C95)+letrapeso($C97)+letrapeso($C99)),0)</f>
        <v>0</v>
      </c>
      <c r="AS100" s="131"/>
      <c r="AT100" s="132">
        <f>IF(ISTEXT($C85),(letrapeso(Q88)*letrapeso($C87)+letrapeso(Q90)*letrapeso($C89)+letrapeso(Q92)*letrapeso($C91)+letrapeso(Q94)*letrapeso($C93)+letrapeso(Q96)*letrapeso($C95)+letrapeso(Q98)*letrapeso($C97)+letrapeso(Q100)*letrapeso($C99))/(letrapeso($C87)+letrapeso($C89)+letrapeso($C91)+letrapeso($C93)+letrapeso($C95)+letrapeso($C97)+letrapeso($C99)),0)</f>
        <v>8</v>
      </c>
      <c r="AU100" s="132">
        <f>IF(ISTEXT($C85),(letrapeso(R88)*letrapeso($C87)+letrapeso(R90)*letrapeso($C89)+letrapeso(R92)*letrapeso($C91)+letrapeso(R94)*letrapeso($C93)+letrapeso(R96)*letrapeso($C95)+letrapeso(R98)*letrapeso($C97)+letrapeso(R100)*letrapeso($C99))/(letrapeso($C87)+letrapeso($C89)+letrapeso($C91)+letrapeso($C93)+letrapeso($C95)+letrapeso($C97)+letrapeso($C99)),0)</f>
        <v>8</v>
      </c>
      <c r="AV100" s="131"/>
      <c r="AW100" s="132">
        <f>IF(ISTEXT($C85),(letrapeso(T88)*letrapeso($C87)+letrapeso(T90)*letrapeso($C89)+letrapeso(T92)*letrapeso($C91)+letrapeso(T94)*letrapeso($C93)+letrapeso(T96)*letrapeso($C95)+letrapeso(T98)*letrapeso($C97)+letrapeso(T100)*letrapeso($C99))/(letrapeso($C87)+letrapeso($C89)+letrapeso($C91)+letrapeso($C93)+letrapeso($C95)+letrapeso($C97)+letrapeso($C99)),0)</f>
        <v>0</v>
      </c>
      <c r="AX100" s="132">
        <f>IF(ISTEXT($C85),(letrapeso(U88)*letrapeso($C87)+letrapeso(U90)*letrapeso($C89)+letrapeso(U92)*letrapeso($C91)+letrapeso(U94)*letrapeso($C93)+letrapeso(U96)*letrapeso($C95)+letrapeso(U98)*letrapeso($C97)+letrapeso(U100)*letrapeso($C99))/(letrapeso($C87)+letrapeso($C89)+letrapeso($C91)+letrapeso($C93)+letrapeso($C95)+letrapeso($C97)+letrapeso($C99)),0)</f>
        <v>0</v>
      </c>
      <c r="AY100" s="131"/>
      <c r="AZ100" s="132">
        <f>IF(ISTEXT($C85),(letrapeso(W88)*letrapeso($C87)+letrapeso(W90)*letrapeso($C89)+letrapeso(W92)*letrapeso($C91)+letrapeso(W94)*letrapeso($C93)+letrapeso(W96)*letrapeso($C95)+letrapeso(W98)*letrapeso($C97)+letrapeso(W100)*letrapeso($C99))/(letrapeso($C87)+letrapeso($C89)+letrapeso($C91)+letrapeso($C93)+letrapeso($C95)+letrapeso($C97)+letrapeso($C99)),0)</f>
        <v>0</v>
      </c>
      <c r="BA100" s="132">
        <f>IF(ISTEXT($C85),(letrapeso(X88)*letrapeso($C87)+letrapeso(X90)*letrapeso($C89)+letrapeso(X92)*letrapeso($C91)+letrapeso(X94)*letrapeso($C93)+letrapeso(X96)*letrapeso($C95)+letrapeso(X98)*letrapeso($C97)+letrapeso(X100)*letrapeso($C99))/(letrapeso($C87)+letrapeso($C89)+letrapeso($C91)+letrapeso($C93)+letrapeso($C95)+letrapeso($C97)+letrapeso($C99)),0)</f>
        <v>0</v>
      </c>
      <c r="BB100" s="131"/>
      <c r="BC100" s="132">
        <f>IF(ISTEXT($C85),(letrapeso(Z88)*letrapeso($C87)+letrapeso(Z90)*letrapeso($C89)+letrapeso(Z92)*letrapeso($C91)+letrapeso(Z94)*letrapeso($C93)+letrapeso(Z96)*letrapeso($C95)+letrapeso(Z98)*letrapeso($C97)+letrapeso(Z100)*letrapeso($C99))/(letrapeso($C87)+letrapeso($C89)+letrapeso($C91)+letrapeso($C93)+letrapeso($C95)+letrapeso($C97)+letrapeso($C99)),0)</f>
        <v>0</v>
      </c>
      <c r="BD100" s="132">
        <f>IF(ISTEXT($C85),(letrapeso(AA88)*letrapeso($C87)+letrapeso(AA90)*letrapeso($C89)+letrapeso(AA92)*letrapeso($C91)+letrapeso(AA94)*letrapeso($C93)+letrapeso(AA96)*letrapeso($C95)+letrapeso(AA98)*letrapeso($C97)+letrapeso(AA100)*letrapeso($C99))/(letrapeso($C87)+letrapeso($C89)+letrapeso($C91)+letrapeso($C93)+letrapeso($C95)+letrapeso($C97)+letrapeso($C99)),0)</f>
        <v>0</v>
      </c>
      <c r="BE100" s="131"/>
      <c r="BF100" s="132">
        <f>IF(ISTEXT($C85),(letrapeso(AC88)*letrapeso($C87)+letrapeso(AC90)*letrapeso($C89)+letrapeso(AC92)*letrapeso($C91)+letrapeso(AC94)*letrapeso($C93)+letrapeso(AC96)*letrapeso($C95)+letrapeso(AC98)*letrapeso($C97)+letrapeso(AC100)*letrapeso($C99))/(letrapeso($C87)+letrapeso($C89)+letrapeso($C91)+letrapeso($C93)+letrapeso($C95)+letrapeso($C97)+letrapeso($C99)),0)</f>
        <v>0</v>
      </c>
      <c r="BG100" s="132">
        <f>IF(ISTEXT($C85),(letrapeso(AD88)*letrapeso($C87)+letrapeso(AD90)*letrapeso($C89)+letrapeso(AD92)*letrapeso($C91)+letrapeso(AD94)*letrapeso($C93)+letrapeso(AD96)*letrapeso($C95)+letrapeso(AD98)*letrapeso($C97)+letrapeso(AD100)*letrapeso($C99))/(letrapeso($C87)+letrapeso($C89)+letrapeso($C91)+letrapeso($C93)+letrapeso($C95)+letrapeso($C97)+letrapeso($C99)),0)</f>
        <v>0</v>
      </c>
      <c r="BH100" s="131"/>
      <c r="BI100" s="132">
        <f>IF(ISTEXT($C85),(letrapeso(AF88)*letrapeso($C87)+letrapeso(AF90)*letrapeso($C89)+letrapeso(AF92)*letrapeso($C91)+letrapeso(AF94)*letrapeso($C93)+letrapeso(AF96)*letrapeso($C95)+letrapeso(AF98)*letrapeso($C97)+letrapeso(AF100)*letrapeso($C99))/(letrapeso($C87)+letrapeso($C89)+letrapeso($C91)+letrapeso($C93)+letrapeso($C95)+letrapeso($C97)+letrapeso($C99)),0)</f>
        <v>0</v>
      </c>
      <c r="BJ100" s="132">
        <f>IF(ISTEXT($C85),(letrapeso(AG88)*letrapeso($C87)+letrapeso(AG90)*letrapeso($C89)+letrapeso(AG92)*letrapeso($C91)+letrapeso(AG94)*letrapeso($C93)+letrapeso(AG96)*letrapeso($C95)+letrapeso(AG98)*letrapeso($C97)+letrapeso(AG100)*letrapeso($C99))/(letrapeso($C87)+letrapeso($C89)+letrapeso($C91)+letrapeso($C93)+letrapeso($C95)+letrapeso($C97)+letrapeso($C99)),0)</f>
        <v>0</v>
      </c>
      <c r="BK100" s="131"/>
    </row>
    <row r="101" spans="1:92" ht="15.75" hidden="1" thickBot="1" x14ac:dyDescent="0.25">
      <c r="A101" s="191" t="str">
        <f>'Digitar aqui Notas e Pesos'!A101</f>
        <v>Asset Management</v>
      </c>
      <c r="B101" s="192"/>
      <c r="C101" s="193" t="str">
        <f>IF('Digitar aqui Notas e Pesos'!C101,PEsoLetra('Digitar aqui Notas e Pesos'!C101),0)</f>
        <v>b</v>
      </c>
      <c r="D101" s="213">
        <f>IF(letrapeso(C101),(letrapeso($C103)*D103+letrapeso($C105)*D105+letrapeso($C107)*D107+letrapeso($C109)*D109+letrapeso($C111)*D111+letrapeso($C113)*D113+letrapeso($C115)*D115)/(letrapeso($C103)+letrapeso($C105)+letrapeso($C107)+letrapeso($C109)+letrapeso($C111)+letrapeso($C113)+letrapeso($C115)),0)</f>
        <v>2</v>
      </c>
      <c r="E101" s="214">
        <f>IF(letrapeso(C101),(letrapeso($C103)*E103+letrapeso($C105)*E105+letrapeso($C107)*E107+letrapeso($C109)*E109+letrapeso($C111)*E111+letrapeso($C113)*E113+letrapeso($C115)*E115)/(letrapeso($C103)+letrapeso($C105)+letrapeso($C107)+letrapeso($C109)+letrapeso($C111)+letrapeso($C113)+letrapeso($C115)),0)</f>
        <v>1</v>
      </c>
      <c r="F101" s="215">
        <f>IF(letrapeso(C101),(letrapeso($C103)*F103+letrapeso($C105)*F105+letrapeso($C107)*F107+letrapeso($C109)*F109+letrapeso($C111)*F111+letrapeso($C113)*F113+letrapeso($C115)*F115)/(letrapeso($C103)+letrapeso($C105)+letrapeso($C107)+letrapeso($C109)+letrapeso($C111)+letrapeso($C113)+letrapeso($C115)),0)</f>
        <v>1.55</v>
      </c>
      <c r="G101" s="220"/>
      <c r="H101" s="221"/>
      <c r="I101" s="222"/>
      <c r="J101" s="489"/>
      <c r="K101" s="220"/>
      <c r="L101" s="221"/>
      <c r="M101" s="222"/>
      <c r="N101" s="220"/>
      <c r="O101" s="221"/>
      <c r="P101" s="222"/>
      <c r="Q101" s="220"/>
      <c r="R101" s="221"/>
      <c r="S101" s="222"/>
      <c r="T101" s="220"/>
      <c r="U101" s="221"/>
      <c r="V101" s="222"/>
      <c r="W101" s="220"/>
      <c r="X101" s="221"/>
      <c r="Y101" s="222"/>
      <c r="Z101" s="220"/>
      <c r="AA101" s="221"/>
      <c r="AB101" s="222"/>
      <c r="AC101" s="220"/>
      <c r="AD101" s="221"/>
      <c r="AE101" s="222"/>
      <c r="AF101" s="220"/>
      <c r="AG101" s="221"/>
      <c r="AH101" s="223"/>
      <c r="AI101" s="8" t="str">
        <f>IF(letrapeso(C101),"Imprime","Não Imprime")</f>
        <v>Imprime</v>
      </c>
      <c r="AJ101" s="15"/>
      <c r="AK101" s="133"/>
      <c r="AL101" s="133"/>
      <c r="AM101" s="133"/>
      <c r="AN101" s="133"/>
      <c r="AO101" s="133"/>
      <c r="AP101" s="134"/>
      <c r="AQ101" s="133"/>
      <c r="AR101" s="133"/>
      <c r="AS101" s="134"/>
      <c r="AT101" s="133"/>
      <c r="AU101" s="133"/>
      <c r="AV101" s="134"/>
      <c r="AW101" s="133"/>
      <c r="AX101" s="133"/>
      <c r="AY101" s="134"/>
      <c r="AZ101" s="133"/>
      <c r="BA101" s="133"/>
      <c r="BB101" s="134"/>
      <c r="BC101" s="133"/>
      <c r="BD101" s="133"/>
      <c r="BE101" s="134"/>
      <c r="BF101" s="133"/>
      <c r="BG101" s="133"/>
      <c r="BH101" s="134"/>
      <c r="BI101" s="133"/>
      <c r="BJ101" s="133"/>
      <c r="BK101" s="134"/>
    </row>
    <row r="102" spans="1:92" ht="15.75" hidden="1" thickBot="1" x14ac:dyDescent="0.25">
      <c r="A102" s="567"/>
      <c r="B102" s="568"/>
      <c r="C102" s="228"/>
      <c r="D102" s="214"/>
      <c r="E102" s="214"/>
      <c r="F102" s="215"/>
      <c r="G102" s="224"/>
      <c r="H102" s="225"/>
      <c r="I102" s="226"/>
      <c r="J102" s="490"/>
      <c r="K102" s="224"/>
      <c r="L102" s="225"/>
      <c r="M102" s="226"/>
      <c r="N102" s="224"/>
      <c r="O102" s="225"/>
      <c r="P102" s="226"/>
      <c r="Q102" s="224"/>
      <c r="R102" s="225"/>
      <c r="S102" s="226"/>
      <c r="T102" s="224"/>
      <c r="U102" s="225"/>
      <c r="V102" s="226"/>
      <c r="W102" s="224"/>
      <c r="X102" s="225"/>
      <c r="Y102" s="226"/>
      <c r="Z102" s="224"/>
      <c r="AA102" s="225"/>
      <c r="AB102" s="226"/>
      <c r="AC102" s="224"/>
      <c r="AD102" s="225"/>
      <c r="AE102" s="226"/>
      <c r="AF102" s="224"/>
      <c r="AG102" s="225"/>
      <c r="AH102" s="227"/>
      <c r="AI102" s="19" t="str">
        <f>+AI101</f>
        <v>Imprime</v>
      </c>
      <c r="AJ102" s="15" t="s">
        <v>26</v>
      </c>
      <c r="AK102" s="128">
        <f>IF(SUM(AK103:AK115),SUM(AK103:AK115)/(letrapeso(G104)*letrapeso($C103)+letrapeso(G106)*letrapeso($C105)+letrapeso(G108)*letrapeso($C107)+letrapeso(G110)*letrapeso($C109)+letrapeso(G112)*letrapeso($C111)+letrapeso(G114)*letrapeso($C113)+letrapeso(G116)*letrapeso($C115)),0)</f>
        <v>0</v>
      </c>
      <c r="AL102" s="128">
        <f>IF(SUM(AL103:AL115),SUM(AL103:AL115)/(letrapeso(H104)*letrapeso($C103)+letrapeso(H106)*letrapeso($C105)+letrapeso(H108)*letrapeso($C107)+letrapeso(H110)*letrapeso($C109)+letrapeso(H112)*letrapeso($C111)+letrapeso(H114)*letrapeso($C113)+letrapeso(H116)*letrapeso($C115)),0)</f>
        <v>0</v>
      </c>
      <c r="AM102" s="128">
        <f>IF(SUM(AM103:AM115),SUM(AM103:AM115)/(letrapeso(G104)*letrapeso($C103)+letrapeso(G106)*letrapeso($C105)+letrapeso(G108)*letrapeso($C107)+letrapeso(G110)*letrapeso($C109)+letrapeso(G112)*letrapeso($C111)+letrapeso(G114)*letrapeso($C113)+letrapeso(G116)*letrapeso($C115)),0)</f>
        <v>0</v>
      </c>
      <c r="AN102" s="128">
        <f>IF(SUM(AN103:AN115),SUM(AN103:AN115)/(letrapeso(K104)*letrapeso($C103)+letrapeso(K106)*letrapeso($C105)+letrapeso(K108)*letrapeso($C107)+letrapeso(K110)*letrapeso($C109)+letrapeso(K112)*letrapeso($C111)+letrapeso(K114)*letrapeso($C113)+letrapeso(K116)*letrapeso($C115)),0)</f>
        <v>0</v>
      </c>
      <c r="AO102" s="128">
        <f>IF(SUM(AO103:AO115),SUM(AO103:AO115)/(letrapeso(L104)*letrapeso($C103)+letrapeso(L106)*letrapeso($C105)+letrapeso(L108)*letrapeso($C107)+letrapeso(L110)*letrapeso($C109)+letrapeso(L112)*letrapeso($C111)+letrapeso(L114)*letrapeso($C113)+letrapeso(L116)*letrapeso($C115)),0)</f>
        <v>0</v>
      </c>
      <c r="AQ102" s="128">
        <f>IF(SUM(AQ103:AQ115),SUM(AQ103:AQ115)/(letrapeso(N104)*letrapeso($C103)+letrapeso(N106)*letrapeso($C105)+letrapeso(N108)*letrapeso($C107)+letrapeso(N110)*letrapeso($C109)+letrapeso(N112)*letrapeso($C111)+letrapeso(N114)*letrapeso($C113)+letrapeso(N116)*letrapeso($C115)),0)</f>
        <v>0</v>
      </c>
      <c r="AR102" s="128">
        <f>IF(SUM(AR103:AR115),SUM(AR103:AR115)/(letrapeso(O104)*letrapeso($C103)+letrapeso(O106)*letrapeso($C105)+letrapeso(O108)*letrapeso($C107)+letrapeso(O110)*letrapeso($C109)+letrapeso(O112)*letrapeso($C111)+letrapeso(O114)*letrapeso($C113)+letrapeso(O116)*letrapeso($C115)),0)</f>
        <v>0</v>
      </c>
      <c r="AS102" s="28"/>
      <c r="AT102" s="128">
        <f>IF(SUM(AT103:AT115),SUM(AT103:AT115)/(letrapeso(Q104)*letrapeso($C103)+letrapeso(Q106)*letrapeso($C105)+letrapeso(Q108)*letrapeso($C107)+letrapeso(Q110)*letrapeso($C109)+letrapeso(Q112)*letrapeso($C111)+letrapeso(Q114)*letrapeso($C113)+letrapeso(Q116)*letrapeso($C115)),0)</f>
        <v>2</v>
      </c>
      <c r="AU102" s="128">
        <f>IF(SUM(AU103:AU115),SUM(AU103:AU115)/(letrapeso(R104)*letrapeso($C103)+letrapeso(R106)*letrapeso($C105)+letrapeso(R108)*letrapeso($C107)+letrapeso(R110)*letrapeso($C109)+letrapeso(R112)*letrapeso($C111)+letrapeso(R114)*letrapeso($C113)+letrapeso(R116)*letrapeso($C115)),0)</f>
        <v>1</v>
      </c>
      <c r="AV102" s="28"/>
      <c r="AW102" s="128">
        <f>IF(SUM(AW103:AW115),SUM(AW103:AW115)/(letrapeso(T104)*letrapeso($C103)+letrapeso(T106)*letrapeso($C105)+letrapeso(T108)*letrapeso($C107)+letrapeso(T110)*letrapeso($C109)+letrapeso(T112)*letrapeso($C111)+letrapeso(T114)*letrapeso($C113)+letrapeso(T116)*letrapeso($C115)),0)</f>
        <v>0</v>
      </c>
      <c r="AX102" s="128">
        <f>IF(SUM(AX103:AX115),SUM(AX103:AX115)/(letrapeso(U104)*letrapeso($C103)+letrapeso(U106)*letrapeso($C105)+letrapeso(U108)*letrapeso($C107)+letrapeso(U110)*letrapeso($C109)+letrapeso(U112)*letrapeso($C111)+letrapeso(U114)*letrapeso($C113)+letrapeso(U116)*letrapeso($C115)),0)</f>
        <v>0</v>
      </c>
      <c r="AY102" s="28"/>
      <c r="AZ102" s="128">
        <f>IF(SUM(AZ103:AZ115),SUM(AZ103:AZ115)/(letrapeso(W104)*letrapeso($C103)+letrapeso(W106)*letrapeso($C105)+letrapeso(W108)*letrapeso($C107)+letrapeso(W110)*letrapeso($C109)+letrapeso(W112)*letrapeso($C111)+letrapeso(W114)*letrapeso($C113)+letrapeso(W116)*letrapeso($C115)),0)</f>
        <v>0</v>
      </c>
      <c r="BA102" s="128">
        <f>IF(SUM(BA103:BA115),SUM(BA103:BA115)/(letrapeso(X104)*letrapeso($C103)+letrapeso(X106)*letrapeso($C105)+letrapeso(X108)*letrapeso($C107)+letrapeso(X110)*letrapeso($C109)+letrapeso(X112)*letrapeso($C111)+letrapeso(X114)*letrapeso($C113)+letrapeso(X116)*letrapeso($C115)),0)</f>
        <v>0</v>
      </c>
      <c r="BB102" s="28"/>
      <c r="BC102" s="128">
        <f>IF(SUM(BC103:BC115),SUM(BC103:BC115)/(letrapeso(Z104)*letrapeso($C103)+letrapeso(Z106)*letrapeso($C105)+letrapeso(Z108)*letrapeso($C107)+letrapeso(Z110)*letrapeso($C109)+letrapeso(Z112)*letrapeso($C111)+letrapeso(Z114)*letrapeso($C113)+letrapeso(Z116)*letrapeso($C115)),0)</f>
        <v>0</v>
      </c>
      <c r="BD102" s="128">
        <f>IF(SUM(BD103:BD115),SUM(BD103:BD115)/(letrapeso(AA104)*letrapeso($C103)+letrapeso(AA106)*letrapeso($C105)+letrapeso(AA108)*letrapeso($C107)+letrapeso(AA110)*letrapeso($C109)+letrapeso(AA112)*letrapeso($C111)+letrapeso(AA114)*letrapeso($C113)+letrapeso(AA116)*letrapeso($C115)),0)</f>
        <v>0</v>
      </c>
      <c r="BE102" s="28"/>
      <c r="BF102" s="128">
        <f>IF(SUM(BF103:BF115),SUM(BF103:BF115)/(letrapeso(AC104)*letrapeso($C103)+letrapeso(AC106)*letrapeso($C105)+letrapeso(AC108)*letrapeso($C107)+letrapeso(AC110)*letrapeso($C109)+letrapeso(AC112)*letrapeso($C111)+letrapeso(AC114)*letrapeso($C113)+letrapeso(AC116)*letrapeso($C115)),0)</f>
        <v>0</v>
      </c>
      <c r="BG102" s="128">
        <f>IF(SUM(BG103:BG115),SUM(BG103:BG115)/(letrapeso(AD104)*letrapeso($C103)+letrapeso(AD106)*letrapeso($C105)+letrapeso(AD108)*letrapeso($C107)+letrapeso(AD110)*letrapeso($C109)+letrapeso(AD112)*letrapeso($C111)+letrapeso(AD114)*letrapeso($C113)+letrapeso(AD116)*letrapeso($C115)),0)</f>
        <v>0</v>
      </c>
      <c r="BH102" s="28"/>
      <c r="BI102" s="128">
        <f>IF(SUM(BI103:BI115),SUM(BI103:BI115)/(letrapeso(AF104)*letrapeso($C103)+letrapeso(AF106)*letrapeso($C105)+letrapeso(AF108)*letrapeso($C107)+letrapeso(AF110)*letrapeso($C109)+letrapeso(AF112)*letrapeso($C111)+letrapeso(AF114)*letrapeso($C113)+letrapeso(AF116)*letrapeso($C115)),0)</f>
        <v>0</v>
      </c>
      <c r="BJ102" s="128">
        <f>IF(SUM(BJ103:BJ115),SUM(BJ103:BJ115)/(letrapeso(AG104)*letrapeso($C103)+letrapeso(AG106)*letrapeso($C105)+letrapeso(AG108)*letrapeso($C107)+letrapeso(AG110)*letrapeso($C109)+letrapeso(AG112)*letrapeso($C111)+letrapeso(AG114)*letrapeso($C113)+letrapeso(AG116)*letrapeso($C115)),0)</f>
        <v>0</v>
      </c>
      <c r="BK102" s="28"/>
    </row>
    <row r="103" spans="1:92" ht="15.75" hidden="1" thickBot="1" x14ac:dyDescent="0.25">
      <c r="A103" s="546" t="str">
        <f>'Digitar aqui Notas e Pesos'!A103</f>
        <v>Asset Management</v>
      </c>
      <c r="B103" s="547"/>
      <c r="C103" s="229" t="str">
        <f>IF('Digitar aqui Notas e Pesos'!C103,PEsoLetra('Digitar aqui Notas e Pesos'!C103),0)</f>
        <v>a</v>
      </c>
      <c r="D103" s="208">
        <f>IF(ISTEXT($C103),(G103*letrapeso(G104)+K103*letrapeso(K104)+N103*letrapeso(N104)+Q103*letrapeso(Q104)+T103*letrapeso(T104)+W103*letrapeso(W104)+Z103*letrapeso(Z104)+AC103*letrapeso(AC104)+AF103*letrapeso(AF104))/(letrapeso(G104)+letrapeso(K104)+letrapeso(N104)+letrapeso(Q104)+letrapeso(T104)+letrapeso(W104)+letrapeso(Z104)+letrapeso(AC104)+letrapeso(AF104)),0)</f>
        <v>2</v>
      </c>
      <c r="E103" s="208">
        <f>IF(ISTEXT($C103),(H103*letrapeso(H104)+L103*letrapeso(L104)+O103*letrapeso(O104)+R103*letrapeso(R104)+U103*letrapeso(U104)+X103*letrapeso(X104)+AA103*letrapeso(AA104)+AD103*letrapeso(AD104)+AG103*letrapeso(AG104))/(letrapeso(H104)+letrapeso(L104)+letrapeso(O104)+letrapeso(R104)+letrapeso(U104)+letrapeso(X104)+letrapeso(AA104)+letrapeso(AD104)+letrapeso(AG104)),0)</f>
        <v>1</v>
      </c>
      <c r="F103" s="209">
        <f>IF(ISTEXT($C103),(D103*$A$145+E103*$A$146),0)</f>
        <v>1.55</v>
      </c>
      <c r="G103" s="259">
        <f>'Digitar aqui Notas e Pesos'!D103</f>
        <v>0</v>
      </c>
      <c r="H103" s="116">
        <f>'Digitar aqui Notas e Pesos'!E103</f>
        <v>0</v>
      </c>
      <c r="I103" s="565">
        <f>IF(AND(G103&lt;&gt;0,H103&lt;&gt;0,$C103&lt;&gt;0),(G103*letrapeso(G104)*$A$145+H103*letrapeso(H104)*$A$146)/(letrapeso(G104)*$A$145+letrapeso(H104)*$A$146),0)</f>
        <v>0</v>
      </c>
      <c r="J103" s="259">
        <f>'Digitar aqui Notas e Pesos'!F103</f>
        <v>0</v>
      </c>
      <c r="K103" s="259">
        <f>'Digitar aqui Notas e Pesos'!G103</f>
        <v>0</v>
      </c>
      <c r="L103" s="116">
        <f>'Digitar aqui Notas e Pesos'!H103</f>
        <v>0</v>
      </c>
      <c r="M103" s="553">
        <f>IF(AND(K103&lt;&gt;0,L103&lt;&gt;0,$C103&lt;&gt;0),(K103*letrapeso(K104)*$A$145+L103*letrapeso(L104)*$A$146)/(letrapeso(K104)*$A$145+letrapeso(L104)*$A$146),0)</f>
        <v>0</v>
      </c>
      <c r="N103" s="259">
        <f>'Digitar aqui Notas e Pesos'!J103</f>
        <v>0</v>
      </c>
      <c r="O103" s="116">
        <f>'Digitar aqui Notas e Pesos'!K103</f>
        <v>0</v>
      </c>
      <c r="P103" s="553">
        <f>IF(AND(N103&lt;&gt;0,O103&lt;&gt;0,$C103&lt;&gt;0),(N103*letrapeso(N104)*$A$145+O103*letrapeso(O104)*$A$146)/(letrapeso(N104)*$A$145+letrapeso(O104)*$A$146),0)</f>
        <v>0</v>
      </c>
      <c r="Q103" s="259">
        <f>'Digitar aqui Notas e Pesos'!M103</f>
        <v>2</v>
      </c>
      <c r="R103" s="116">
        <f>'Digitar aqui Notas e Pesos'!N103</f>
        <v>1</v>
      </c>
      <c r="S103" s="553">
        <f>IF(AND(Q103&lt;&gt;0,R103&lt;&gt;0,$C103&lt;&gt;0),(Q103*letrapeso(Q104)*$A$145+R103*letrapeso(R104)*$A$146)/(letrapeso(Q104)*$A$145+letrapeso(R104)*$A$146),0)</f>
        <v>1.55</v>
      </c>
      <c r="T103" s="259">
        <f>'Digitar aqui Notas e Pesos'!P103</f>
        <v>0</v>
      </c>
      <c r="U103" s="116">
        <f>'Digitar aqui Notas e Pesos'!Q103</f>
        <v>0</v>
      </c>
      <c r="V103" s="553">
        <f>IF(AND(T103&lt;&gt;0,U103&lt;&gt;0,$C103&lt;&gt;0),(T103*letrapeso(T104)*$A$145+U103*letrapeso(U104)*$A$146)/(letrapeso(T104)*$A$145+letrapeso(U104)*$A$146),0)</f>
        <v>0</v>
      </c>
      <c r="W103" s="259">
        <f>'Digitar aqui Notas e Pesos'!S103</f>
        <v>0</v>
      </c>
      <c r="X103" s="116">
        <f>'Digitar aqui Notas e Pesos'!T103</f>
        <v>0</v>
      </c>
      <c r="Y103" s="553">
        <f>IF(AND(W103&lt;&gt;0,X103&lt;&gt;0,$C103&lt;&gt;0),(W103*letrapeso(W104)*$A$145+X103*letrapeso(X104)*$A$146)/(letrapeso(W104)*$A$145+letrapeso(X104)*$A$146),0)</f>
        <v>0</v>
      </c>
      <c r="Z103" s="259">
        <f>'Digitar aqui Notas e Pesos'!V103</f>
        <v>0</v>
      </c>
      <c r="AA103" s="116">
        <f>'Digitar aqui Notas e Pesos'!W103</f>
        <v>0</v>
      </c>
      <c r="AB103" s="553">
        <f>IF(AND(Z103&lt;&gt;0,AA103&lt;&gt;0,$C103&lt;&gt;0),(Z103*letrapeso(Z104)*$A$145+AA103*letrapeso(AA104)*$A$146)/(letrapeso(Z104)*$A$145+letrapeso(AA104)*$A$146),0)</f>
        <v>0</v>
      </c>
      <c r="AC103" s="259">
        <f>'Digitar aqui Notas e Pesos'!Y103</f>
        <v>0</v>
      </c>
      <c r="AD103" s="116">
        <f>'Digitar aqui Notas e Pesos'!Z103</f>
        <v>0</v>
      </c>
      <c r="AE103" s="553">
        <f>IF(AND(AC103&lt;&gt;0,AD103&lt;&gt;0,$C103&lt;&gt;0),(AC103*letrapeso(AC104)*$A$145+AD103*letrapeso(AD104)*$A$146)/(letrapeso(AC104)*$A$145+letrapeso(AD104)*$A$146),0)</f>
        <v>0</v>
      </c>
      <c r="AF103" s="259">
        <f>'Digitar aqui Notas e Pesos'!AB103</f>
        <v>0</v>
      </c>
      <c r="AG103" s="116">
        <f>'Digitar aqui Notas e Pesos'!AC103</f>
        <v>0</v>
      </c>
      <c r="AH103" s="573">
        <f>IF(AND(AF103&lt;&gt;0,AG103&lt;&gt;0,$C103&lt;&gt;0),(AF103*letrapeso(AF104)*$A$145+AG103*letrapeso(AG104)*$A$146)/(letrapeso(AF104)*$A$145+letrapeso(AG104)*$A$146),0)</f>
        <v>0</v>
      </c>
      <c r="AI103" s="8" t="str">
        <f>IF(letrapeso(C103),"Imprime","Não Imprime")</f>
        <v>Imprime</v>
      </c>
      <c r="AJ103" s="14" t="s">
        <v>28</v>
      </c>
      <c r="AK103" s="129">
        <f>G103*letrapeso(G104)*letrapeso($C103)</f>
        <v>0</v>
      </c>
      <c r="AL103" s="129">
        <f>H103*letrapeso(H104)*letrapeso($C103)</f>
        <v>0</v>
      </c>
      <c r="AM103" s="129">
        <f>J103*letrapeso(G104)*letrapeso($C103)</f>
        <v>0</v>
      </c>
      <c r="AN103" s="129">
        <f>K103*letrapeso(K104)*letrapeso($C103)</f>
        <v>0</v>
      </c>
      <c r="AO103" s="129">
        <f>L103*letrapeso(L104)*letrapeso($C103)</f>
        <v>0</v>
      </c>
      <c r="AP103" s="44"/>
      <c r="AQ103" s="129">
        <f>N103*letrapeso(N104)*letrapeso($C103)</f>
        <v>0</v>
      </c>
      <c r="AR103" s="129">
        <f>O103*letrapeso(O104)*letrapeso($C103)</f>
        <v>0</v>
      </c>
      <c r="AS103" s="44"/>
      <c r="AT103" s="129">
        <f>Q103*letrapeso(Q104)*letrapeso($C103)</f>
        <v>128</v>
      </c>
      <c r="AU103" s="129">
        <f>R103*letrapeso(R104)*letrapeso($C103)</f>
        <v>64</v>
      </c>
      <c r="AV103" s="44"/>
      <c r="AW103" s="129">
        <f>T103*letrapeso(T104)*letrapeso($C103)</f>
        <v>0</v>
      </c>
      <c r="AX103" s="129">
        <f>U103*letrapeso(U104)*letrapeso($C103)</f>
        <v>0</v>
      </c>
      <c r="AY103" s="44"/>
      <c r="AZ103" s="129">
        <f>W103*letrapeso(W104)*letrapeso($C103)</f>
        <v>0</v>
      </c>
      <c r="BA103" s="129">
        <f>X103*letrapeso(X104)*letrapeso($C103)</f>
        <v>0</v>
      </c>
      <c r="BB103" s="44"/>
      <c r="BC103" s="129">
        <f>Z103*letrapeso(Z104)*letrapeso($C103)</f>
        <v>0</v>
      </c>
      <c r="BD103" s="129">
        <f>AA103*letrapeso(AA104)*letrapeso($C103)</f>
        <v>0</v>
      </c>
      <c r="BE103" s="44"/>
      <c r="BF103" s="129">
        <f>AC103*letrapeso(AC104)*letrapeso($C103)</f>
        <v>0</v>
      </c>
      <c r="BG103" s="129">
        <f>AD103*letrapeso(AD104)*letrapeso($C103)</f>
        <v>0</v>
      </c>
      <c r="BH103" s="44"/>
      <c r="BI103" s="129">
        <f>AF103*letrapeso(AF104)*letrapeso($C103)</f>
        <v>0</v>
      </c>
      <c r="BJ103" s="129">
        <f>AG103*letrapeso(AG104)*letrapeso($C103)</f>
        <v>0</v>
      </c>
      <c r="BK103" s="44"/>
      <c r="BL103" s="171">
        <f>letrapeso(G104)</f>
        <v>0</v>
      </c>
      <c r="BM103" s="171">
        <f>letrapeso(H104)</f>
        <v>0</v>
      </c>
      <c r="BN103" s="41"/>
      <c r="BO103" s="171">
        <f>letrapeso(K104)</f>
        <v>0</v>
      </c>
      <c r="BP103" s="171">
        <f>letrapeso(L104)</f>
        <v>0</v>
      </c>
      <c r="BQ103" s="41"/>
      <c r="BR103" s="171">
        <f>letrapeso(N104)</f>
        <v>0</v>
      </c>
      <c r="BS103" s="171">
        <f>letrapeso(O104)</f>
        <v>0</v>
      </c>
      <c r="BT103" s="41"/>
      <c r="BU103" s="171">
        <f>letrapeso(Q104)</f>
        <v>8</v>
      </c>
      <c r="BV103" s="171">
        <f>letrapeso(R104)</f>
        <v>8</v>
      </c>
      <c r="BW103" s="41"/>
      <c r="BX103" s="171">
        <f>letrapeso(T104)</f>
        <v>0</v>
      </c>
      <c r="BY103" s="171">
        <f>letrapeso(U104)</f>
        <v>0</v>
      </c>
      <c r="BZ103" s="41"/>
      <c r="CA103" s="171">
        <f>letrapeso(W104)</f>
        <v>0</v>
      </c>
      <c r="CB103" s="171">
        <f>letrapeso(X104)</f>
        <v>0</v>
      </c>
      <c r="CC103" s="41"/>
      <c r="CD103" s="171">
        <f>letrapeso(Z104)</f>
        <v>0</v>
      </c>
      <c r="CE103" s="171">
        <f>letrapeso(AA104)</f>
        <v>0</v>
      </c>
      <c r="CF103" s="41"/>
      <c r="CG103" s="171">
        <f>letrapeso(AC104)</f>
        <v>0</v>
      </c>
      <c r="CH103" s="171">
        <f>letrapeso(AD104)</f>
        <v>0</v>
      </c>
      <c r="CI103" s="41"/>
      <c r="CJ103" s="171">
        <f>letrapeso(AF104)</f>
        <v>0</v>
      </c>
      <c r="CK103" s="171">
        <f>letrapeso(AG104)</f>
        <v>0</v>
      </c>
      <c r="CL103" s="41"/>
      <c r="CM103" s="41">
        <f>IF(ISTEXT($C103),(BL103+BO103+BR103+BU103+BX103+CA103+CD103+CG103+CJ103),0)</f>
        <v>8</v>
      </c>
      <c r="CN103" s="41">
        <f>IF(ISTEXT($C103),(BM103+BP103+BS103+BV103+BY103+CB103+CE103+CH103+CK103),0)</f>
        <v>8</v>
      </c>
    </row>
    <row r="104" spans="1:92" ht="15.75" hidden="1" thickBot="1" x14ac:dyDescent="0.25">
      <c r="A104" s="537" t="str">
        <f>TEXT(D103,"0,00")&amp;"       "&amp;TEXT(E103,"0,00")&amp;"       "&amp;TEXT(F103,"0,00")</f>
        <v>2,00       1,00       1,55</v>
      </c>
      <c r="B104" s="538"/>
      <c r="C104" s="230"/>
      <c r="D104" s="210"/>
      <c r="E104" s="208">
        <f>IF(ISTEXT($C104),(H104*letrapeso(H105)+#REF!*letrapeso(#REF!)+L104*letrapeso(L105)+O104*letrapeso(O105)+R104*letrapeso(R105)+#REF!*letrapeso(#REF!)+U104*letrapeso(U105)+X104*letrapeso(X105)+AA104*letrapeso(AA105)+AD104*letrapeso(AD105)+AG104*letrapeso(AG105))/(letrapeso(H105)+letrapeso(#REF!)+letrapeso(L105)+letrapeso(O105)+letrapeso(R105)+letrapeso(#REF!)+letrapeso(U105)+letrapeso(X105)+letrapeso(AA105)+letrapeso(AD105)+letrapeso(AG105)),0)</f>
        <v>0</v>
      </c>
      <c r="F104" s="209"/>
      <c r="G104" s="231" t="str">
        <f>PEsoLetra('Digitar aqui Notas e Pesos'!D104)</f>
        <v/>
      </c>
      <c r="H104" s="232" t="str">
        <f>PEsoLetra('Digitar aqui Notas e Pesos'!E104)</f>
        <v/>
      </c>
      <c r="I104" s="566"/>
      <c r="J104" s="490"/>
      <c r="K104" s="231" t="str">
        <f>PEsoLetra('Digitar aqui Notas e Pesos'!G104)</f>
        <v/>
      </c>
      <c r="L104" s="232" t="str">
        <f>PEsoLetra('Digitar aqui Notas e Pesos'!H104)</f>
        <v/>
      </c>
      <c r="M104" s="554"/>
      <c r="N104" s="231" t="str">
        <f>PEsoLetra('Digitar aqui Notas e Pesos'!J104)</f>
        <v/>
      </c>
      <c r="O104" s="232" t="str">
        <f>PEsoLetra('Digitar aqui Notas e Pesos'!K104)</f>
        <v/>
      </c>
      <c r="P104" s="554"/>
      <c r="Q104" s="231" t="str">
        <f>PEsoLetra('Digitar aqui Notas e Pesos'!M104)</f>
        <v>a</v>
      </c>
      <c r="R104" s="232" t="str">
        <f>PEsoLetra('Digitar aqui Notas e Pesos'!N104)</f>
        <v>a</v>
      </c>
      <c r="S104" s="554"/>
      <c r="T104" s="231" t="str">
        <f>PEsoLetra('Digitar aqui Notas e Pesos'!P104)</f>
        <v/>
      </c>
      <c r="U104" s="232" t="str">
        <f>PEsoLetra('Digitar aqui Notas e Pesos'!Q104)</f>
        <v/>
      </c>
      <c r="V104" s="554"/>
      <c r="W104" s="231" t="str">
        <f>PEsoLetra('Digitar aqui Notas e Pesos'!S104)</f>
        <v/>
      </c>
      <c r="X104" s="232" t="str">
        <f>PEsoLetra('Digitar aqui Notas e Pesos'!T104)</f>
        <v/>
      </c>
      <c r="Y104" s="554"/>
      <c r="Z104" s="231" t="str">
        <f>PEsoLetra('Digitar aqui Notas e Pesos'!V104)</f>
        <v/>
      </c>
      <c r="AA104" s="232" t="str">
        <f>PEsoLetra('Digitar aqui Notas e Pesos'!W104)</f>
        <v/>
      </c>
      <c r="AB104" s="554"/>
      <c r="AC104" s="231" t="str">
        <f>PEsoLetra('Digitar aqui Notas e Pesos'!Y104)</f>
        <v/>
      </c>
      <c r="AD104" s="232" t="str">
        <f>PEsoLetra('Digitar aqui Notas e Pesos'!Z104)</f>
        <v/>
      </c>
      <c r="AE104" s="554"/>
      <c r="AF104" s="231" t="str">
        <f>PEsoLetra('Digitar aqui Notas e Pesos'!AB104)</f>
        <v/>
      </c>
      <c r="AG104" s="232" t="str">
        <f>PEsoLetra('Digitar aqui Notas e Pesos'!AC104)</f>
        <v/>
      </c>
      <c r="AH104" s="574"/>
      <c r="AI104" s="19" t="str">
        <f>+AI103</f>
        <v>Imprime</v>
      </c>
      <c r="AJ104" s="1"/>
      <c r="AK104" s="130"/>
      <c r="AL104" s="130"/>
      <c r="AM104" s="130"/>
      <c r="AN104" s="130"/>
      <c r="AO104" s="130"/>
      <c r="AQ104" s="130"/>
      <c r="AR104" s="130"/>
      <c r="AS104" s="28"/>
      <c r="AT104" s="130"/>
      <c r="AU104" s="130"/>
      <c r="AV104" s="28"/>
      <c r="AW104" s="130"/>
      <c r="AX104" s="130"/>
      <c r="AY104" s="28"/>
      <c r="AZ104" s="130"/>
      <c r="BA104" s="130"/>
      <c r="BB104" s="28"/>
      <c r="BC104" s="130"/>
      <c r="BD104" s="130"/>
      <c r="BE104" s="28"/>
      <c r="BF104" s="130"/>
      <c r="BG104" s="130"/>
      <c r="BH104" s="28"/>
      <c r="BI104" s="130"/>
      <c r="BJ104" s="130"/>
      <c r="BK104" s="28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171"/>
      <c r="CN104" s="171"/>
    </row>
    <row r="105" spans="1:92" ht="15.75" hidden="1" thickBot="1" x14ac:dyDescent="0.25">
      <c r="A105" s="546" t="str">
        <f>'Digitar aqui Notas e Pesos'!A105</f>
        <v>Nome da Atividade 2 da Unidade 6</v>
      </c>
      <c r="B105" s="547"/>
      <c r="C105" s="229">
        <f>IF('Digitar aqui Notas e Pesos'!C105,PEsoLetra('Digitar aqui Notas e Pesos'!C105),0)</f>
        <v>0</v>
      </c>
      <c r="D105" s="208">
        <f>IF(ISTEXT($C105),(G105*letrapeso(G106)+K105*letrapeso(K106)+N105*letrapeso(N106)+Q105*letrapeso(Q106)+T105*letrapeso(T106)+W105*letrapeso(W106)+Z105*letrapeso(Z106)+AC105*letrapeso(AC106)+AF105*letrapeso(AF106))/(letrapeso(G106)+letrapeso(K106)+letrapeso(N106)+letrapeso(Q106)+letrapeso(T106)+letrapeso(W106)+letrapeso(Z106)+letrapeso(AC106)+letrapeso(AF106)),0)</f>
        <v>0</v>
      </c>
      <c r="E105" s="208">
        <f>IF(ISTEXT($C105),(H105*letrapeso(H106)+L105*letrapeso(L106)+O105*letrapeso(O106)+R105*letrapeso(R106)+U105*letrapeso(U106)+X105*letrapeso(X106)+AA105*letrapeso(AA106)+AD105*letrapeso(AD106)+AG105*letrapeso(AG106))/(letrapeso(H106)+letrapeso(L106)+letrapeso(O106)+letrapeso(R106)+letrapeso(U106)+letrapeso(X106)+letrapeso(AA106)+letrapeso(AD106)+letrapeso(AG106)),0)</f>
        <v>0</v>
      </c>
      <c r="F105" s="209">
        <f>IF(ISTEXT($C105),(D105*$A$145+E105*$A$146),0)</f>
        <v>0</v>
      </c>
      <c r="G105" s="259">
        <f>'Digitar aqui Notas e Pesos'!D105</f>
        <v>0</v>
      </c>
      <c r="H105" s="116">
        <f>'Digitar aqui Notas e Pesos'!E105</f>
        <v>0</v>
      </c>
      <c r="I105" s="565">
        <f>IF(AND(G105&lt;&gt;0,H105&lt;&gt;0,$C105&lt;&gt;0),(G105*letrapeso(G106)*$A$145+H105*letrapeso(H106)*$A$146)/(letrapeso(G106)*$A$145+letrapeso(H106)*$A$146),0)</f>
        <v>0</v>
      </c>
      <c r="J105" s="259">
        <f>'Digitar aqui Notas e Pesos'!F105</f>
        <v>0</v>
      </c>
      <c r="K105" s="259">
        <f>'Digitar aqui Notas e Pesos'!G105</f>
        <v>0</v>
      </c>
      <c r="L105" s="116">
        <f>'Digitar aqui Notas e Pesos'!H105</f>
        <v>0</v>
      </c>
      <c r="M105" s="553">
        <f>IF(AND(K105&lt;&gt;0,L105&lt;&gt;0,$C105&lt;&gt;0),(K105*letrapeso(K106)*$A$145+L105*letrapeso(L106)*$A$146)/(letrapeso(K106)*$A$145+letrapeso(L106)*$A$146),0)</f>
        <v>0</v>
      </c>
      <c r="N105" s="259">
        <f>'Digitar aqui Notas e Pesos'!J105</f>
        <v>0</v>
      </c>
      <c r="O105" s="116">
        <f>'Digitar aqui Notas e Pesos'!K105</f>
        <v>0</v>
      </c>
      <c r="P105" s="553">
        <f>IF(AND(N105&lt;&gt;0,O105&lt;&gt;0,$C105&lt;&gt;0),(N105*letrapeso(N106)*$A$145+O105*letrapeso(O106)*$A$146)/(letrapeso(N106)*$A$145+letrapeso(O106)*$A$146),0)</f>
        <v>0</v>
      </c>
      <c r="Q105" s="259">
        <f>'Digitar aqui Notas e Pesos'!M105</f>
        <v>0</v>
      </c>
      <c r="R105" s="116">
        <f>'Digitar aqui Notas e Pesos'!N105</f>
        <v>0</v>
      </c>
      <c r="S105" s="553">
        <f>IF(AND(Q105&lt;&gt;0,R105&lt;&gt;0,$C105&lt;&gt;0),(Q105*letrapeso(Q106)*$A$145+R105*letrapeso(R106)*$A$146)/(letrapeso(Q106)*$A$145+letrapeso(R106)*$A$146),0)</f>
        <v>0</v>
      </c>
      <c r="T105" s="259">
        <f>'Digitar aqui Notas e Pesos'!P105</f>
        <v>0</v>
      </c>
      <c r="U105" s="116">
        <f>'Digitar aqui Notas e Pesos'!Q105</f>
        <v>0</v>
      </c>
      <c r="V105" s="553">
        <f>IF(AND(T105&lt;&gt;0,U105&lt;&gt;0,$C105&lt;&gt;0),(T105*letrapeso(T106)*$A$145+U105*letrapeso(U106)*$A$146)/(letrapeso(T106)*$A$145+letrapeso(U106)*$A$146),0)</f>
        <v>0</v>
      </c>
      <c r="W105" s="259">
        <f>'Digitar aqui Notas e Pesos'!S105</f>
        <v>0</v>
      </c>
      <c r="X105" s="116">
        <f>'Digitar aqui Notas e Pesos'!T105</f>
        <v>0</v>
      </c>
      <c r="Y105" s="553">
        <f>IF(AND(W105&lt;&gt;0,X105&lt;&gt;0,$C105&lt;&gt;0),(W105*letrapeso(W106)*$A$145+X105*letrapeso(X106)*$A$146)/(letrapeso(W106)*$A$145+letrapeso(X106)*$A$146),0)</f>
        <v>0</v>
      </c>
      <c r="Z105" s="259">
        <f>'Digitar aqui Notas e Pesos'!V105</f>
        <v>0</v>
      </c>
      <c r="AA105" s="116">
        <f>'Digitar aqui Notas e Pesos'!W105</f>
        <v>0</v>
      </c>
      <c r="AB105" s="553">
        <f>IF(AND(Z105&lt;&gt;0,AA105&lt;&gt;0,$C105&lt;&gt;0),(Z105*letrapeso(Z106)*$A$145+AA105*letrapeso(AA106)*$A$146)/(letrapeso(Z106)*$A$145+letrapeso(AA106)*$A$146),0)</f>
        <v>0</v>
      </c>
      <c r="AC105" s="259">
        <f>'Digitar aqui Notas e Pesos'!Y105</f>
        <v>0</v>
      </c>
      <c r="AD105" s="116">
        <f>'Digitar aqui Notas e Pesos'!Z105</f>
        <v>0</v>
      </c>
      <c r="AE105" s="553">
        <f>IF(AND(AC105&lt;&gt;0,AD105&lt;&gt;0,$C105&lt;&gt;0),(AC105*letrapeso(AC106)*$A$145+AD105*letrapeso(AD106)*$A$146)/(letrapeso(AC106)*$A$145+letrapeso(AD106)*$A$146),0)</f>
        <v>0</v>
      </c>
      <c r="AF105" s="259">
        <f>'Digitar aqui Notas e Pesos'!AB105</f>
        <v>0</v>
      </c>
      <c r="AG105" s="116">
        <f>'Digitar aqui Notas e Pesos'!AC105</f>
        <v>0</v>
      </c>
      <c r="AH105" s="573">
        <f>IF(AND(AF105&lt;&gt;0,AG105&lt;&gt;0,$C105&lt;&gt;0),(AF105*letrapeso(AF106)*$A$145+AG105*letrapeso(AG106)*$A$146)/(letrapeso(AF106)*$A$145+letrapeso(AG106)*$A$146),0)</f>
        <v>0</v>
      </c>
      <c r="AI105" s="8" t="str">
        <f>IF(letrapeso(C105),"Imprime","Não Imprime")</f>
        <v>Não Imprime</v>
      </c>
      <c r="AJ105" s="14" t="s">
        <v>28</v>
      </c>
      <c r="AK105" s="129">
        <f>G105*letrapeso(G106)*letrapeso($C105)</f>
        <v>0</v>
      </c>
      <c r="AL105" s="129">
        <f>H105*letrapeso(H106)*letrapeso($C105)</f>
        <v>0</v>
      </c>
      <c r="AM105" s="129">
        <f>J105*letrapeso(G106)*letrapeso($C105)</f>
        <v>0</v>
      </c>
      <c r="AN105" s="129">
        <f>K105*letrapeso(K106)*letrapeso($C105)</f>
        <v>0</v>
      </c>
      <c r="AO105" s="129">
        <f>L105*letrapeso(L106)*letrapeso($C105)</f>
        <v>0</v>
      </c>
      <c r="AP105" s="131"/>
      <c r="AQ105" s="129">
        <f>N105*letrapeso(N106)*letrapeso($C105)</f>
        <v>0</v>
      </c>
      <c r="AR105" s="129">
        <f>O105*letrapeso(O106)*letrapeso($C105)</f>
        <v>0</v>
      </c>
      <c r="AS105" s="131"/>
      <c r="AT105" s="129">
        <f>Q105*letrapeso(Q106)*letrapeso($C105)</f>
        <v>0</v>
      </c>
      <c r="AU105" s="129">
        <f>R105*letrapeso(R106)*letrapeso($C105)</f>
        <v>0</v>
      </c>
      <c r="AV105" s="131"/>
      <c r="AW105" s="129">
        <f>T105*letrapeso(T106)*letrapeso($C105)</f>
        <v>0</v>
      </c>
      <c r="AX105" s="129">
        <f>U105*letrapeso(U106)*letrapeso($C105)</f>
        <v>0</v>
      </c>
      <c r="AY105" s="131"/>
      <c r="AZ105" s="129">
        <f>W105*letrapeso(W106)*letrapeso($C105)</f>
        <v>0</v>
      </c>
      <c r="BA105" s="129">
        <f>X105*letrapeso(X106)*letrapeso($C105)</f>
        <v>0</v>
      </c>
      <c r="BB105" s="131"/>
      <c r="BC105" s="129">
        <f>Z105*letrapeso(Z106)*letrapeso($C105)</f>
        <v>0</v>
      </c>
      <c r="BD105" s="129">
        <f>AA105*letrapeso(AA106)*letrapeso($C105)</f>
        <v>0</v>
      </c>
      <c r="BE105" s="131"/>
      <c r="BF105" s="129">
        <f>AC105*letrapeso(AC106)*letrapeso($C105)</f>
        <v>0</v>
      </c>
      <c r="BG105" s="129">
        <f>AD105*letrapeso(AD106)*letrapeso($C105)</f>
        <v>0</v>
      </c>
      <c r="BH105" s="131"/>
      <c r="BI105" s="129">
        <f>AF105*letrapeso(AF106)*letrapeso($C105)</f>
        <v>0</v>
      </c>
      <c r="BJ105" s="129">
        <f>AG105*letrapeso(AG106)*letrapeso($C105)</f>
        <v>0</v>
      </c>
      <c r="BK105" s="131"/>
      <c r="BL105" s="171">
        <f>letrapeso(G106)</f>
        <v>0</v>
      </c>
      <c r="BM105" s="171">
        <f>letrapeso(H106)</f>
        <v>0</v>
      </c>
      <c r="BN105" s="41"/>
      <c r="BO105" s="171">
        <f>letrapeso(K106)</f>
        <v>0</v>
      </c>
      <c r="BP105" s="171">
        <f>letrapeso(L106)</f>
        <v>0</v>
      </c>
      <c r="BQ105" s="41"/>
      <c r="BR105" s="171">
        <f>letrapeso(N106)</f>
        <v>0</v>
      </c>
      <c r="BS105" s="171">
        <f>letrapeso(O106)</f>
        <v>0</v>
      </c>
      <c r="BT105" s="41"/>
      <c r="BU105" s="171">
        <f>letrapeso(Q106)</f>
        <v>0</v>
      </c>
      <c r="BV105" s="171">
        <f>letrapeso(R106)</f>
        <v>0</v>
      </c>
      <c r="BW105" s="41"/>
      <c r="BX105" s="171">
        <f>letrapeso(T106)</f>
        <v>0</v>
      </c>
      <c r="BY105" s="171">
        <f>letrapeso(U106)</f>
        <v>0</v>
      </c>
      <c r="BZ105" s="41"/>
      <c r="CA105" s="171">
        <f>letrapeso(W106)</f>
        <v>0</v>
      </c>
      <c r="CB105" s="171">
        <f>letrapeso(X106)</f>
        <v>0</v>
      </c>
      <c r="CC105" s="41"/>
      <c r="CD105" s="171">
        <f>letrapeso(Z106)</f>
        <v>0</v>
      </c>
      <c r="CE105" s="171">
        <f>letrapeso(AA106)</f>
        <v>0</v>
      </c>
      <c r="CF105" s="41"/>
      <c r="CG105" s="171">
        <f>letrapeso(AC106)</f>
        <v>0</v>
      </c>
      <c r="CH105" s="171">
        <f>letrapeso(AD106)</f>
        <v>0</v>
      </c>
      <c r="CI105" s="41"/>
      <c r="CJ105" s="171">
        <f>letrapeso(AF106)</f>
        <v>0</v>
      </c>
      <c r="CK105" s="171">
        <f>letrapeso(AG106)</f>
        <v>0</v>
      </c>
      <c r="CL105" s="41"/>
      <c r="CM105" s="41">
        <f>IF(ISTEXT($C105),(BL105+BO105+BR105+BU105+BX105+CA105+CD105+CG105+CJ105),0)</f>
        <v>0</v>
      </c>
      <c r="CN105" s="41">
        <f>IF(ISTEXT($C105),(BM105+BP105+BS105+BV105+BY105+CB105+CE105+CH105+CK105),0)</f>
        <v>0</v>
      </c>
    </row>
    <row r="106" spans="1:92" ht="15.75" hidden="1" thickBot="1" x14ac:dyDescent="0.25">
      <c r="A106" s="537" t="str">
        <f>TEXT(D105,"0,00")&amp;"       "&amp;TEXT(E105,"0,00")&amp;"       "&amp;TEXT(F105,"0,00")</f>
        <v>0,00       0,00       0,00</v>
      </c>
      <c r="B106" s="538"/>
      <c r="C106" s="230"/>
      <c r="D106" s="210"/>
      <c r="E106" s="208">
        <f>IF(ISTEXT($C106),(H106*letrapeso(H107)+#REF!*letrapeso(#REF!)+L106*letrapeso(L107)+O106*letrapeso(O107)+R106*letrapeso(R107)+#REF!*letrapeso(#REF!)+U106*letrapeso(U107)+X106*letrapeso(X107)+AA106*letrapeso(AA107)+AD106*letrapeso(AD107)+AG106*letrapeso(AG107))/(letrapeso(H107)+letrapeso(#REF!)+letrapeso(L107)+letrapeso(O107)+letrapeso(R107)+letrapeso(#REF!)+letrapeso(U107)+letrapeso(X107)+letrapeso(AA107)+letrapeso(AD107)+letrapeso(AG107)),0)</f>
        <v>0</v>
      </c>
      <c r="F106" s="209"/>
      <c r="G106" s="231" t="str">
        <f>PEsoLetra('Digitar aqui Notas e Pesos'!D106)</f>
        <v/>
      </c>
      <c r="H106" s="232" t="str">
        <f>PEsoLetra('Digitar aqui Notas e Pesos'!E106)</f>
        <v/>
      </c>
      <c r="I106" s="566"/>
      <c r="J106" s="490"/>
      <c r="K106" s="231" t="str">
        <f>PEsoLetra('Digitar aqui Notas e Pesos'!G106)</f>
        <v/>
      </c>
      <c r="L106" s="232" t="str">
        <f>PEsoLetra('Digitar aqui Notas e Pesos'!H106)</f>
        <v/>
      </c>
      <c r="M106" s="554"/>
      <c r="N106" s="231" t="str">
        <f>PEsoLetra('Digitar aqui Notas e Pesos'!J106)</f>
        <v/>
      </c>
      <c r="O106" s="232" t="str">
        <f>PEsoLetra('Digitar aqui Notas e Pesos'!K106)</f>
        <v/>
      </c>
      <c r="P106" s="554"/>
      <c r="Q106" s="231" t="str">
        <f>PEsoLetra('Digitar aqui Notas e Pesos'!M106)</f>
        <v/>
      </c>
      <c r="R106" s="232" t="str">
        <f>PEsoLetra('Digitar aqui Notas e Pesos'!N106)</f>
        <v/>
      </c>
      <c r="S106" s="554"/>
      <c r="T106" s="231" t="str">
        <f>PEsoLetra('Digitar aqui Notas e Pesos'!P106)</f>
        <v/>
      </c>
      <c r="U106" s="232" t="str">
        <f>PEsoLetra('Digitar aqui Notas e Pesos'!Q106)</f>
        <v/>
      </c>
      <c r="V106" s="554"/>
      <c r="W106" s="231" t="str">
        <f>PEsoLetra('Digitar aqui Notas e Pesos'!S106)</f>
        <v/>
      </c>
      <c r="X106" s="232" t="str">
        <f>PEsoLetra('Digitar aqui Notas e Pesos'!T106)</f>
        <v/>
      </c>
      <c r="Y106" s="554"/>
      <c r="Z106" s="231" t="str">
        <f>PEsoLetra('Digitar aqui Notas e Pesos'!V106)</f>
        <v/>
      </c>
      <c r="AA106" s="232" t="str">
        <f>PEsoLetra('Digitar aqui Notas e Pesos'!W106)</f>
        <v/>
      </c>
      <c r="AB106" s="554"/>
      <c r="AC106" s="231" t="str">
        <f>PEsoLetra('Digitar aqui Notas e Pesos'!Y106)</f>
        <v/>
      </c>
      <c r="AD106" s="232" t="str">
        <f>PEsoLetra('Digitar aqui Notas e Pesos'!Z106)</f>
        <v/>
      </c>
      <c r="AE106" s="554"/>
      <c r="AF106" s="231" t="str">
        <f>PEsoLetra('Digitar aqui Notas e Pesos'!AB106)</f>
        <v/>
      </c>
      <c r="AG106" s="232" t="str">
        <f>PEsoLetra('Digitar aqui Notas e Pesos'!AC106)</f>
        <v/>
      </c>
      <c r="AH106" s="574"/>
      <c r="AI106" s="19" t="str">
        <f>+AI105</f>
        <v>Não Imprime</v>
      </c>
      <c r="AJ106" s="1"/>
      <c r="AK106" s="130"/>
      <c r="AL106" s="130"/>
      <c r="AM106" s="130"/>
      <c r="AN106" s="130"/>
      <c r="AO106" s="130"/>
      <c r="AP106" s="131"/>
      <c r="AQ106" s="130"/>
      <c r="AR106" s="130"/>
      <c r="AS106" s="131"/>
      <c r="AT106" s="130"/>
      <c r="AU106" s="130"/>
      <c r="AV106" s="131"/>
      <c r="AW106" s="130"/>
      <c r="AX106" s="130"/>
      <c r="AY106" s="131"/>
      <c r="AZ106" s="130"/>
      <c r="BA106" s="130"/>
      <c r="BB106" s="131"/>
      <c r="BC106" s="130"/>
      <c r="BD106" s="130"/>
      <c r="BE106" s="131"/>
      <c r="BF106" s="130"/>
      <c r="BG106" s="130"/>
      <c r="BH106" s="131"/>
      <c r="BI106" s="130"/>
      <c r="BJ106" s="130"/>
      <c r="BK106" s="131"/>
      <c r="CM106" s="28"/>
      <c r="CN106" s="28"/>
    </row>
    <row r="107" spans="1:92" ht="15.75" hidden="1" thickBot="1" x14ac:dyDescent="0.25">
      <c r="A107" s="546" t="str">
        <f>'Digitar aqui Notas e Pesos'!A107</f>
        <v>Nome da Atividade 3 da Unidade 6</v>
      </c>
      <c r="B107" s="547"/>
      <c r="C107" s="229">
        <f>IF('Digitar aqui Notas e Pesos'!C107,PEsoLetra('Digitar aqui Notas e Pesos'!C107),0)</f>
        <v>0</v>
      </c>
      <c r="D107" s="208">
        <f>IF(ISTEXT($C107),(G107*letrapeso(G108)+K107*letrapeso(K108)+N107*letrapeso(N108)+Q107*letrapeso(Q108)+T107*letrapeso(T108)+W107*letrapeso(W108)+Z107*letrapeso(Z108)+AC107*letrapeso(AC108)+AF107*letrapeso(AF108))/(letrapeso(G108)+letrapeso(K108)+letrapeso(N108)+letrapeso(Q108)+letrapeso(T108)+letrapeso(W108)+letrapeso(Z108)+letrapeso(AC108)+letrapeso(AF108)),0)</f>
        <v>0</v>
      </c>
      <c r="E107" s="208">
        <f>IF(ISTEXT($C107),(H107*letrapeso(H108)+L107*letrapeso(L108)+O107*letrapeso(O108)+R107*letrapeso(R108)+U107*letrapeso(U108)+X107*letrapeso(X108)+AA107*letrapeso(AA108)+AD107*letrapeso(AD108)+AG107*letrapeso(AG108))/(letrapeso(H108)+letrapeso(L108)+letrapeso(O108)+letrapeso(R108)+letrapeso(U108)+letrapeso(X108)+letrapeso(AA108)+letrapeso(AD108)+letrapeso(AG108)),0)</f>
        <v>0</v>
      </c>
      <c r="F107" s="209">
        <f>IF(ISTEXT($C107),(D107*$A$145+E107*$A$146),0)</f>
        <v>0</v>
      </c>
      <c r="G107" s="259">
        <f>'Digitar aqui Notas e Pesos'!D107</f>
        <v>0</v>
      </c>
      <c r="H107" s="116">
        <f>'Digitar aqui Notas e Pesos'!E107</f>
        <v>0</v>
      </c>
      <c r="I107" s="565">
        <f>IF(AND(G107&lt;&gt;0,H107&lt;&gt;0,$C107&lt;&gt;0),(G107*letrapeso(G108)*$A$145+H107*letrapeso(H108)*$A$146)/(letrapeso(G108)*$A$145+letrapeso(H108)*$A$146),0)</f>
        <v>0</v>
      </c>
      <c r="J107" s="259">
        <f>'Digitar aqui Notas e Pesos'!F107</f>
        <v>0</v>
      </c>
      <c r="K107" s="259">
        <f>'Digitar aqui Notas e Pesos'!G107</f>
        <v>0</v>
      </c>
      <c r="L107" s="116">
        <f>'Digitar aqui Notas e Pesos'!H107</f>
        <v>0</v>
      </c>
      <c r="M107" s="553">
        <f>IF(AND(K107&lt;&gt;0,L107&lt;&gt;0,$C107&lt;&gt;0),(K107*letrapeso(K108)*$A$145+L107*letrapeso(L108)*$A$146)/(letrapeso(K108)*$A$145+letrapeso(L108)*$A$146),0)</f>
        <v>0</v>
      </c>
      <c r="N107" s="259">
        <f>'Digitar aqui Notas e Pesos'!J107</f>
        <v>0</v>
      </c>
      <c r="O107" s="116">
        <f>'Digitar aqui Notas e Pesos'!K107</f>
        <v>0</v>
      </c>
      <c r="P107" s="553">
        <f>IF(AND(N107&lt;&gt;0,O107&lt;&gt;0,$C107&lt;&gt;0),(N107*letrapeso(N108)*$A$145+O107*letrapeso(O108)*$A$146)/(letrapeso(N108)*$A$145+letrapeso(O108)*$A$146),0)</f>
        <v>0</v>
      </c>
      <c r="Q107" s="259">
        <f>'Digitar aqui Notas e Pesos'!M107</f>
        <v>0</v>
      </c>
      <c r="R107" s="116">
        <f>'Digitar aqui Notas e Pesos'!N107</f>
        <v>0</v>
      </c>
      <c r="S107" s="553">
        <f>IF(AND(Q107&lt;&gt;0,R107&lt;&gt;0,$C107&lt;&gt;0),(Q107*letrapeso(Q108)*$A$145+R107*letrapeso(R108)*$A$146)/(letrapeso(Q108)*$A$145+letrapeso(R108)*$A$146),0)</f>
        <v>0</v>
      </c>
      <c r="T107" s="259">
        <f>'Digitar aqui Notas e Pesos'!P107</f>
        <v>0</v>
      </c>
      <c r="U107" s="116">
        <f>'Digitar aqui Notas e Pesos'!Q107</f>
        <v>0</v>
      </c>
      <c r="V107" s="553">
        <f>IF(AND(T107&lt;&gt;0,U107&lt;&gt;0,$C107&lt;&gt;0),(T107*letrapeso(T108)*$A$145+U107*letrapeso(U108)*$A$146)/(letrapeso(T108)*$A$145+letrapeso(U108)*$A$146),0)</f>
        <v>0</v>
      </c>
      <c r="W107" s="259">
        <f>'Digitar aqui Notas e Pesos'!S107</f>
        <v>0</v>
      </c>
      <c r="X107" s="116">
        <f>'Digitar aqui Notas e Pesos'!T107</f>
        <v>0</v>
      </c>
      <c r="Y107" s="553">
        <f>IF(AND(W107&lt;&gt;0,X107&lt;&gt;0,$C107&lt;&gt;0),(W107*letrapeso(W108)*$A$145+X107*letrapeso(X108)*$A$146)/(letrapeso(W108)*$A$145+letrapeso(X108)*$A$146),0)</f>
        <v>0</v>
      </c>
      <c r="Z107" s="259">
        <f>'Digitar aqui Notas e Pesos'!V107</f>
        <v>0</v>
      </c>
      <c r="AA107" s="116">
        <f>'Digitar aqui Notas e Pesos'!W107</f>
        <v>0</v>
      </c>
      <c r="AB107" s="553">
        <f>IF(AND(Z107&lt;&gt;0,AA107&lt;&gt;0,$C107&lt;&gt;0),(Z107*letrapeso(Z108)*$A$145+AA107*letrapeso(AA108)*$A$146)/(letrapeso(Z108)*$A$145+letrapeso(AA108)*$A$146),0)</f>
        <v>0</v>
      </c>
      <c r="AC107" s="259">
        <f>'Digitar aqui Notas e Pesos'!Y107</f>
        <v>0</v>
      </c>
      <c r="AD107" s="116">
        <f>'Digitar aqui Notas e Pesos'!Z107</f>
        <v>0</v>
      </c>
      <c r="AE107" s="553">
        <f>IF(AND(AC107&lt;&gt;0,AD107&lt;&gt;0,$C107&lt;&gt;0),(AC107*letrapeso(AC108)*$A$145+AD107*letrapeso(AD108)*$A$146)/(letrapeso(AC108)*$A$145+letrapeso(AD108)*$A$146),0)</f>
        <v>0</v>
      </c>
      <c r="AF107" s="259">
        <f>'Digitar aqui Notas e Pesos'!AB107</f>
        <v>0</v>
      </c>
      <c r="AG107" s="116">
        <f>'Digitar aqui Notas e Pesos'!AC107</f>
        <v>0</v>
      </c>
      <c r="AH107" s="573">
        <f>IF(AND(AF107&lt;&gt;0,AG107&lt;&gt;0,$C107&lt;&gt;0),(AF107*letrapeso(AF108)*$A$145+AG107*letrapeso(AG108)*$A$146)/(letrapeso(AF108)*$A$145+letrapeso(AG108)*$A$146),0)</f>
        <v>0</v>
      </c>
      <c r="AI107" s="8" t="str">
        <f>IF(letrapeso(C107),"Imprime","Não Imprime")</f>
        <v>Não Imprime</v>
      </c>
      <c r="AJ107" s="14" t="s">
        <v>28</v>
      </c>
      <c r="AK107" s="129">
        <f>G107*letrapeso(G108)*letrapeso($C107)</f>
        <v>0</v>
      </c>
      <c r="AL107" s="129">
        <f>H107*letrapeso(H108)*letrapeso($C107)</f>
        <v>0</v>
      </c>
      <c r="AM107" s="129">
        <f>J107*letrapeso(G108)*letrapeso($C107)</f>
        <v>0</v>
      </c>
      <c r="AN107" s="129">
        <f>K107*letrapeso(K108)*letrapeso($C107)</f>
        <v>0</v>
      </c>
      <c r="AO107" s="129">
        <f>L107*letrapeso(L108)*letrapeso($C107)</f>
        <v>0</v>
      </c>
      <c r="AP107" s="131"/>
      <c r="AQ107" s="129">
        <f>N107*letrapeso(N108)*letrapeso($C107)</f>
        <v>0</v>
      </c>
      <c r="AR107" s="129">
        <f>O107*letrapeso(O108)*letrapeso($C107)</f>
        <v>0</v>
      </c>
      <c r="AS107" s="131"/>
      <c r="AT107" s="129">
        <f>Q107*letrapeso(Q108)*letrapeso($C107)</f>
        <v>0</v>
      </c>
      <c r="AU107" s="129">
        <f>R107*letrapeso(R108)*letrapeso($C107)</f>
        <v>0</v>
      </c>
      <c r="AV107" s="131"/>
      <c r="AW107" s="129">
        <f>T107*letrapeso(T108)*letrapeso($C107)</f>
        <v>0</v>
      </c>
      <c r="AX107" s="129">
        <f>U107*letrapeso(U108)*letrapeso($C107)</f>
        <v>0</v>
      </c>
      <c r="AY107" s="131"/>
      <c r="AZ107" s="129">
        <f>W107*letrapeso(W108)*letrapeso($C107)</f>
        <v>0</v>
      </c>
      <c r="BA107" s="129">
        <f>X107*letrapeso(X108)*letrapeso($C107)</f>
        <v>0</v>
      </c>
      <c r="BB107" s="131"/>
      <c r="BC107" s="129">
        <f>Z107*letrapeso(Z108)*letrapeso($C107)</f>
        <v>0</v>
      </c>
      <c r="BD107" s="129">
        <f>AA107*letrapeso(AA108)*letrapeso($C107)</f>
        <v>0</v>
      </c>
      <c r="BE107" s="131"/>
      <c r="BF107" s="129">
        <f>AC107*letrapeso(AC108)*letrapeso($C107)</f>
        <v>0</v>
      </c>
      <c r="BG107" s="129">
        <f>AD107*letrapeso(AD108)*letrapeso($C107)</f>
        <v>0</v>
      </c>
      <c r="BH107" s="131"/>
      <c r="BI107" s="129">
        <f>AF107*letrapeso(AF108)*letrapeso($C107)</f>
        <v>0</v>
      </c>
      <c r="BJ107" s="129">
        <f>AG107*letrapeso(AG108)*letrapeso($C107)</f>
        <v>0</v>
      </c>
      <c r="BK107" s="131"/>
      <c r="BL107" s="171">
        <f>letrapeso(G108)</f>
        <v>0</v>
      </c>
      <c r="BM107" s="171">
        <f>letrapeso(H108)</f>
        <v>0</v>
      </c>
      <c r="BN107" s="41"/>
      <c r="BO107" s="171">
        <f>letrapeso(K108)</f>
        <v>0</v>
      </c>
      <c r="BP107" s="171">
        <f>letrapeso(L108)</f>
        <v>0</v>
      </c>
      <c r="BQ107" s="41"/>
      <c r="BR107" s="171">
        <f>letrapeso(N108)</f>
        <v>0</v>
      </c>
      <c r="BS107" s="171">
        <f>letrapeso(O108)</f>
        <v>0</v>
      </c>
      <c r="BT107" s="41"/>
      <c r="BU107" s="171">
        <f>letrapeso(Q108)</f>
        <v>0</v>
      </c>
      <c r="BV107" s="171">
        <f>letrapeso(R108)</f>
        <v>0</v>
      </c>
      <c r="BW107" s="41"/>
      <c r="BX107" s="171">
        <f>letrapeso(T108)</f>
        <v>0</v>
      </c>
      <c r="BY107" s="171">
        <f>letrapeso(U108)</f>
        <v>0</v>
      </c>
      <c r="BZ107" s="41"/>
      <c r="CA107" s="171">
        <f>letrapeso(W108)</f>
        <v>0</v>
      </c>
      <c r="CB107" s="171">
        <f>letrapeso(X108)</f>
        <v>0</v>
      </c>
      <c r="CC107" s="41"/>
      <c r="CD107" s="171">
        <f>letrapeso(Z108)</f>
        <v>0</v>
      </c>
      <c r="CE107" s="171">
        <f>letrapeso(AA108)</f>
        <v>0</v>
      </c>
      <c r="CF107" s="41"/>
      <c r="CG107" s="171">
        <f>letrapeso(AC108)</f>
        <v>0</v>
      </c>
      <c r="CH107" s="171">
        <f>letrapeso(AD108)</f>
        <v>0</v>
      </c>
      <c r="CI107" s="41"/>
      <c r="CJ107" s="171">
        <f>letrapeso(AF108)</f>
        <v>0</v>
      </c>
      <c r="CK107" s="171">
        <f>letrapeso(AG108)</f>
        <v>0</v>
      </c>
      <c r="CL107" s="41"/>
      <c r="CM107" s="41">
        <f>IF(ISTEXT($C107),(BL107+BO107+BR107+BU107+BX107+CA107+CD107+CG107+CJ107),0)</f>
        <v>0</v>
      </c>
      <c r="CN107" s="41">
        <f>IF(ISTEXT($C107),(BM107+BP107+BS107+BV107+BY107+CB107+CE107+CH107+CK107),0)</f>
        <v>0</v>
      </c>
    </row>
    <row r="108" spans="1:92" ht="15.75" hidden="1" thickBot="1" x14ac:dyDescent="0.25">
      <c r="A108" s="537" t="str">
        <f>TEXT(D107,"0,00")&amp;"       "&amp;TEXT(E107,"0,00")&amp;"       "&amp;TEXT(F107,"0,00")</f>
        <v>0,00       0,00       0,00</v>
      </c>
      <c r="B108" s="538"/>
      <c r="C108" s="230"/>
      <c r="D108" s="210"/>
      <c r="E108" s="208">
        <f>IF(ISTEXT($C108),(H108*letrapeso(H109)+#REF!*letrapeso(#REF!)+L108*letrapeso(L109)+O108*letrapeso(O109)+R108*letrapeso(R109)+#REF!*letrapeso(#REF!)+U108*letrapeso(U109)+X108*letrapeso(X109)+AA108*letrapeso(AA109)+AD108*letrapeso(AD109)+AG108*letrapeso(AG109))/(letrapeso(H109)+letrapeso(#REF!)+letrapeso(L109)+letrapeso(O109)+letrapeso(R109)+letrapeso(#REF!)+letrapeso(U109)+letrapeso(X109)+letrapeso(AA109)+letrapeso(AD109)+letrapeso(AG109)),0)</f>
        <v>0</v>
      </c>
      <c r="F108" s="209"/>
      <c r="G108" s="231" t="str">
        <f>PEsoLetra('Digitar aqui Notas e Pesos'!D108)</f>
        <v/>
      </c>
      <c r="H108" s="232" t="str">
        <f>PEsoLetra('Digitar aqui Notas e Pesos'!E108)</f>
        <v/>
      </c>
      <c r="I108" s="566"/>
      <c r="J108" s="490"/>
      <c r="K108" s="231" t="str">
        <f>PEsoLetra('Digitar aqui Notas e Pesos'!G108)</f>
        <v/>
      </c>
      <c r="L108" s="232" t="str">
        <f>PEsoLetra('Digitar aqui Notas e Pesos'!H108)</f>
        <v/>
      </c>
      <c r="M108" s="554"/>
      <c r="N108" s="231" t="str">
        <f>PEsoLetra('Digitar aqui Notas e Pesos'!J108)</f>
        <v/>
      </c>
      <c r="O108" s="232" t="str">
        <f>PEsoLetra('Digitar aqui Notas e Pesos'!K108)</f>
        <v/>
      </c>
      <c r="P108" s="554"/>
      <c r="Q108" s="231" t="str">
        <f>PEsoLetra('Digitar aqui Notas e Pesos'!M108)</f>
        <v/>
      </c>
      <c r="R108" s="232" t="str">
        <f>PEsoLetra('Digitar aqui Notas e Pesos'!N108)</f>
        <v/>
      </c>
      <c r="S108" s="554"/>
      <c r="T108" s="231" t="str">
        <f>PEsoLetra('Digitar aqui Notas e Pesos'!P108)</f>
        <v/>
      </c>
      <c r="U108" s="232" t="str">
        <f>PEsoLetra('Digitar aqui Notas e Pesos'!Q108)</f>
        <v/>
      </c>
      <c r="V108" s="554"/>
      <c r="W108" s="231" t="str">
        <f>PEsoLetra('Digitar aqui Notas e Pesos'!S108)</f>
        <v/>
      </c>
      <c r="X108" s="232" t="str">
        <f>PEsoLetra('Digitar aqui Notas e Pesos'!T108)</f>
        <v/>
      </c>
      <c r="Y108" s="554"/>
      <c r="Z108" s="231" t="str">
        <f>PEsoLetra('Digitar aqui Notas e Pesos'!V108)</f>
        <v/>
      </c>
      <c r="AA108" s="232" t="str">
        <f>PEsoLetra('Digitar aqui Notas e Pesos'!W108)</f>
        <v/>
      </c>
      <c r="AB108" s="554"/>
      <c r="AC108" s="231" t="str">
        <f>PEsoLetra('Digitar aqui Notas e Pesos'!Y108)</f>
        <v/>
      </c>
      <c r="AD108" s="232" t="str">
        <f>PEsoLetra('Digitar aqui Notas e Pesos'!Z108)</f>
        <v/>
      </c>
      <c r="AE108" s="554"/>
      <c r="AF108" s="231" t="str">
        <f>PEsoLetra('Digitar aqui Notas e Pesos'!AB108)</f>
        <v/>
      </c>
      <c r="AG108" s="232" t="str">
        <f>PEsoLetra('Digitar aqui Notas e Pesos'!AC108)</f>
        <v/>
      </c>
      <c r="AH108" s="574"/>
      <c r="AI108" s="19" t="str">
        <f>+AI107</f>
        <v>Não Imprime</v>
      </c>
      <c r="AJ108" s="1"/>
      <c r="AK108" s="130"/>
      <c r="AL108" s="130"/>
      <c r="AM108" s="130"/>
      <c r="AN108" s="130"/>
      <c r="AO108" s="130"/>
      <c r="AP108" s="131"/>
      <c r="AQ108" s="130"/>
      <c r="AR108" s="130"/>
      <c r="AS108" s="131"/>
      <c r="AT108" s="130"/>
      <c r="AU108" s="130"/>
      <c r="AV108" s="131"/>
      <c r="AW108" s="130"/>
      <c r="AX108" s="130"/>
      <c r="AY108" s="131"/>
      <c r="AZ108" s="130"/>
      <c r="BA108" s="130"/>
      <c r="BB108" s="131"/>
      <c r="BC108" s="130"/>
      <c r="BD108" s="130"/>
      <c r="BE108" s="131"/>
      <c r="BF108" s="130"/>
      <c r="BG108" s="130"/>
      <c r="BH108" s="131"/>
      <c r="BI108" s="130"/>
      <c r="BJ108" s="130"/>
      <c r="BK108" s="131"/>
      <c r="CM108" s="28"/>
      <c r="CN108" s="28"/>
    </row>
    <row r="109" spans="1:92" ht="15.75" hidden="1" thickBot="1" x14ac:dyDescent="0.25">
      <c r="A109" s="546" t="str">
        <f>'Digitar aqui Notas e Pesos'!A109</f>
        <v>Nome da Atividade 4 da Unidade 6</v>
      </c>
      <c r="B109" s="547"/>
      <c r="C109" s="229">
        <f>IF('Digitar aqui Notas e Pesos'!C109,PEsoLetra('Digitar aqui Notas e Pesos'!C109),0)</f>
        <v>0</v>
      </c>
      <c r="D109" s="208">
        <f>IF(ISTEXT($C109),(G109*letrapeso(G110)+K109*letrapeso(K110)+N109*letrapeso(N110)+Q109*letrapeso(Q110)+T109*letrapeso(T110)+W109*letrapeso(W110)+Z109*letrapeso(Z110)+AC109*letrapeso(AC110)+AF109*letrapeso(AF110))/(letrapeso(G110)+letrapeso(K110)+letrapeso(N110)+letrapeso(Q110)+letrapeso(T110)+letrapeso(W110)+letrapeso(Z110)+letrapeso(AC110)+letrapeso(AF110)),0)</f>
        <v>0</v>
      </c>
      <c r="E109" s="208">
        <f>IF(ISTEXT($C109),(H109*letrapeso(H110)+L109*letrapeso(L110)+O109*letrapeso(O110)+R109*letrapeso(R110)+U109*letrapeso(U110)+X109*letrapeso(X110)+AA109*letrapeso(AA110)+AD109*letrapeso(AD110)+AG109*letrapeso(AG110))/(letrapeso(H110)+letrapeso(L110)+letrapeso(O110)+letrapeso(R110)+letrapeso(U110)+letrapeso(X110)+letrapeso(AA110)+letrapeso(AD110)+letrapeso(AG110)),0)</f>
        <v>0</v>
      </c>
      <c r="F109" s="209">
        <f>IF(ISTEXT($C109),(D109*$A$145+E109*$A$146),0)</f>
        <v>0</v>
      </c>
      <c r="G109" s="259">
        <f>'Digitar aqui Notas e Pesos'!D109</f>
        <v>0</v>
      </c>
      <c r="H109" s="116">
        <f>'Digitar aqui Notas e Pesos'!E109</f>
        <v>0</v>
      </c>
      <c r="I109" s="565">
        <f>IF(AND(G109&lt;&gt;0,H109&lt;&gt;0,$C109&lt;&gt;0),(G109*letrapeso(G110)*$A$145+H109*letrapeso(H110)*$A$146)/(letrapeso(G110)*$A$145+letrapeso(H110)*$A$146),0)</f>
        <v>0</v>
      </c>
      <c r="J109" s="259">
        <f>'Digitar aqui Notas e Pesos'!F109</f>
        <v>0</v>
      </c>
      <c r="K109" s="259">
        <f>'Digitar aqui Notas e Pesos'!G109</f>
        <v>0</v>
      </c>
      <c r="L109" s="116">
        <f>'Digitar aqui Notas e Pesos'!H109</f>
        <v>0</v>
      </c>
      <c r="M109" s="553">
        <f>IF(AND(K109&lt;&gt;0,L109&lt;&gt;0,$C109&lt;&gt;0),(K109*letrapeso(K110)*$A$145+L109*letrapeso(L110)*$A$146)/(letrapeso(K110)*$A$145+letrapeso(L110)*$A$146),0)</f>
        <v>0</v>
      </c>
      <c r="N109" s="259">
        <f>'Digitar aqui Notas e Pesos'!J109</f>
        <v>0</v>
      </c>
      <c r="O109" s="116">
        <f>'Digitar aqui Notas e Pesos'!K109</f>
        <v>0</v>
      </c>
      <c r="P109" s="553">
        <f>IF(AND(N109&lt;&gt;0,O109&lt;&gt;0,$C109&lt;&gt;0),(N109*letrapeso(N110)*$A$145+O109*letrapeso(O110)*$A$146)/(letrapeso(N110)*$A$145+letrapeso(O110)*$A$146),0)</f>
        <v>0</v>
      </c>
      <c r="Q109" s="259">
        <f>'Digitar aqui Notas e Pesos'!M109</f>
        <v>0</v>
      </c>
      <c r="R109" s="116">
        <f>'Digitar aqui Notas e Pesos'!N109</f>
        <v>0</v>
      </c>
      <c r="S109" s="553">
        <f>IF(AND(Q109&lt;&gt;0,R109&lt;&gt;0,$C109&lt;&gt;0),(Q109*letrapeso(Q110)*$A$145+R109*letrapeso(R110)*$A$146)/(letrapeso(Q110)*$A$145+letrapeso(R110)*$A$146),0)</f>
        <v>0</v>
      </c>
      <c r="T109" s="259">
        <f>'Digitar aqui Notas e Pesos'!P109</f>
        <v>0</v>
      </c>
      <c r="U109" s="116">
        <f>'Digitar aqui Notas e Pesos'!Q109</f>
        <v>0</v>
      </c>
      <c r="V109" s="553">
        <f>IF(AND(T109&lt;&gt;0,U109&lt;&gt;0,$C109&lt;&gt;0),(T109*letrapeso(T110)*$A$145+U109*letrapeso(U110)*$A$146)/(letrapeso(T110)*$A$145+letrapeso(U110)*$A$146),0)</f>
        <v>0</v>
      </c>
      <c r="W109" s="259">
        <f>'Digitar aqui Notas e Pesos'!S109</f>
        <v>0</v>
      </c>
      <c r="X109" s="116">
        <f>'Digitar aqui Notas e Pesos'!T109</f>
        <v>0</v>
      </c>
      <c r="Y109" s="553">
        <f>IF(AND(W109&lt;&gt;0,X109&lt;&gt;0,$C109&lt;&gt;0),(W109*letrapeso(W110)*$A$145+X109*letrapeso(X110)*$A$146)/(letrapeso(W110)*$A$145+letrapeso(X110)*$A$146),0)</f>
        <v>0</v>
      </c>
      <c r="Z109" s="259">
        <f>'Digitar aqui Notas e Pesos'!V109</f>
        <v>0</v>
      </c>
      <c r="AA109" s="116">
        <f>'Digitar aqui Notas e Pesos'!W109</f>
        <v>0</v>
      </c>
      <c r="AB109" s="553">
        <f>IF(AND(Z109&lt;&gt;0,AA109&lt;&gt;0,$C109&lt;&gt;0),(Z109*letrapeso(Z110)*$A$145+AA109*letrapeso(AA110)*$A$146)/(letrapeso(Z110)*$A$145+letrapeso(AA110)*$A$146),0)</f>
        <v>0</v>
      </c>
      <c r="AC109" s="259">
        <f>'Digitar aqui Notas e Pesos'!Y109</f>
        <v>0</v>
      </c>
      <c r="AD109" s="116">
        <f>'Digitar aqui Notas e Pesos'!Z109</f>
        <v>0</v>
      </c>
      <c r="AE109" s="553">
        <f>IF(AND(AC109&lt;&gt;0,AD109&lt;&gt;0,$C109&lt;&gt;0),(AC109*letrapeso(AC110)*$A$145+AD109*letrapeso(AD110)*$A$146)/(letrapeso(AC110)*$A$145+letrapeso(AD110)*$A$146),0)</f>
        <v>0</v>
      </c>
      <c r="AF109" s="259">
        <f>'Digitar aqui Notas e Pesos'!AB109</f>
        <v>0</v>
      </c>
      <c r="AG109" s="116">
        <f>'Digitar aqui Notas e Pesos'!AC109</f>
        <v>0</v>
      </c>
      <c r="AH109" s="573">
        <f>IF(AND(AF109&lt;&gt;0,AG109&lt;&gt;0,$C109&lt;&gt;0),(AF109*letrapeso(AF110)*$A$145+AG109*letrapeso(AG110)*$A$146)/(letrapeso(AF110)*$A$145+letrapeso(AG110)*$A$146),0)</f>
        <v>0</v>
      </c>
      <c r="AI109" s="8" t="str">
        <f>IF(letrapeso(C109),"Imprime","Não Imprime")</f>
        <v>Não Imprime</v>
      </c>
      <c r="AJ109" s="14" t="s">
        <v>28</v>
      </c>
      <c r="AK109" s="129">
        <f>G109*letrapeso(G110)*letrapeso($C109)</f>
        <v>0</v>
      </c>
      <c r="AL109" s="129">
        <f>H109*letrapeso(H110)*letrapeso($C109)</f>
        <v>0</v>
      </c>
      <c r="AM109" s="129">
        <f>J109*letrapeso(G110)*letrapeso($C109)</f>
        <v>0</v>
      </c>
      <c r="AN109" s="129">
        <f>K109*letrapeso(K110)*letrapeso($C109)</f>
        <v>0</v>
      </c>
      <c r="AO109" s="129">
        <f>L109*letrapeso(L110)*letrapeso($C109)</f>
        <v>0</v>
      </c>
      <c r="AP109" s="131"/>
      <c r="AQ109" s="129">
        <f>N109*letrapeso(N110)*letrapeso($C109)</f>
        <v>0</v>
      </c>
      <c r="AR109" s="129">
        <f>O109*letrapeso(O110)*letrapeso($C109)</f>
        <v>0</v>
      </c>
      <c r="AS109" s="131"/>
      <c r="AT109" s="129">
        <f>Q109*letrapeso(Q110)*letrapeso($C109)</f>
        <v>0</v>
      </c>
      <c r="AU109" s="129">
        <f>R109*letrapeso(R110)*letrapeso($C109)</f>
        <v>0</v>
      </c>
      <c r="AV109" s="131"/>
      <c r="AW109" s="129">
        <f>T109*letrapeso(T110)*letrapeso($C109)</f>
        <v>0</v>
      </c>
      <c r="AX109" s="129">
        <f>U109*letrapeso(U110)*letrapeso($C109)</f>
        <v>0</v>
      </c>
      <c r="AY109" s="131"/>
      <c r="AZ109" s="129">
        <f>W109*letrapeso(W110)*letrapeso($C109)</f>
        <v>0</v>
      </c>
      <c r="BA109" s="129">
        <f>X109*letrapeso(X110)*letrapeso($C109)</f>
        <v>0</v>
      </c>
      <c r="BB109" s="131"/>
      <c r="BC109" s="129">
        <f>Z109*letrapeso(Z110)*letrapeso($C109)</f>
        <v>0</v>
      </c>
      <c r="BD109" s="129">
        <f>AA109*letrapeso(AA110)*letrapeso($C109)</f>
        <v>0</v>
      </c>
      <c r="BE109" s="131"/>
      <c r="BF109" s="129">
        <f>AC109*letrapeso(AC110)*letrapeso($C109)</f>
        <v>0</v>
      </c>
      <c r="BG109" s="129">
        <f>AD109*letrapeso(AD110)*letrapeso($C109)</f>
        <v>0</v>
      </c>
      <c r="BH109" s="131"/>
      <c r="BI109" s="129">
        <f>AF109*letrapeso(AF110)*letrapeso($C109)</f>
        <v>0</v>
      </c>
      <c r="BJ109" s="129">
        <f>AG109*letrapeso(AG110)*letrapeso($C109)</f>
        <v>0</v>
      </c>
      <c r="BK109" s="131"/>
      <c r="BL109" s="171">
        <f>letrapeso(G110)</f>
        <v>0</v>
      </c>
      <c r="BM109" s="171">
        <f>letrapeso(H110)</f>
        <v>0</v>
      </c>
      <c r="BN109" s="41"/>
      <c r="BO109" s="171">
        <f>letrapeso(K110)</f>
        <v>0</v>
      </c>
      <c r="BP109" s="171">
        <f>letrapeso(L110)</f>
        <v>0</v>
      </c>
      <c r="BQ109" s="41"/>
      <c r="BR109" s="171">
        <f>letrapeso(N110)</f>
        <v>0</v>
      </c>
      <c r="BS109" s="171">
        <f>letrapeso(O110)</f>
        <v>0</v>
      </c>
      <c r="BT109" s="41"/>
      <c r="BU109" s="171">
        <f>letrapeso(Q110)</f>
        <v>0</v>
      </c>
      <c r="BV109" s="171">
        <f>letrapeso(R110)</f>
        <v>0</v>
      </c>
      <c r="BW109" s="41"/>
      <c r="BX109" s="171">
        <f>letrapeso(T110)</f>
        <v>0</v>
      </c>
      <c r="BY109" s="171">
        <f>letrapeso(U110)</f>
        <v>0</v>
      </c>
      <c r="BZ109" s="41"/>
      <c r="CA109" s="171">
        <f>letrapeso(W110)</f>
        <v>0</v>
      </c>
      <c r="CB109" s="171">
        <f>letrapeso(X110)</f>
        <v>0</v>
      </c>
      <c r="CC109" s="41"/>
      <c r="CD109" s="171">
        <f>letrapeso(Z110)</f>
        <v>0</v>
      </c>
      <c r="CE109" s="171">
        <f>letrapeso(AA110)</f>
        <v>0</v>
      </c>
      <c r="CF109" s="41"/>
      <c r="CG109" s="171">
        <f>letrapeso(AC110)</f>
        <v>0</v>
      </c>
      <c r="CH109" s="171">
        <f>letrapeso(AD110)</f>
        <v>0</v>
      </c>
      <c r="CI109" s="41"/>
      <c r="CJ109" s="171">
        <f>letrapeso(AF110)</f>
        <v>0</v>
      </c>
      <c r="CK109" s="171">
        <f>letrapeso(AG110)</f>
        <v>0</v>
      </c>
      <c r="CL109" s="41"/>
      <c r="CM109" s="41">
        <f>IF(ISTEXT($C109),(BL109+BO109+BR109+BU109+BX109+CA109+CD109+CG109+CJ109),0)</f>
        <v>0</v>
      </c>
      <c r="CN109" s="41">
        <f>IF(ISTEXT($C109),(BM109+BP109+BS109+BV109+BY109+CB109+CE109+CH109+CK109),0)</f>
        <v>0</v>
      </c>
    </row>
    <row r="110" spans="1:92" ht="15.75" hidden="1" thickBot="1" x14ac:dyDescent="0.25">
      <c r="A110" s="537" t="str">
        <f>TEXT(D109,"0,00")&amp;"       "&amp;TEXT(E109,"0,00")&amp;"       "&amp;TEXT(F109,"0,00")</f>
        <v>0,00       0,00       0,00</v>
      </c>
      <c r="B110" s="538"/>
      <c r="C110" s="230"/>
      <c r="D110" s="210"/>
      <c r="E110" s="208">
        <f>IF(ISTEXT($C110),(H110*letrapeso(H111)+#REF!*letrapeso(#REF!)+L110*letrapeso(L111)+O110*letrapeso(O111)+R110*letrapeso(R111)+#REF!*letrapeso(#REF!)+U110*letrapeso(U111)+X110*letrapeso(X111)+AA110*letrapeso(AA111)+AD110*letrapeso(AD111)+AG110*letrapeso(AG111))/(letrapeso(H111)+letrapeso(#REF!)+letrapeso(L111)+letrapeso(O111)+letrapeso(R111)+letrapeso(#REF!)+letrapeso(U111)+letrapeso(X111)+letrapeso(AA111)+letrapeso(AD111)+letrapeso(AG111)),0)</f>
        <v>0</v>
      </c>
      <c r="F110" s="209"/>
      <c r="G110" s="231" t="str">
        <f>PEsoLetra('Digitar aqui Notas e Pesos'!D110)</f>
        <v/>
      </c>
      <c r="H110" s="232" t="str">
        <f>PEsoLetra('Digitar aqui Notas e Pesos'!E110)</f>
        <v/>
      </c>
      <c r="I110" s="566"/>
      <c r="J110" s="490"/>
      <c r="K110" s="231" t="str">
        <f>PEsoLetra('Digitar aqui Notas e Pesos'!G110)</f>
        <v/>
      </c>
      <c r="L110" s="232" t="str">
        <f>PEsoLetra('Digitar aqui Notas e Pesos'!H110)</f>
        <v/>
      </c>
      <c r="M110" s="554"/>
      <c r="N110" s="231" t="str">
        <f>PEsoLetra('Digitar aqui Notas e Pesos'!J110)</f>
        <v/>
      </c>
      <c r="O110" s="232" t="str">
        <f>PEsoLetra('Digitar aqui Notas e Pesos'!K110)</f>
        <v/>
      </c>
      <c r="P110" s="554"/>
      <c r="Q110" s="231" t="str">
        <f>PEsoLetra('Digitar aqui Notas e Pesos'!M110)</f>
        <v/>
      </c>
      <c r="R110" s="232" t="str">
        <f>PEsoLetra('Digitar aqui Notas e Pesos'!N110)</f>
        <v/>
      </c>
      <c r="S110" s="554"/>
      <c r="T110" s="231" t="str">
        <f>PEsoLetra('Digitar aqui Notas e Pesos'!P110)</f>
        <v/>
      </c>
      <c r="U110" s="232" t="str">
        <f>PEsoLetra('Digitar aqui Notas e Pesos'!Q110)</f>
        <v/>
      </c>
      <c r="V110" s="554"/>
      <c r="W110" s="231" t="str">
        <f>PEsoLetra('Digitar aqui Notas e Pesos'!S110)</f>
        <v/>
      </c>
      <c r="X110" s="232" t="str">
        <f>PEsoLetra('Digitar aqui Notas e Pesos'!T110)</f>
        <v/>
      </c>
      <c r="Y110" s="554"/>
      <c r="Z110" s="231" t="str">
        <f>PEsoLetra('Digitar aqui Notas e Pesos'!V110)</f>
        <v/>
      </c>
      <c r="AA110" s="232" t="str">
        <f>PEsoLetra('Digitar aqui Notas e Pesos'!W110)</f>
        <v/>
      </c>
      <c r="AB110" s="554"/>
      <c r="AC110" s="231" t="str">
        <f>PEsoLetra('Digitar aqui Notas e Pesos'!Y110)</f>
        <v/>
      </c>
      <c r="AD110" s="232" t="str">
        <f>PEsoLetra('Digitar aqui Notas e Pesos'!Z110)</f>
        <v/>
      </c>
      <c r="AE110" s="554"/>
      <c r="AF110" s="231" t="str">
        <f>PEsoLetra('Digitar aqui Notas e Pesos'!AB110)</f>
        <v/>
      </c>
      <c r="AG110" s="232" t="str">
        <f>PEsoLetra('Digitar aqui Notas e Pesos'!AC110)</f>
        <v/>
      </c>
      <c r="AH110" s="574"/>
      <c r="AI110" s="19" t="str">
        <f>+AI109</f>
        <v>Não Imprime</v>
      </c>
      <c r="AJ110" s="1"/>
      <c r="AK110" s="130"/>
      <c r="AL110" s="130"/>
      <c r="AM110" s="130"/>
      <c r="AN110" s="130"/>
      <c r="AO110" s="130"/>
      <c r="AP110" s="131"/>
      <c r="AQ110" s="130"/>
      <c r="AR110" s="130"/>
      <c r="AS110" s="131"/>
      <c r="AT110" s="130"/>
      <c r="AU110" s="130"/>
      <c r="AV110" s="131"/>
      <c r="AW110" s="130"/>
      <c r="AX110" s="130"/>
      <c r="AY110" s="131"/>
      <c r="AZ110" s="130"/>
      <c r="BA110" s="130"/>
      <c r="BB110" s="131"/>
      <c r="BC110" s="130"/>
      <c r="BD110" s="130"/>
      <c r="BE110" s="131"/>
      <c r="BF110" s="130"/>
      <c r="BG110" s="130"/>
      <c r="BH110" s="131"/>
      <c r="BI110" s="130"/>
      <c r="BJ110" s="130"/>
      <c r="BK110" s="131"/>
      <c r="CM110" s="28"/>
      <c r="CN110" s="28"/>
    </row>
    <row r="111" spans="1:92" ht="15.75" hidden="1" thickBot="1" x14ac:dyDescent="0.25">
      <c r="A111" s="546" t="str">
        <f>'Digitar aqui Notas e Pesos'!A111</f>
        <v>Nome da Atividade 5 da Unidade 6</v>
      </c>
      <c r="B111" s="547"/>
      <c r="C111" s="229">
        <f>IF('Digitar aqui Notas e Pesos'!C111,PEsoLetra('Digitar aqui Notas e Pesos'!C111),0)</f>
        <v>0</v>
      </c>
      <c r="D111" s="208">
        <f>IF(ISTEXT($C111),(G111*letrapeso(G112)+K111*letrapeso(K112)+N111*letrapeso(N112)+Q111*letrapeso(Q112)+T111*letrapeso(T112)+W111*letrapeso(W112)+Z111*letrapeso(Z112)+AC111*letrapeso(AC112)+AF111*letrapeso(AF112))/(letrapeso(G112)+letrapeso(K112)+letrapeso(N112)+letrapeso(Q112)+letrapeso(T112)+letrapeso(W112)+letrapeso(Z112)+letrapeso(AC112)+letrapeso(AF112)),0)</f>
        <v>0</v>
      </c>
      <c r="E111" s="208">
        <f>IF(ISTEXT($C111),(H111*letrapeso(H112)+L111*letrapeso(L112)+O111*letrapeso(O112)+R111*letrapeso(R112)+U111*letrapeso(U112)+X111*letrapeso(X112)+AA111*letrapeso(AA112)+AD111*letrapeso(AD112)+AG111*letrapeso(AG112))/(letrapeso(H112)+letrapeso(L112)+letrapeso(O112)+letrapeso(R112)+letrapeso(U112)+letrapeso(X112)+letrapeso(AA112)+letrapeso(AD112)+letrapeso(AG112)),0)</f>
        <v>0</v>
      </c>
      <c r="F111" s="209">
        <f>IF(ISTEXT($C111),(D111*$A$145+E111*$A$146),0)</f>
        <v>0</v>
      </c>
      <c r="G111" s="259">
        <f>'Digitar aqui Notas e Pesos'!D111</f>
        <v>0</v>
      </c>
      <c r="H111" s="116">
        <f>'Digitar aqui Notas e Pesos'!E111</f>
        <v>0</v>
      </c>
      <c r="I111" s="565">
        <f>IF(AND(G111&lt;&gt;0,H111&lt;&gt;0,$C111&lt;&gt;0),(G111*letrapeso(G112)*$A$145+H111*letrapeso(H112)*$A$146)/(letrapeso(G112)*$A$145+letrapeso(H112)*$A$146),0)</f>
        <v>0</v>
      </c>
      <c r="J111" s="259">
        <f>'Digitar aqui Notas e Pesos'!F111</f>
        <v>0</v>
      </c>
      <c r="K111" s="259">
        <f>'Digitar aqui Notas e Pesos'!G111</f>
        <v>0</v>
      </c>
      <c r="L111" s="116">
        <f>'Digitar aqui Notas e Pesos'!H111</f>
        <v>0</v>
      </c>
      <c r="M111" s="553">
        <f>IF(AND(K111&lt;&gt;0,L111&lt;&gt;0,$C111&lt;&gt;0),(K111*letrapeso(K112)*$A$145+L111*letrapeso(L112)*$A$146)/(letrapeso(K112)*$A$145+letrapeso(L112)*$A$146),0)</f>
        <v>0</v>
      </c>
      <c r="N111" s="259">
        <f>'Digitar aqui Notas e Pesos'!J111</f>
        <v>0</v>
      </c>
      <c r="O111" s="116">
        <f>'Digitar aqui Notas e Pesos'!K111</f>
        <v>0</v>
      </c>
      <c r="P111" s="553">
        <f>IF(AND(N111&lt;&gt;0,O111&lt;&gt;0,$C111&lt;&gt;0),(N111*letrapeso(N112)*$A$145+O111*letrapeso(O112)*$A$146)/(letrapeso(N112)*$A$145+letrapeso(O112)*$A$146),0)</f>
        <v>0</v>
      </c>
      <c r="Q111" s="259">
        <f>'Digitar aqui Notas e Pesos'!M111</f>
        <v>0</v>
      </c>
      <c r="R111" s="116">
        <f>'Digitar aqui Notas e Pesos'!N111</f>
        <v>0</v>
      </c>
      <c r="S111" s="553">
        <f>IF(AND(Q111&lt;&gt;0,R111&lt;&gt;0,$C111&lt;&gt;0),(Q111*letrapeso(Q112)*$A$145+R111*letrapeso(R112)*$A$146)/(letrapeso(Q112)*$A$145+letrapeso(R112)*$A$146),0)</f>
        <v>0</v>
      </c>
      <c r="T111" s="259">
        <f>'Digitar aqui Notas e Pesos'!P111</f>
        <v>0</v>
      </c>
      <c r="U111" s="116">
        <f>'Digitar aqui Notas e Pesos'!Q111</f>
        <v>0</v>
      </c>
      <c r="V111" s="553">
        <f>IF(AND(T111&lt;&gt;0,U111&lt;&gt;0,$C111&lt;&gt;0),(T111*letrapeso(T112)*$A$145+U111*letrapeso(U112)*$A$146)/(letrapeso(T112)*$A$145+letrapeso(U112)*$A$146),0)</f>
        <v>0</v>
      </c>
      <c r="W111" s="259">
        <f>'Digitar aqui Notas e Pesos'!S111</f>
        <v>0</v>
      </c>
      <c r="X111" s="116">
        <f>'Digitar aqui Notas e Pesos'!T111</f>
        <v>0</v>
      </c>
      <c r="Y111" s="553">
        <f>IF(AND(W111&lt;&gt;0,X111&lt;&gt;0,$C111&lt;&gt;0),(W111*letrapeso(W112)*$A$145+X111*letrapeso(X112)*$A$146)/(letrapeso(W112)*$A$145+letrapeso(X112)*$A$146),0)</f>
        <v>0</v>
      </c>
      <c r="Z111" s="259">
        <f>'Digitar aqui Notas e Pesos'!V111</f>
        <v>0</v>
      </c>
      <c r="AA111" s="116">
        <f>'Digitar aqui Notas e Pesos'!W111</f>
        <v>0</v>
      </c>
      <c r="AB111" s="553">
        <f>IF(AND(Z111&lt;&gt;0,AA111&lt;&gt;0,$C111&lt;&gt;0),(Z111*letrapeso(Z112)*$A$145+AA111*letrapeso(AA112)*$A$146)/(letrapeso(Z112)*$A$145+letrapeso(AA112)*$A$146),0)</f>
        <v>0</v>
      </c>
      <c r="AC111" s="259">
        <f>'Digitar aqui Notas e Pesos'!Y111</f>
        <v>0</v>
      </c>
      <c r="AD111" s="116">
        <f>'Digitar aqui Notas e Pesos'!Z111</f>
        <v>0</v>
      </c>
      <c r="AE111" s="553">
        <f>IF(AND(AC111&lt;&gt;0,AD111&lt;&gt;0,$C111&lt;&gt;0),(AC111*letrapeso(AC112)*$A$145+AD111*letrapeso(AD112)*$A$146)/(letrapeso(AC112)*$A$145+letrapeso(AD112)*$A$146),0)</f>
        <v>0</v>
      </c>
      <c r="AF111" s="259">
        <f>'Digitar aqui Notas e Pesos'!AB111</f>
        <v>0</v>
      </c>
      <c r="AG111" s="116">
        <f>'Digitar aqui Notas e Pesos'!AC111</f>
        <v>0</v>
      </c>
      <c r="AH111" s="573">
        <f>IF(AND(AF111&lt;&gt;0,AG111&lt;&gt;0,$C111&lt;&gt;0),(AF111*letrapeso(AF112)*$A$145+AG111*letrapeso(AG112)*$A$146)/(letrapeso(AF112)*$A$145+letrapeso(AG112)*$A$146),0)</f>
        <v>0</v>
      </c>
      <c r="AI111" s="8" t="str">
        <f>IF(letrapeso(C111),"Imprime","Não Imprime")</f>
        <v>Não Imprime</v>
      </c>
      <c r="AJ111" s="14" t="s">
        <v>28</v>
      </c>
      <c r="AK111" s="129">
        <f>G111*letrapeso(G112)*letrapeso($C111)</f>
        <v>0</v>
      </c>
      <c r="AL111" s="129">
        <f>H111*letrapeso(H112)*letrapeso($C111)</f>
        <v>0</v>
      </c>
      <c r="AM111" s="129">
        <f>J111*letrapeso(G112)*letrapeso($C111)</f>
        <v>0</v>
      </c>
      <c r="AN111" s="129">
        <f>K111*letrapeso(K112)*letrapeso($C111)</f>
        <v>0</v>
      </c>
      <c r="AO111" s="129">
        <f>L111*letrapeso(L112)*letrapeso($C111)</f>
        <v>0</v>
      </c>
      <c r="AP111" s="131"/>
      <c r="AQ111" s="129">
        <f>N111*letrapeso(N112)*letrapeso($C111)</f>
        <v>0</v>
      </c>
      <c r="AR111" s="129">
        <f>O111*letrapeso(O112)*letrapeso($C111)</f>
        <v>0</v>
      </c>
      <c r="AS111" s="131"/>
      <c r="AT111" s="129">
        <f>Q111*letrapeso(Q112)*letrapeso($C111)</f>
        <v>0</v>
      </c>
      <c r="AU111" s="129">
        <f>R111*letrapeso(R112)*letrapeso($C111)</f>
        <v>0</v>
      </c>
      <c r="AV111" s="131"/>
      <c r="AW111" s="129">
        <f>T111*letrapeso(T112)*letrapeso($C111)</f>
        <v>0</v>
      </c>
      <c r="AX111" s="129">
        <f>U111*letrapeso(U112)*letrapeso($C111)</f>
        <v>0</v>
      </c>
      <c r="AY111" s="131"/>
      <c r="AZ111" s="129">
        <f>W111*letrapeso(W112)*letrapeso($C111)</f>
        <v>0</v>
      </c>
      <c r="BA111" s="129">
        <f>X111*letrapeso(X112)*letrapeso($C111)</f>
        <v>0</v>
      </c>
      <c r="BB111" s="131"/>
      <c r="BC111" s="129">
        <f>Z111*letrapeso(Z112)*letrapeso($C111)</f>
        <v>0</v>
      </c>
      <c r="BD111" s="129">
        <f>AA111*letrapeso(AA112)*letrapeso($C111)</f>
        <v>0</v>
      </c>
      <c r="BE111" s="131"/>
      <c r="BF111" s="129">
        <f>AC111*letrapeso(AC112)*letrapeso($C111)</f>
        <v>0</v>
      </c>
      <c r="BG111" s="129">
        <f>AD111*letrapeso(AD112)*letrapeso($C111)</f>
        <v>0</v>
      </c>
      <c r="BH111" s="131"/>
      <c r="BI111" s="129">
        <f>AF111*letrapeso(AF112)*letrapeso($C111)</f>
        <v>0</v>
      </c>
      <c r="BJ111" s="129">
        <f>AG111*letrapeso(AG112)*letrapeso($C111)</f>
        <v>0</v>
      </c>
      <c r="BK111" s="131"/>
      <c r="BL111" s="171">
        <f>letrapeso(G112)</f>
        <v>0</v>
      </c>
      <c r="BM111" s="171">
        <f>letrapeso(H112)</f>
        <v>0</v>
      </c>
      <c r="BN111" s="41"/>
      <c r="BO111" s="171">
        <f>letrapeso(K112)</f>
        <v>0</v>
      </c>
      <c r="BP111" s="171">
        <f>letrapeso(L112)</f>
        <v>0</v>
      </c>
      <c r="BQ111" s="41"/>
      <c r="BR111" s="171">
        <f>letrapeso(N112)</f>
        <v>0</v>
      </c>
      <c r="BS111" s="171">
        <f>letrapeso(O112)</f>
        <v>0</v>
      </c>
      <c r="BT111" s="41"/>
      <c r="BU111" s="171">
        <f>letrapeso(Q112)</f>
        <v>0</v>
      </c>
      <c r="BV111" s="171">
        <f>letrapeso(R112)</f>
        <v>0</v>
      </c>
      <c r="BW111" s="41"/>
      <c r="BX111" s="171">
        <f>letrapeso(T112)</f>
        <v>0</v>
      </c>
      <c r="BY111" s="171">
        <f>letrapeso(U112)</f>
        <v>0</v>
      </c>
      <c r="BZ111" s="41"/>
      <c r="CA111" s="171">
        <f>letrapeso(W112)</f>
        <v>0</v>
      </c>
      <c r="CB111" s="171">
        <f>letrapeso(X112)</f>
        <v>0</v>
      </c>
      <c r="CC111" s="41"/>
      <c r="CD111" s="171">
        <f>letrapeso(Z112)</f>
        <v>0</v>
      </c>
      <c r="CE111" s="171">
        <f>letrapeso(AA112)</f>
        <v>0</v>
      </c>
      <c r="CF111" s="41"/>
      <c r="CG111" s="171">
        <f>letrapeso(AC112)</f>
        <v>0</v>
      </c>
      <c r="CH111" s="171">
        <f>letrapeso(AD112)</f>
        <v>0</v>
      </c>
      <c r="CI111" s="41"/>
      <c r="CJ111" s="171">
        <f>letrapeso(AF112)</f>
        <v>0</v>
      </c>
      <c r="CK111" s="171">
        <f>letrapeso(AG112)</f>
        <v>0</v>
      </c>
      <c r="CL111" s="41"/>
      <c r="CM111" s="41">
        <f>IF(ISTEXT($C111),(BL111+BO111+BR111+BU111+BX111+CA111+CD111+CG111+CJ111),0)</f>
        <v>0</v>
      </c>
      <c r="CN111" s="41">
        <f>IF(ISTEXT($C111),(BM111+BP111+BS111+BV111+BY111+CB111+CE111+CH111+CK111),0)</f>
        <v>0</v>
      </c>
    </row>
    <row r="112" spans="1:92" ht="15.75" hidden="1" thickBot="1" x14ac:dyDescent="0.25">
      <c r="A112" s="537" t="str">
        <f>TEXT(D111,"0,00")&amp;"       "&amp;TEXT(E111,"0,00")&amp;"       "&amp;TEXT(F111,"0,00")</f>
        <v>0,00       0,00       0,00</v>
      </c>
      <c r="B112" s="538"/>
      <c r="C112" s="230"/>
      <c r="D112" s="210"/>
      <c r="E112" s="208">
        <f>IF(ISTEXT($C112),(H112*letrapeso(H113)+#REF!*letrapeso(#REF!)+L112*letrapeso(L113)+O112*letrapeso(O113)+R112*letrapeso(R113)+#REF!*letrapeso(#REF!)+U112*letrapeso(U113)+X112*letrapeso(X113)+AA112*letrapeso(AA113)+AD112*letrapeso(AD113)+AG112*letrapeso(AG113))/(letrapeso(H113)+letrapeso(#REF!)+letrapeso(L113)+letrapeso(O113)+letrapeso(R113)+letrapeso(#REF!)+letrapeso(U113)+letrapeso(X113)+letrapeso(AA113)+letrapeso(AD113)+letrapeso(AG113)),0)</f>
        <v>0</v>
      </c>
      <c r="F112" s="209"/>
      <c r="G112" s="231" t="str">
        <f>PEsoLetra('Digitar aqui Notas e Pesos'!D112)</f>
        <v/>
      </c>
      <c r="H112" s="232" t="str">
        <f>PEsoLetra('Digitar aqui Notas e Pesos'!E112)</f>
        <v/>
      </c>
      <c r="I112" s="566"/>
      <c r="J112" s="490"/>
      <c r="K112" s="231" t="str">
        <f>PEsoLetra('Digitar aqui Notas e Pesos'!G112)</f>
        <v/>
      </c>
      <c r="L112" s="232" t="str">
        <f>PEsoLetra('Digitar aqui Notas e Pesos'!H112)</f>
        <v/>
      </c>
      <c r="M112" s="554"/>
      <c r="N112" s="231" t="str">
        <f>PEsoLetra('Digitar aqui Notas e Pesos'!J112)</f>
        <v/>
      </c>
      <c r="O112" s="232" t="str">
        <f>PEsoLetra('Digitar aqui Notas e Pesos'!K112)</f>
        <v/>
      </c>
      <c r="P112" s="554"/>
      <c r="Q112" s="231" t="str">
        <f>PEsoLetra('Digitar aqui Notas e Pesos'!M112)</f>
        <v/>
      </c>
      <c r="R112" s="232" t="str">
        <f>PEsoLetra('Digitar aqui Notas e Pesos'!N112)</f>
        <v/>
      </c>
      <c r="S112" s="554"/>
      <c r="T112" s="231" t="str">
        <f>PEsoLetra('Digitar aqui Notas e Pesos'!P112)</f>
        <v/>
      </c>
      <c r="U112" s="232" t="str">
        <f>PEsoLetra('Digitar aqui Notas e Pesos'!Q112)</f>
        <v/>
      </c>
      <c r="V112" s="554"/>
      <c r="W112" s="231" t="str">
        <f>PEsoLetra('Digitar aqui Notas e Pesos'!S112)</f>
        <v/>
      </c>
      <c r="X112" s="232" t="str">
        <f>PEsoLetra('Digitar aqui Notas e Pesos'!T112)</f>
        <v/>
      </c>
      <c r="Y112" s="554"/>
      <c r="Z112" s="231" t="str">
        <f>PEsoLetra('Digitar aqui Notas e Pesos'!V112)</f>
        <v/>
      </c>
      <c r="AA112" s="232" t="str">
        <f>PEsoLetra('Digitar aqui Notas e Pesos'!W112)</f>
        <v/>
      </c>
      <c r="AB112" s="554"/>
      <c r="AC112" s="231" t="str">
        <f>PEsoLetra('Digitar aqui Notas e Pesos'!Y112)</f>
        <v/>
      </c>
      <c r="AD112" s="232" t="str">
        <f>PEsoLetra('Digitar aqui Notas e Pesos'!Z112)</f>
        <v/>
      </c>
      <c r="AE112" s="554"/>
      <c r="AF112" s="231" t="str">
        <f>PEsoLetra('Digitar aqui Notas e Pesos'!AB112)</f>
        <v/>
      </c>
      <c r="AG112" s="232" t="str">
        <f>PEsoLetra('Digitar aqui Notas e Pesos'!AC112)</f>
        <v/>
      </c>
      <c r="AH112" s="574"/>
      <c r="AI112" s="19" t="str">
        <f>+AI111</f>
        <v>Não Imprime</v>
      </c>
      <c r="AJ112" s="1"/>
      <c r="AK112" s="130"/>
      <c r="AL112" s="130"/>
      <c r="AM112" s="130"/>
      <c r="AN112" s="130"/>
      <c r="AO112" s="130"/>
      <c r="AP112" s="131"/>
      <c r="AQ112" s="130"/>
      <c r="AR112" s="130"/>
      <c r="AS112" s="131"/>
      <c r="AT112" s="130"/>
      <c r="AU112" s="130"/>
      <c r="AV112" s="131"/>
      <c r="AW112" s="130"/>
      <c r="AX112" s="130"/>
      <c r="AY112" s="131"/>
      <c r="AZ112" s="130"/>
      <c r="BA112" s="130"/>
      <c r="BB112" s="131"/>
      <c r="BC112" s="130"/>
      <c r="BD112" s="130"/>
      <c r="BE112" s="131"/>
      <c r="BF112" s="130"/>
      <c r="BG112" s="130"/>
      <c r="BH112" s="131"/>
      <c r="BI112" s="130"/>
      <c r="BJ112" s="130"/>
      <c r="BK112" s="131"/>
      <c r="CM112" s="28"/>
      <c r="CN112" s="28"/>
    </row>
    <row r="113" spans="1:92" ht="15.75" hidden="1" thickBot="1" x14ac:dyDescent="0.25">
      <c r="A113" s="546" t="str">
        <f>'Digitar aqui Notas e Pesos'!A113</f>
        <v>Nome da Atividade 6 da Unidade 6</v>
      </c>
      <c r="B113" s="547"/>
      <c r="C113" s="229">
        <f>IF('Digitar aqui Notas e Pesos'!C113,PEsoLetra('Digitar aqui Notas e Pesos'!C113),0)</f>
        <v>0</v>
      </c>
      <c r="D113" s="208">
        <f>IF(ISTEXT($C113),(G113*letrapeso(G114)+K113*letrapeso(K114)+N113*letrapeso(N114)+Q113*letrapeso(Q114)+T113*letrapeso(T114)+W113*letrapeso(W114)+Z113*letrapeso(Z114)+AC113*letrapeso(AC114)+AF113*letrapeso(AF114))/(letrapeso(G114)+letrapeso(K114)+letrapeso(N114)+letrapeso(Q114)+letrapeso(T114)+letrapeso(W114)+letrapeso(Z114)+letrapeso(AC114)+letrapeso(AF114)),0)</f>
        <v>0</v>
      </c>
      <c r="E113" s="208">
        <f>IF(ISTEXT($C113),(H113*letrapeso(H114)+L113*letrapeso(L114)+O113*letrapeso(O114)+R113*letrapeso(R114)+U113*letrapeso(U114)+X113*letrapeso(X114)+AA113*letrapeso(AA114)+AD113*letrapeso(AD114)+AG113*letrapeso(AG114))/(letrapeso(H114)+letrapeso(L114)+letrapeso(O114)+letrapeso(R114)+letrapeso(U114)+letrapeso(X114)+letrapeso(AA114)+letrapeso(AD114)+letrapeso(AG114)),0)</f>
        <v>0</v>
      </c>
      <c r="F113" s="209">
        <f>IF(ISTEXT($C113),(D113*$A$145+E113*$A$146),0)</f>
        <v>0</v>
      </c>
      <c r="G113" s="259">
        <f>'Digitar aqui Notas e Pesos'!D113</f>
        <v>0</v>
      </c>
      <c r="H113" s="116">
        <f>'Digitar aqui Notas e Pesos'!E113</f>
        <v>0</v>
      </c>
      <c r="I113" s="565">
        <f>IF(AND(G113&lt;&gt;0,H113&lt;&gt;0,$C113&lt;&gt;0),(G113*letrapeso(G114)*$A$145+H113*letrapeso(H114)*$A$146)/(letrapeso(G114)*$A$145+letrapeso(H114)*$A$146),0)</f>
        <v>0</v>
      </c>
      <c r="J113" s="259">
        <f>'Digitar aqui Notas e Pesos'!F113</f>
        <v>0</v>
      </c>
      <c r="K113" s="259">
        <f>'Digitar aqui Notas e Pesos'!G113</f>
        <v>0</v>
      </c>
      <c r="L113" s="116">
        <f>'Digitar aqui Notas e Pesos'!H113</f>
        <v>0</v>
      </c>
      <c r="M113" s="553">
        <f>IF(AND(K113&lt;&gt;0,L113&lt;&gt;0,$C113&lt;&gt;0),(K113*letrapeso(K114)*$A$145+L113*letrapeso(L114)*$A$146)/(letrapeso(K114)*$A$145+letrapeso(L114)*$A$146),0)</f>
        <v>0</v>
      </c>
      <c r="N113" s="259">
        <f>'Digitar aqui Notas e Pesos'!J113</f>
        <v>0</v>
      </c>
      <c r="O113" s="116">
        <f>'Digitar aqui Notas e Pesos'!K113</f>
        <v>0</v>
      </c>
      <c r="P113" s="553">
        <f>IF(AND(N113&lt;&gt;0,O113&lt;&gt;0,$C113&lt;&gt;0),(N113*letrapeso(N114)*$A$145+O113*letrapeso(O114)*$A$146)/(letrapeso(N114)*$A$145+letrapeso(O114)*$A$146),0)</f>
        <v>0</v>
      </c>
      <c r="Q113" s="259">
        <f>'Digitar aqui Notas e Pesos'!M113</f>
        <v>0</v>
      </c>
      <c r="R113" s="116">
        <f>'Digitar aqui Notas e Pesos'!N113</f>
        <v>0</v>
      </c>
      <c r="S113" s="553">
        <f>IF(AND(Q113&lt;&gt;0,R113&lt;&gt;0,$C113&lt;&gt;0),(Q113*letrapeso(Q114)*$A$145+R113*letrapeso(R114)*$A$146)/(letrapeso(Q114)*$A$145+letrapeso(R114)*$A$146),0)</f>
        <v>0</v>
      </c>
      <c r="T113" s="259">
        <f>'Digitar aqui Notas e Pesos'!P113</f>
        <v>0</v>
      </c>
      <c r="U113" s="116">
        <f>'Digitar aqui Notas e Pesos'!Q113</f>
        <v>0</v>
      </c>
      <c r="V113" s="553">
        <f>IF(AND(T113&lt;&gt;0,U113&lt;&gt;0,$C113&lt;&gt;0),(T113*letrapeso(T114)*$A$145+U113*letrapeso(U114)*$A$146)/(letrapeso(T114)*$A$145+letrapeso(U114)*$A$146),0)</f>
        <v>0</v>
      </c>
      <c r="W113" s="259">
        <f>'Digitar aqui Notas e Pesos'!S113</f>
        <v>0</v>
      </c>
      <c r="X113" s="116">
        <f>'Digitar aqui Notas e Pesos'!T113</f>
        <v>0</v>
      </c>
      <c r="Y113" s="553">
        <f>IF(AND(W113&lt;&gt;0,X113&lt;&gt;0,$C113&lt;&gt;0),(W113*letrapeso(W114)*$A$145+X113*letrapeso(X114)*$A$146)/(letrapeso(W114)*$A$145+letrapeso(X114)*$A$146),0)</f>
        <v>0</v>
      </c>
      <c r="Z113" s="259">
        <f>'Digitar aqui Notas e Pesos'!V113</f>
        <v>0</v>
      </c>
      <c r="AA113" s="116">
        <f>'Digitar aqui Notas e Pesos'!W113</f>
        <v>0</v>
      </c>
      <c r="AB113" s="553">
        <f>IF(AND(Z113&lt;&gt;0,AA113&lt;&gt;0,$C113&lt;&gt;0),(Z113*letrapeso(Z114)*$A$145+AA113*letrapeso(AA114)*$A$146)/(letrapeso(Z114)*$A$145+letrapeso(AA114)*$A$146),0)</f>
        <v>0</v>
      </c>
      <c r="AC113" s="259">
        <f>'Digitar aqui Notas e Pesos'!Y113</f>
        <v>0</v>
      </c>
      <c r="AD113" s="116">
        <f>'Digitar aqui Notas e Pesos'!Z113</f>
        <v>0</v>
      </c>
      <c r="AE113" s="553">
        <f>IF(AND(AC113&lt;&gt;0,AD113&lt;&gt;0,$C113&lt;&gt;0),(AC113*letrapeso(AC114)*$A$145+AD113*letrapeso(AD114)*$A$146)/(letrapeso(AC114)*$A$145+letrapeso(AD114)*$A$146),0)</f>
        <v>0</v>
      </c>
      <c r="AF113" s="259">
        <f>'Digitar aqui Notas e Pesos'!AB113</f>
        <v>0</v>
      </c>
      <c r="AG113" s="116">
        <f>'Digitar aqui Notas e Pesos'!AC113</f>
        <v>0</v>
      </c>
      <c r="AH113" s="573">
        <f>IF(AND(AF113&lt;&gt;0,AG113&lt;&gt;0,$C113&lt;&gt;0),(AF113*letrapeso(AF114)*$A$145+AG113*letrapeso(AG114)*$A$146)/(letrapeso(AF114)*$A$145+letrapeso(AG114)*$A$146),0)</f>
        <v>0</v>
      </c>
      <c r="AI113" s="8" t="str">
        <f>IF(letrapeso(C113),"Imprime","Não Imprime")</f>
        <v>Não Imprime</v>
      </c>
      <c r="AJ113" s="14" t="s">
        <v>28</v>
      </c>
      <c r="AK113" s="129">
        <f>G113*letrapeso(G114)*letrapeso($C113)</f>
        <v>0</v>
      </c>
      <c r="AL113" s="129">
        <f>H113*letrapeso(H114)*letrapeso($C113)</f>
        <v>0</v>
      </c>
      <c r="AM113" s="129">
        <f>J113*letrapeso(G114)*letrapeso($C113)</f>
        <v>0</v>
      </c>
      <c r="AN113" s="129">
        <f>K113*letrapeso(K114)*letrapeso($C113)</f>
        <v>0</v>
      </c>
      <c r="AO113" s="129">
        <f>L113*letrapeso(L114)*letrapeso($C113)</f>
        <v>0</v>
      </c>
      <c r="AP113" s="131"/>
      <c r="AQ113" s="129">
        <f>N113*letrapeso(N114)*letrapeso($C113)</f>
        <v>0</v>
      </c>
      <c r="AR113" s="129">
        <f>O113*letrapeso(O114)*letrapeso($C113)</f>
        <v>0</v>
      </c>
      <c r="AS113" s="131"/>
      <c r="AT113" s="129">
        <f>Q113*letrapeso(Q114)*letrapeso($C113)</f>
        <v>0</v>
      </c>
      <c r="AU113" s="129">
        <f>R113*letrapeso(R114)*letrapeso($C113)</f>
        <v>0</v>
      </c>
      <c r="AV113" s="131"/>
      <c r="AW113" s="129">
        <f>T113*letrapeso(T114)*letrapeso($C113)</f>
        <v>0</v>
      </c>
      <c r="AX113" s="129">
        <f>U113*letrapeso(U114)*letrapeso($C113)</f>
        <v>0</v>
      </c>
      <c r="AY113" s="131"/>
      <c r="AZ113" s="129">
        <f>W113*letrapeso(W114)*letrapeso($C113)</f>
        <v>0</v>
      </c>
      <c r="BA113" s="129">
        <f>X113*letrapeso(X114)*letrapeso($C113)</f>
        <v>0</v>
      </c>
      <c r="BB113" s="131"/>
      <c r="BC113" s="129">
        <f>Z113*letrapeso(Z114)*letrapeso($C113)</f>
        <v>0</v>
      </c>
      <c r="BD113" s="129">
        <f>AA113*letrapeso(AA114)*letrapeso($C113)</f>
        <v>0</v>
      </c>
      <c r="BE113" s="131"/>
      <c r="BF113" s="129">
        <f>AC113*letrapeso(AC114)*letrapeso($C113)</f>
        <v>0</v>
      </c>
      <c r="BG113" s="129">
        <f>AD113*letrapeso(AD114)*letrapeso($C113)</f>
        <v>0</v>
      </c>
      <c r="BH113" s="131"/>
      <c r="BI113" s="129">
        <f>AF113*letrapeso(AF114)*letrapeso($C113)</f>
        <v>0</v>
      </c>
      <c r="BJ113" s="129">
        <f>AG113*letrapeso(AG114)*letrapeso($C113)</f>
        <v>0</v>
      </c>
      <c r="BK113" s="131"/>
      <c r="BL113" s="171">
        <f>letrapeso(G114)</f>
        <v>0</v>
      </c>
      <c r="BM113" s="171">
        <f>letrapeso(H114)</f>
        <v>0</v>
      </c>
      <c r="BN113" s="41"/>
      <c r="BO113" s="171">
        <f>letrapeso(K114)</f>
        <v>0</v>
      </c>
      <c r="BP113" s="171">
        <f>letrapeso(L114)</f>
        <v>0</v>
      </c>
      <c r="BQ113" s="41"/>
      <c r="BR113" s="171">
        <f>letrapeso(N114)</f>
        <v>0</v>
      </c>
      <c r="BS113" s="171">
        <f>letrapeso(O114)</f>
        <v>0</v>
      </c>
      <c r="BT113" s="41"/>
      <c r="BU113" s="171">
        <f>letrapeso(Q114)</f>
        <v>0</v>
      </c>
      <c r="BV113" s="171">
        <f>letrapeso(R114)</f>
        <v>0</v>
      </c>
      <c r="BW113" s="41"/>
      <c r="BX113" s="171">
        <f>letrapeso(T114)</f>
        <v>0</v>
      </c>
      <c r="BY113" s="171">
        <f>letrapeso(U114)</f>
        <v>0</v>
      </c>
      <c r="BZ113" s="41"/>
      <c r="CA113" s="171">
        <f>letrapeso(W114)</f>
        <v>0</v>
      </c>
      <c r="CB113" s="171">
        <f>letrapeso(X114)</f>
        <v>0</v>
      </c>
      <c r="CC113" s="41"/>
      <c r="CD113" s="171">
        <f>letrapeso(Z114)</f>
        <v>0</v>
      </c>
      <c r="CE113" s="171">
        <f>letrapeso(AA114)</f>
        <v>0</v>
      </c>
      <c r="CF113" s="41"/>
      <c r="CG113" s="171">
        <f>letrapeso(AC114)</f>
        <v>0</v>
      </c>
      <c r="CH113" s="171">
        <f>letrapeso(AD114)</f>
        <v>0</v>
      </c>
      <c r="CI113" s="41"/>
      <c r="CJ113" s="171">
        <f>letrapeso(AF114)</f>
        <v>0</v>
      </c>
      <c r="CK113" s="171">
        <f>letrapeso(AG114)</f>
        <v>0</v>
      </c>
      <c r="CL113" s="41"/>
      <c r="CM113" s="41">
        <f>IF(ISTEXT($C113),(BL113+BO113+BR113+BU113+BX113+CA113+CD113+CG113+CJ113),0)</f>
        <v>0</v>
      </c>
      <c r="CN113" s="41">
        <f>IF(ISTEXT($C113),(BM113+BP113+BS113+BV113+BY113+CB113+CE113+CH113+CK113),0)</f>
        <v>0</v>
      </c>
    </row>
    <row r="114" spans="1:92" ht="15.75" hidden="1" thickBot="1" x14ac:dyDescent="0.25">
      <c r="A114" s="537" t="str">
        <f>TEXT(D113,"0,00")&amp;"       "&amp;TEXT(E113,"0,00")&amp;"       "&amp;TEXT(F113,"0,00")</f>
        <v>0,00       0,00       0,00</v>
      </c>
      <c r="B114" s="538"/>
      <c r="C114" s="230"/>
      <c r="D114" s="210"/>
      <c r="E114" s="208">
        <f>IF(ISTEXT($C114),(H114*letrapeso(H115)+#REF!*letrapeso(#REF!)+L114*letrapeso(L115)+O114*letrapeso(O115)+R114*letrapeso(R115)+#REF!*letrapeso(#REF!)+U114*letrapeso(U115)+X114*letrapeso(X115)+AA114*letrapeso(AA115)+AD114*letrapeso(AD115)+AG114*letrapeso(AG115))/(letrapeso(H115)+letrapeso(#REF!)+letrapeso(L115)+letrapeso(O115)+letrapeso(R115)+letrapeso(#REF!)+letrapeso(U115)+letrapeso(X115)+letrapeso(AA115)+letrapeso(AD115)+letrapeso(AG115)),0)</f>
        <v>0</v>
      </c>
      <c r="F114" s="209"/>
      <c r="G114" s="231" t="str">
        <f>PEsoLetra('Digitar aqui Notas e Pesos'!D114)</f>
        <v/>
      </c>
      <c r="H114" s="232" t="str">
        <f>PEsoLetra('Digitar aqui Notas e Pesos'!E114)</f>
        <v/>
      </c>
      <c r="I114" s="566"/>
      <c r="J114" s="490"/>
      <c r="K114" s="231" t="str">
        <f>PEsoLetra('Digitar aqui Notas e Pesos'!G114)</f>
        <v/>
      </c>
      <c r="L114" s="232" t="str">
        <f>PEsoLetra('Digitar aqui Notas e Pesos'!H114)</f>
        <v/>
      </c>
      <c r="M114" s="554"/>
      <c r="N114" s="231" t="str">
        <f>PEsoLetra('Digitar aqui Notas e Pesos'!J114)</f>
        <v/>
      </c>
      <c r="O114" s="232" t="str">
        <f>PEsoLetra('Digitar aqui Notas e Pesos'!K114)</f>
        <v/>
      </c>
      <c r="P114" s="554"/>
      <c r="Q114" s="231" t="str">
        <f>PEsoLetra('Digitar aqui Notas e Pesos'!M114)</f>
        <v/>
      </c>
      <c r="R114" s="232" t="str">
        <f>PEsoLetra('Digitar aqui Notas e Pesos'!N114)</f>
        <v/>
      </c>
      <c r="S114" s="554"/>
      <c r="T114" s="231" t="str">
        <f>PEsoLetra('Digitar aqui Notas e Pesos'!P114)</f>
        <v/>
      </c>
      <c r="U114" s="232" t="str">
        <f>PEsoLetra('Digitar aqui Notas e Pesos'!Q114)</f>
        <v/>
      </c>
      <c r="V114" s="554"/>
      <c r="W114" s="231" t="str">
        <f>PEsoLetra('Digitar aqui Notas e Pesos'!S114)</f>
        <v/>
      </c>
      <c r="X114" s="232" t="str">
        <f>PEsoLetra('Digitar aqui Notas e Pesos'!T114)</f>
        <v/>
      </c>
      <c r="Y114" s="554"/>
      <c r="Z114" s="231" t="str">
        <f>PEsoLetra('Digitar aqui Notas e Pesos'!V114)</f>
        <v/>
      </c>
      <c r="AA114" s="232" t="str">
        <f>PEsoLetra('Digitar aqui Notas e Pesos'!W114)</f>
        <v/>
      </c>
      <c r="AB114" s="554"/>
      <c r="AC114" s="231" t="str">
        <f>PEsoLetra('Digitar aqui Notas e Pesos'!Y114)</f>
        <v/>
      </c>
      <c r="AD114" s="232" t="str">
        <f>PEsoLetra('Digitar aqui Notas e Pesos'!Z114)</f>
        <v/>
      </c>
      <c r="AE114" s="554"/>
      <c r="AF114" s="231" t="str">
        <f>PEsoLetra('Digitar aqui Notas e Pesos'!AB114)</f>
        <v/>
      </c>
      <c r="AG114" s="232" t="str">
        <f>PEsoLetra('Digitar aqui Notas e Pesos'!AC114)</f>
        <v/>
      </c>
      <c r="AH114" s="574"/>
      <c r="AI114" s="19" t="str">
        <f>+AI113</f>
        <v>Não Imprime</v>
      </c>
      <c r="AJ114" s="1"/>
      <c r="AK114" s="130"/>
      <c r="AL114" s="130"/>
      <c r="AM114" s="130"/>
      <c r="AN114" s="130"/>
      <c r="AO114" s="130"/>
      <c r="AP114" s="131"/>
      <c r="AQ114" s="130"/>
      <c r="AR114" s="130"/>
      <c r="AS114" s="131"/>
      <c r="AT114" s="130"/>
      <c r="AU114" s="130"/>
      <c r="AV114" s="131"/>
      <c r="AW114" s="130"/>
      <c r="AX114" s="130"/>
      <c r="AY114" s="131"/>
      <c r="AZ114" s="130"/>
      <c r="BA114" s="130"/>
      <c r="BB114" s="131"/>
      <c r="BC114" s="130"/>
      <c r="BD114" s="130"/>
      <c r="BE114" s="131"/>
      <c r="BF114" s="130"/>
      <c r="BG114" s="130"/>
      <c r="BH114" s="131"/>
      <c r="BI114" s="130"/>
      <c r="BJ114" s="130"/>
      <c r="BK114" s="131"/>
      <c r="CM114" s="171"/>
      <c r="CN114" s="28"/>
    </row>
    <row r="115" spans="1:92" ht="15.75" hidden="1" thickBot="1" x14ac:dyDescent="0.25">
      <c r="A115" s="546" t="str">
        <f>'Digitar aqui Notas e Pesos'!A115</f>
        <v>Nome da Atividade 7 da Unidade 6</v>
      </c>
      <c r="B115" s="547"/>
      <c r="C115" s="229">
        <f>IF('Digitar aqui Notas e Pesos'!C115,PEsoLetra('Digitar aqui Notas e Pesos'!C115),0)</f>
        <v>0</v>
      </c>
      <c r="D115" s="208">
        <f>IF(ISTEXT($C115),(G115*letrapeso(G116)+K115*letrapeso(K116)+N115*letrapeso(N116)+Q115*letrapeso(Q116)+T115*letrapeso(T116)+W115*letrapeso(W116)+Z115*letrapeso(Z116)+AC115*letrapeso(AC116)+AF115*letrapeso(AF116))/(letrapeso(G116)+letrapeso(K116)+letrapeso(N116)+letrapeso(Q116)+letrapeso(T116)+letrapeso(W116)+letrapeso(Z116)+letrapeso(AC116)+letrapeso(AF116)),0)</f>
        <v>0</v>
      </c>
      <c r="E115" s="208">
        <f>IF(ISTEXT($C115),(H115*letrapeso(H116)+L115*letrapeso(L116)+O115*letrapeso(O116)+R115*letrapeso(R116)+U115*letrapeso(U116)+X115*letrapeso(X116)+AA115*letrapeso(AA116)+AD115*letrapeso(AD116)+AG115*letrapeso(AG116))/(letrapeso(H116)+letrapeso(L116)+letrapeso(O116)+letrapeso(R116)+letrapeso(U116)+letrapeso(X116)+letrapeso(AA116)+letrapeso(AD116)+letrapeso(AG116)),0)</f>
        <v>0</v>
      </c>
      <c r="F115" s="209">
        <f>IF(ISTEXT($C115),(D115*$A$145+E115*$A$146),0)</f>
        <v>0</v>
      </c>
      <c r="G115" s="115">
        <f>'Digitar aqui Notas e Pesos'!D115</f>
        <v>0</v>
      </c>
      <c r="H115" s="116">
        <f>'Digitar aqui Notas e Pesos'!E115</f>
        <v>0</v>
      </c>
      <c r="I115" s="565">
        <f>IF(AND(G115&lt;&gt;0,H115&lt;&gt;0,$C115&lt;&gt;0),(G115*letrapeso(G116)*$A$145+H115*letrapeso(H116)*$A$146)/(letrapeso(G116)*$A$145+letrapeso(H116)*$A$146),0)</f>
        <v>0</v>
      </c>
      <c r="J115" s="259">
        <f>'Digitar aqui Notas e Pesos'!F115</f>
        <v>0</v>
      </c>
      <c r="K115" s="115">
        <f>'Digitar aqui Notas e Pesos'!G115</f>
        <v>0</v>
      </c>
      <c r="L115" s="116">
        <f>'Digitar aqui Notas e Pesos'!H115</f>
        <v>0</v>
      </c>
      <c r="M115" s="553">
        <f>IF(AND(K115&lt;&gt;0,L115&lt;&gt;0,$C115&lt;&gt;0),(K115*letrapeso(K116)*$A$145+L115*letrapeso(L116)*$A$146)/(letrapeso(K116)*$A$145+letrapeso(L116)*$A$146),0)</f>
        <v>0</v>
      </c>
      <c r="N115" s="115">
        <f>'Digitar aqui Notas e Pesos'!J115</f>
        <v>0</v>
      </c>
      <c r="O115" s="116">
        <f>'Digitar aqui Notas e Pesos'!K115</f>
        <v>0</v>
      </c>
      <c r="P115" s="553">
        <f>IF(AND(N115&lt;&gt;0,O115&lt;&gt;0,$C115&lt;&gt;0),(N115*letrapeso(N116)*$A$145+O115*letrapeso(O116)*$A$146)/(letrapeso(N116)*$A$145+letrapeso(O116)*$A$146),0)</f>
        <v>0</v>
      </c>
      <c r="Q115" s="115">
        <f>'Digitar aqui Notas e Pesos'!M115</f>
        <v>0</v>
      </c>
      <c r="R115" s="116">
        <f>'Digitar aqui Notas e Pesos'!N115</f>
        <v>0</v>
      </c>
      <c r="S115" s="553">
        <f>IF(AND(Q115&lt;&gt;0,R115&lt;&gt;0,$C115&lt;&gt;0),(Q115*letrapeso(Q116)*$A$145+R115*letrapeso(R116)*$A$146)/(letrapeso(Q116)*$A$145+letrapeso(R116)*$A$146),0)</f>
        <v>0</v>
      </c>
      <c r="T115" s="115">
        <f>'Digitar aqui Notas e Pesos'!P115</f>
        <v>0</v>
      </c>
      <c r="U115" s="116">
        <f>'Digitar aqui Notas e Pesos'!Q115</f>
        <v>0</v>
      </c>
      <c r="V115" s="553">
        <f>IF(AND(T115&lt;&gt;0,U115&lt;&gt;0,$C115&lt;&gt;0),(T115*letrapeso(T116)*$A$145+U115*letrapeso(U116)*$A$146)/(letrapeso(T116)*$A$145+letrapeso(U116)*$A$146),0)</f>
        <v>0</v>
      </c>
      <c r="W115" s="115">
        <f>'Digitar aqui Notas e Pesos'!S115</f>
        <v>0</v>
      </c>
      <c r="X115" s="116">
        <f>'Digitar aqui Notas e Pesos'!T115</f>
        <v>0</v>
      </c>
      <c r="Y115" s="553">
        <f>IF(AND(W115&lt;&gt;0,X115&lt;&gt;0,$C115&lt;&gt;0),(W115*letrapeso(W116)*$A$145+X115*letrapeso(X116)*$A$146)/(letrapeso(W116)*$A$145+letrapeso(X116)*$A$146),0)</f>
        <v>0</v>
      </c>
      <c r="Z115" s="115">
        <f>'Digitar aqui Notas e Pesos'!V115</f>
        <v>0</v>
      </c>
      <c r="AA115" s="116">
        <f>'Digitar aqui Notas e Pesos'!W115</f>
        <v>0</v>
      </c>
      <c r="AB115" s="553">
        <f>IF(AND(Z115&lt;&gt;0,AA115&lt;&gt;0,$C115&lt;&gt;0),(Z115*letrapeso(Z116)*$A$145+AA115*letrapeso(AA116)*$A$146)/(letrapeso(Z116)*$A$145+letrapeso(AA116)*$A$146),0)</f>
        <v>0</v>
      </c>
      <c r="AC115" s="115">
        <f>'Digitar aqui Notas e Pesos'!Y115</f>
        <v>0</v>
      </c>
      <c r="AD115" s="116">
        <f>'Digitar aqui Notas e Pesos'!Z115</f>
        <v>0</v>
      </c>
      <c r="AE115" s="553">
        <f>IF(AND(AC115&lt;&gt;0,AD115&lt;&gt;0,$C115&lt;&gt;0),(AC115*letrapeso(AC116)*$A$145+AD115*letrapeso(AD116)*$A$146)/(letrapeso(AC116)*$A$145+letrapeso(AD116)*$A$146),0)</f>
        <v>0</v>
      </c>
      <c r="AF115" s="115">
        <f>'Digitar aqui Notas e Pesos'!AB115</f>
        <v>0</v>
      </c>
      <c r="AG115" s="116">
        <f>'Digitar aqui Notas e Pesos'!AC115</f>
        <v>0</v>
      </c>
      <c r="AH115" s="573">
        <f>IF(AND(AF115&lt;&gt;0,AG115&lt;&gt;0,$C115&lt;&gt;0),(AF115*letrapeso(AF116)*$A$145+AG115*letrapeso(AG116)*$A$146)/(letrapeso(AF116)*$A$145+letrapeso(AG116)*$A$146),0)</f>
        <v>0</v>
      </c>
      <c r="AI115" s="8" t="str">
        <f>IF(letrapeso(C115),"Imprime","Não Imprime")</f>
        <v>Não Imprime</v>
      </c>
      <c r="AJ115" s="14" t="s">
        <v>28</v>
      </c>
      <c r="AK115" s="129">
        <f>G115*letrapeso(G116)*letrapeso($C115)</f>
        <v>0</v>
      </c>
      <c r="AL115" s="129">
        <f>H115*letrapeso(H116)*letrapeso($C115)</f>
        <v>0</v>
      </c>
      <c r="AM115" s="129">
        <f>J115*letrapeso(G116)*letrapeso($C115)</f>
        <v>0</v>
      </c>
      <c r="AN115" s="129">
        <f>K115*letrapeso(K116)*letrapeso($C115)</f>
        <v>0</v>
      </c>
      <c r="AO115" s="129">
        <f>L115*letrapeso(L116)*letrapeso($C115)</f>
        <v>0</v>
      </c>
      <c r="AP115" s="131"/>
      <c r="AQ115" s="129">
        <f>N115*letrapeso(N116)*letrapeso($C115)</f>
        <v>0</v>
      </c>
      <c r="AR115" s="129">
        <f>O115*letrapeso(O116)*letrapeso($C115)</f>
        <v>0</v>
      </c>
      <c r="AS115" s="131"/>
      <c r="AT115" s="129">
        <f>Q115*letrapeso(Q116)*letrapeso($C115)</f>
        <v>0</v>
      </c>
      <c r="AU115" s="129">
        <f>R115*letrapeso(R116)*letrapeso($C115)</f>
        <v>0</v>
      </c>
      <c r="AV115" s="131"/>
      <c r="AW115" s="129">
        <f>T115*letrapeso(T116)*letrapeso($C115)</f>
        <v>0</v>
      </c>
      <c r="AX115" s="129">
        <f>U115*letrapeso(U116)*letrapeso($C115)</f>
        <v>0</v>
      </c>
      <c r="AY115" s="131"/>
      <c r="AZ115" s="129">
        <f>W115*letrapeso(W116)*letrapeso($C115)</f>
        <v>0</v>
      </c>
      <c r="BA115" s="129">
        <f>X115*letrapeso(X116)*letrapeso($C115)</f>
        <v>0</v>
      </c>
      <c r="BB115" s="131"/>
      <c r="BC115" s="129">
        <f>Z115*letrapeso(Z116)*letrapeso($C115)</f>
        <v>0</v>
      </c>
      <c r="BD115" s="129">
        <f>AA115*letrapeso(AA116)*letrapeso($C115)</f>
        <v>0</v>
      </c>
      <c r="BE115" s="131"/>
      <c r="BF115" s="129">
        <f>AC115*letrapeso(AC116)*letrapeso($C115)</f>
        <v>0</v>
      </c>
      <c r="BG115" s="129">
        <f>AD115*letrapeso(AD116)*letrapeso($C115)</f>
        <v>0</v>
      </c>
      <c r="BH115" s="131"/>
      <c r="BI115" s="129">
        <f>AF115*letrapeso(AF116)*letrapeso($C115)</f>
        <v>0</v>
      </c>
      <c r="BJ115" s="129">
        <f>AG115*letrapeso(AG116)*letrapeso($C115)</f>
        <v>0</v>
      </c>
      <c r="BK115" s="131"/>
      <c r="BL115" s="171">
        <f>letrapeso(G116)</f>
        <v>0</v>
      </c>
      <c r="BM115" s="171">
        <f>letrapeso(H116)</f>
        <v>0</v>
      </c>
      <c r="BN115" s="41"/>
      <c r="BO115" s="171">
        <f>letrapeso(K116)</f>
        <v>0</v>
      </c>
      <c r="BP115" s="171">
        <f>letrapeso(L116)</f>
        <v>0</v>
      </c>
      <c r="BQ115" s="41"/>
      <c r="BR115" s="171">
        <f>letrapeso(N116)</f>
        <v>0</v>
      </c>
      <c r="BS115" s="171">
        <f>letrapeso(O116)</f>
        <v>0</v>
      </c>
      <c r="BT115" s="41"/>
      <c r="BU115" s="171">
        <f>letrapeso(Q116)</f>
        <v>0</v>
      </c>
      <c r="BV115" s="171">
        <f>letrapeso(R116)</f>
        <v>0</v>
      </c>
      <c r="BW115" s="41"/>
      <c r="BX115" s="171">
        <f>letrapeso(T116)</f>
        <v>0</v>
      </c>
      <c r="BY115" s="171">
        <f>letrapeso(U116)</f>
        <v>0</v>
      </c>
      <c r="BZ115" s="41"/>
      <c r="CA115" s="171">
        <f>letrapeso(W116)</f>
        <v>0</v>
      </c>
      <c r="CB115" s="171">
        <f>letrapeso(X116)</f>
        <v>0</v>
      </c>
      <c r="CC115" s="41"/>
      <c r="CD115" s="171">
        <f>letrapeso(Z116)</f>
        <v>0</v>
      </c>
      <c r="CE115" s="171">
        <f>letrapeso(AA116)</f>
        <v>0</v>
      </c>
      <c r="CF115" s="41"/>
      <c r="CG115" s="171">
        <f>letrapeso(AC116)</f>
        <v>0</v>
      </c>
      <c r="CH115" s="171">
        <f>letrapeso(AD116)</f>
        <v>0</v>
      </c>
      <c r="CI115" s="41"/>
      <c r="CJ115" s="171">
        <f>letrapeso(AF116)</f>
        <v>0</v>
      </c>
      <c r="CK115" s="171">
        <f>letrapeso(AG116)</f>
        <v>0</v>
      </c>
      <c r="CL115" s="41"/>
      <c r="CM115" s="41">
        <f>IF(ISTEXT($C115),(BL115+BO115+BR115+BU115+BX115+CA115+CD115+CG115+CJ115),0)</f>
        <v>0</v>
      </c>
      <c r="CN115" s="41">
        <f>IF(ISTEXT($C115),(BM115+BP115+BS115+BV115+BY115+CB115+CE115+CH115+CK115),0)</f>
        <v>0</v>
      </c>
    </row>
    <row r="116" spans="1:92" ht="15.75" hidden="1" thickBot="1" x14ac:dyDescent="0.25">
      <c r="A116" s="537" t="str">
        <f>TEXT(D115,"0,00")&amp;"       "&amp;TEXT(E115,"0,00")&amp;"       "&amp;TEXT(F115,"0,00")</f>
        <v>0,00       0,00       0,00</v>
      </c>
      <c r="B116" s="538"/>
      <c r="C116" s="233"/>
      <c r="D116" s="210"/>
      <c r="E116" s="208"/>
      <c r="F116" s="209"/>
      <c r="G116" s="231" t="str">
        <f>PEsoLetra('Digitar aqui Notas e Pesos'!D116)</f>
        <v/>
      </c>
      <c r="H116" s="232" t="str">
        <f>PEsoLetra('Digitar aqui Notas e Pesos'!E116)</f>
        <v/>
      </c>
      <c r="I116" s="565"/>
      <c r="J116" s="491"/>
      <c r="K116" s="231" t="str">
        <f>PEsoLetra('Digitar aqui Notas e Pesos'!G116)</f>
        <v/>
      </c>
      <c r="L116" s="232" t="str">
        <f>PEsoLetra('Digitar aqui Notas e Pesos'!H116)</f>
        <v/>
      </c>
      <c r="M116" s="553"/>
      <c r="N116" s="231" t="str">
        <f>PEsoLetra('Digitar aqui Notas e Pesos'!J116)</f>
        <v/>
      </c>
      <c r="O116" s="232" t="str">
        <f>PEsoLetra('Digitar aqui Notas e Pesos'!K116)</f>
        <v/>
      </c>
      <c r="P116" s="553"/>
      <c r="Q116" s="231" t="str">
        <f>PEsoLetra('Digitar aqui Notas e Pesos'!M116)</f>
        <v/>
      </c>
      <c r="R116" s="232" t="str">
        <f>PEsoLetra('Digitar aqui Notas e Pesos'!N116)</f>
        <v/>
      </c>
      <c r="S116" s="553"/>
      <c r="T116" s="231" t="str">
        <f>PEsoLetra('Digitar aqui Notas e Pesos'!P116)</f>
        <v/>
      </c>
      <c r="U116" s="232" t="str">
        <f>PEsoLetra('Digitar aqui Notas e Pesos'!Q116)</f>
        <v/>
      </c>
      <c r="V116" s="553"/>
      <c r="W116" s="231" t="str">
        <f>PEsoLetra('Digitar aqui Notas e Pesos'!S116)</f>
        <v/>
      </c>
      <c r="X116" s="232" t="str">
        <f>PEsoLetra('Digitar aqui Notas e Pesos'!T116)</f>
        <v/>
      </c>
      <c r="Y116" s="553"/>
      <c r="Z116" s="231" t="str">
        <f>PEsoLetra('Digitar aqui Notas e Pesos'!V116)</f>
        <v/>
      </c>
      <c r="AA116" s="232" t="str">
        <f>PEsoLetra('Digitar aqui Notas e Pesos'!W116)</f>
        <v/>
      </c>
      <c r="AB116" s="553"/>
      <c r="AC116" s="231" t="str">
        <f>PEsoLetra('Digitar aqui Notas e Pesos'!Y116)</f>
        <v/>
      </c>
      <c r="AD116" s="232" t="str">
        <f>PEsoLetra('Digitar aqui Notas e Pesos'!Z116)</f>
        <v/>
      </c>
      <c r="AE116" s="553"/>
      <c r="AF116" s="231" t="str">
        <f>PEsoLetra('Digitar aqui Notas e Pesos'!AB116)</f>
        <v/>
      </c>
      <c r="AG116" s="232" t="str">
        <f>PEsoLetra('Digitar aqui Notas e Pesos'!AC116)</f>
        <v/>
      </c>
      <c r="AH116" s="573"/>
      <c r="AI116" s="19" t="str">
        <f>+AI115</f>
        <v>Não Imprime</v>
      </c>
      <c r="AJ116" s="18" t="s">
        <v>29</v>
      </c>
      <c r="AK116" s="132">
        <f>IF(ISTEXT($C101),(letrapeso(G104)*letrapeso($C103)+letrapeso(G106)*letrapeso($C105)+letrapeso(G108)*letrapeso($C107)+letrapeso(G110)*letrapeso($C109)+letrapeso(G112)*letrapeso($C111)+letrapeso(G114)*letrapeso($C113)+letrapeso(G116)*letrapeso($C115))/(letrapeso($C103)+letrapeso($C105)+letrapeso($C107)+letrapeso($C109)+letrapeso($C111)+letrapeso($C113)+letrapeso($C115)),0)</f>
        <v>0</v>
      </c>
      <c r="AL116" s="132">
        <f>IF(ISTEXT($C101),(letrapeso(H104)*letrapeso($C103)+letrapeso(H106)*letrapeso($C105)+letrapeso(H108)*letrapeso($C107)+letrapeso(H110)*letrapeso($C109)+letrapeso(H112)*letrapeso($C111)+letrapeso(H114)*letrapeso($C113)+letrapeso(H116)*letrapeso($C115))/(letrapeso($C103)+letrapeso($C105)+letrapeso($C107)+letrapeso($C109)+letrapeso($C111)+letrapeso($C113)+letrapeso($C115)),0)</f>
        <v>0</v>
      </c>
      <c r="AM116" s="132">
        <f>IF(ISTEXT($C101),(letrapeso(G104)*letrapeso($C103)+letrapeso(G106)*letrapeso($C105)+letrapeso(G108)*letrapeso($C107)+letrapeso(G110)*letrapeso($C109)+letrapeso(G112)*letrapeso($C111)+letrapeso(G114)*letrapeso($C113)+letrapeso(G116)*letrapeso($C115))/(letrapeso($C103)+letrapeso($C105)+letrapeso($C107)+letrapeso($C109)+letrapeso($C111)+letrapeso($C113)+letrapeso($C115)),0)</f>
        <v>0</v>
      </c>
      <c r="AN116" s="132">
        <f>IF(ISTEXT($C101),(letrapeso(K104)*letrapeso($C103)+letrapeso(K106)*letrapeso($C105)+letrapeso(K108)*letrapeso($C107)+letrapeso(K110)*letrapeso($C109)+letrapeso(K112)*letrapeso($C111)+letrapeso(K114)*letrapeso($C113)+letrapeso(K116)*letrapeso($C115))/(letrapeso($C103)+letrapeso($C105)+letrapeso($C107)+letrapeso($C109)+letrapeso($C111)+letrapeso($C113)+letrapeso($C115)),0)</f>
        <v>0</v>
      </c>
      <c r="AO116" s="132">
        <f>IF(ISTEXT($C101),(letrapeso(L104)*letrapeso($C103)+letrapeso(L106)*letrapeso($C105)+letrapeso(L108)*letrapeso($C107)+letrapeso(L110)*letrapeso($C109)+letrapeso(L112)*letrapeso($C111)+letrapeso(L114)*letrapeso($C113)+letrapeso(L116)*letrapeso($C115))/(letrapeso($C103)+letrapeso($C105)+letrapeso($C107)+letrapeso($C109)+letrapeso($C111)+letrapeso($C113)+letrapeso($C115)),0)</f>
        <v>0</v>
      </c>
      <c r="AP116" s="131"/>
      <c r="AQ116" s="132">
        <f>IF(ISTEXT($C101),(letrapeso(N104)*letrapeso($C103)+letrapeso(N106)*letrapeso($C105)+letrapeso(N108)*letrapeso($C107)+letrapeso(N110)*letrapeso($C109)+letrapeso(N112)*letrapeso($C111)+letrapeso(N114)*letrapeso($C113)+letrapeso(N116)*letrapeso($C115))/(letrapeso($C103)+letrapeso($C105)+letrapeso($C107)+letrapeso($C109)+letrapeso($C111)+letrapeso($C113)+letrapeso($C115)),0)</f>
        <v>0</v>
      </c>
      <c r="AR116" s="132">
        <f>IF(ISTEXT($C101),(letrapeso(O104)*letrapeso($C103)+letrapeso(O106)*letrapeso($C105)+letrapeso(O108)*letrapeso($C107)+letrapeso(O110)*letrapeso($C109)+letrapeso(O112)*letrapeso($C111)+letrapeso(O114)*letrapeso($C113)+letrapeso(O116)*letrapeso($C115))/(letrapeso($C103)+letrapeso($C105)+letrapeso($C107)+letrapeso($C109)+letrapeso($C111)+letrapeso($C113)+letrapeso($C115)),0)</f>
        <v>0</v>
      </c>
      <c r="AS116" s="131"/>
      <c r="AT116" s="132">
        <f>IF(ISTEXT($C101),(letrapeso(Q104)*letrapeso($C103)+letrapeso(Q106)*letrapeso($C105)+letrapeso(Q108)*letrapeso($C107)+letrapeso(Q110)*letrapeso($C109)+letrapeso(Q112)*letrapeso($C111)+letrapeso(Q114)*letrapeso($C113)+letrapeso(Q116)*letrapeso($C115))/(letrapeso($C103)+letrapeso($C105)+letrapeso($C107)+letrapeso($C109)+letrapeso($C111)+letrapeso($C113)+letrapeso($C115)),0)</f>
        <v>8</v>
      </c>
      <c r="AU116" s="132">
        <f>IF(ISTEXT($C101),(letrapeso(R104)*letrapeso($C103)+letrapeso(R106)*letrapeso($C105)+letrapeso(R108)*letrapeso($C107)+letrapeso(R110)*letrapeso($C109)+letrapeso(R112)*letrapeso($C111)+letrapeso(R114)*letrapeso($C113)+letrapeso(R116)*letrapeso($C115))/(letrapeso($C103)+letrapeso($C105)+letrapeso($C107)+letrapeso($C109)+letrapeso($C111)+letrapeso($C113)+letrapeso($C115)),0)</f>
        <v>8</v>
      </c>
      <c r="AV116" s="131"/>
      <c r="AW116" s="132">
        <f>IF(ISTEXT($C101),(letrapeso(T104)*letrapeso($C103)+letrapeso(T106)*letrapeso($C105)+letrapeso(T108)*letrapeso($C107)+letrapeso(T110)*letrapeso($C109)+letrapeso(T112)*letrapeso($C111)+letrapeso(T114)*letrapeso($C113)+letrapeso(T116)*letrapeso($C115))/(letrapeso($C103)+letrapeso($C105)+letrapeso($C107)+letrapeso($C109)+letrapeso($C111)+letrapeso($C113)+letrapeso($C115)),0)</f>
        <v>0</v>
      </c>
      <c r="AX116" s="132">
        <f>IF(ISTEXT($C101),(letrapeso(U104)*letrapeso($C103)+letrapeso(U106)*letrapeso($C105)+letrapeso(U108)*letrapeso($C107)+letrapeso(U110)*letrapeso($C109)+letrapeso(U112)*letrapeso($C111)+letrapeso(U114)*letrapeso($C113)+letrapeso(U116)*letrapeso($C115))/(letrapeso($C103)+letrapeso($C105)+letrapeso($C107)+letrapeso($C109)+letrapeso($C111)+letrapeso($C113)+letrapeso($C115)),0)</f>
        <v>0</v>
      </c>
      <c r="AY116" s="131"/>
      <c r="AZ116" s="132">
        <f>IF(ISTEXT($C101),(letrapeso(W104)*letrapeso($C103)+letrapeso(W106)*letrapeso($C105)+letrapeso(W108)*letrapeso($C107)+letrapeso(W110)*letrapeso($C109)+letrapeso(W112)*letrapeso($C111)+letrapeso(W114)*letrapeso($C113)+letrapeso(W116)*letrapeso($C115))/(letrapeso($C103)+letrapeso($C105)+letrapeso($C107)+letrapeso($C109)+letrapeso($C111)+letrapeso($C113)+letrapeso($C115)),0)</f>
        <v>0</v>
      </c>
      <c r="BA116" s="132">
        <f>IF(ISTEXT($C101),(letrapeso(X104)*letrapeso($C103)+letrapeso(X106)*letrapeso($C105)+letrapeso(X108)*letrapeso($C107)+letrapeso(X110)*letrapeso($C109)+letrapeso(X112)*letrapeso($C111)+letrapeso(X114)*letrapeso($C113)+letrapeso(X116)*letrapeso($C115))/(letrapeso($C103)+letrapeso($C105)+letrapeso($C107)+letrapeso($C109)+letrapeso($C111)+letrapeso($C113)+letrapeso($C115)),0)</f>
        <v>0</v>
      </c>
      <c r="BB116" s="131"/>
      <c r="BC116" s="132">
        <f>IF(ISTEXT($C101),(letrapeso(Z104)*letrapeso($C103)+letrapeso(Z106)*letrapeso($C105)+letrapeso(Z108)*letrapeso($C107)+letrapeso(Z110)*letrapeso($C109)+letrapeso(Z112)*letrapeso($C111)+letrapeso(Z114)*letrapeso($C113)+letrapeso(Z116)*letrapeso($C115))/(letrapeso($C103)+letrapeso($C105)+letrapeso($C107)+letrapeso($C109)+letrapeso($C111)+letrapeso($C113)+letrapeso($C115)),0)</f>
        <v>0</v>
      </c>
      <c r="BD116" s="132">
        <f>IF(ISTEXT($C101),(letrapeso(AA104)*letrapeso($C103)+letrapeso(AA106)*letrapeso($C105)+letrapeso(AA108)*letrapeso($C107)+letrapeso(AA110)*letrapeso($C109)+letrapeso(AA112)*letrapeso($C111)+letrapeso(AA114)*letrapeso($C113)+letrapeso(AA116)*letrapeso($C115))/(letrapeso($C103)+letrapeso($C105)+letrapeso($C107)+letrapeso($C109)+letrapeso($C111)+letrapeso($C113)+letrapeso($C115)),0)</f>
        <v>0</v>
      </c>
      <c r="BE116" s="131"/>
      <c r="BF116" s="132">
        <f>IF(ISTEXT($C101),(letrapeso(AC104)*letrapeso($C103)+letrapeso(AC106)*letrapeso($C105)+letrapeso(AC108)*letrapeso($C107)+letrapeso(AC110)*letrapeso($C109)+letrapeso(AC112)*letrapeso($C111)+letrapeso(AC114)*letrapeso($C113)+letrapeso(AC116)*letrapeso($C115))/(letrapeso($C103)+letrapeso($C105)+letrapeso($C107)+letrapeso($C109)+letrapeso($C111)+letrapeso($C113)+letrapeso($C115)),0)</f>
        <v>0</v>
      </c>
      <c r="BG116" s="132">
        <f>IF(ISTEXT($C101),(letrapeso(AD104)*letrapeso($C103)+letrapeso(AD106)*letrapeso($C105)+letrapeso(AD108)*letrapeso($C107)+letrapeso(AD110)*letrapeso($C109)+letrapeso(AD112)*letrapeso($C111)+letrapeso(AD114)*letrapeso($C113)+letrapeso(AD116)*letrapeso($C115))/(letrapeso($C103)+letrapeso($C105)+letrapeso($C107)+letrapeso($C109)+letrapeso($C111)+letrapeso($C113)+letrapeso($C115)),0)</f>
        <v>0</v>
      </c>
      <c r="BH116" s="131"/>
      <c r="BI116" s="132">
        <f>IF(ISTEXT($C101),(letrapeso(AF104)*letrapeso($C103)+letrapeso(AF106)*letrapeso($C105)+letrapeso(AF108)*letrapeso($C107)+letrapeso(AF110)*letrapeso($C109)+letrapeso(AF112)*letrapeso($C111)+letrapeso(AF114)*letrapeso($C113)+letrapeso(AF116)*letrapeso($C115))/(letrapeso($C103)+letrapeso($C105)+letrapeso($C107)+letrapeso($C109)+letrapeso($C111)+letrapeso($C113)+letrapeso($C115)),0)</f>
        <v>0</v>
      </c>
      <c r="BJ116" s="132">
        <f>IF(ISTEXT($C101),(letrapeso(AG104)*letrapeso($C103)+letrapeso(AG106)*letrapeso($C105)+letrapeso(AG108)*letrapeso($C107)+letrapeso(AG110)*letrapeso($C109)+letrapeso(AG112)*letrapeso($C111)+letrapeso(AG114)*letrapeso($C113)+letrapeso(AG116)*letrapeso($C115))/(letrapeso($C103)+letrapeso($C105)+letrapeso($C107)+letrapeso($C109)+letrapeso($C111)+letrapeso($C113)+letrapeso($C115)),0)</f>
        <v>0</v>
      </c>
      <c r="BK116" s="131"/>
    </row>
    <row r="117" spans="1:92" ht="15.75" hidden="1" thickBot="1" x14ac:dyDescent="0.25">
      <c r="A117" s="191" t="str">
        <f>'Digitar aqui Notas e Pesos'!A117</f>
        <v>Nome da Unidade 8</v>
      </c>
      <c r="B117" s="192"/>
      <c r="C117" s="193">
        <f>IF('Digitar aqui Notas e Pesos'!C117,PEsoLetra('Digitar aqui Notas e Pesos'!C117),0)</f>
        <v>0</v>
      </c>
      <c r="D117" s="213">
        <f>IF(letrapeso(C117),(letrapeso($C119)*D119+letrapeso($C121)*D121+letrapeso($C123)*D123+letrapeso($C125)*D125+letrapeso($C127)*D127+letrapeso($C129)*D129+letrapeso($C131)*D131)/(letrapeso($C119)+letrapeso($C121)+letrapeso($C123)+letrapeso($C125)+letrapeso($C127)+letrapeso($C129)+letrapeso($C131)),0)</f>
        <v>0</v>
      </c>
      <c r="E117" s="214">
        <f>IF(letrapeso(C117),(letrapeso($C119)*E119+letrapeso($C121)*E121+letrapeso($C123)*E123+letrapeso($C125)*E125+letrapeso($C127)*E127+letrapeso($C129)*E129+letrapeso($C131)*E131)/(letrapeso($C119)+letrapeso($C121)+letrapeso($C123)+letrapeso($C125)+letrapeso($C127)+letrapeso($C129)+letrapeso($C131)),0)</f>
        <v>0</v>
      </c>
      <c r="F117" s="215">
        <f>IF(letrapeso(C117),(letrapeso($C119)*F119+letrapeso($C121)*F121+letrapeso($C123)*F123+letrapeso($C125)*F125+letrapeso($C127)*F127+letrapeso($C129)*F129+letrapeso($C131)*F131)/(letrapeso($C119)+letrapeso($C121)+letrapeso($C123)+letrapeso($C125)+letrapeso($C127)+letrapeso($C129)+letrapeso($C131)),0)</f>
        <v>0</v>
      </c>
      <c r="G117" s="220"/>
      <c r="H117" s="221"/>
      <c r="I117" s="222"/>
      <c r="J117" s="489"/>
      <c r="K117" s="220"/>
      <c r="L117" s="221"/>
      <c r="M117" s="222"/>
      <c r="N117" s="220"/>
      <c r="O117" s="221"/>
      <c r="P117" s="222"/>
      <c r="Q117" s="220"/>
      <c r="R117" s="221"/>
      <c r="S117" s="222"/>
      <c r="T117" s="220"/>
      <c r="U117" s="221"/>
      <c r="V117" s="222"/>
      <c r="W117" s="220"/>
      <c r="X117" s="221"/>
      <c r="Y117" s="222"/>
      <c r="Z117" s="220"/>
      <c r="AA117" s="221"/>
      <c r="AB117" s="222"/>
      <c r="AC117" s="220"/>
      <c r="AD117" s="221"/>
      <c r="AE117" s="222"/>
      <c r="AF117" s="220"/>
      <c r="AG117" s="221"/>
      <c r="AH117" s="223"/>
      <c r="AI117" s="8" t="str">
        <f>IF(letrapeso(C117),"Imprime","Não Imprime")</f>
        <v>Não Imprime</v>
      </c>
      <c r="AJ117" s="15"/>
      <c r="AK117" s="133"/>
      <c r="AL117" s="133"/>
      <c r="AM117" s="133"/>
      <c r="AN117" s="133"/>
      <c r="AO117" s="133"/>
      <c r="AP117" s="134"/>
      <c r="AQ117" s="133"/>
      <c r="AR117" s="133"/>
      <c r="AS117" s="134"/>
      <c r="AT117" s="133"/>
      <c r="AU117" s="133"/>
      <c r="AV117" s="134"/>
      <c r="AW117" s="133"/>
      <c r="AX117" s="133"/>
      <c r="AY117" s="134"/>
      <c r="AZ117" s="133"/>
      <c r="BA117" s="133"/>
      <c r="BB117" s="134"/>
      <c r="BC117" s="133"/>
      <c r="BD117" s="133"/>
      <c r="BE117" s="134"/>
      <c r="BF117" s="133"/>
      <c r="BG117" s="133"/>
      <c r="BH117" s="134"/>
      <c r="BI117" s="133"/>
      <c r="BJ117" s="133"/>
      <c r="BK117" s="134"/>
    </row>
    <row r="118" spans="1:92" ht="15.75" hidden="1" thickBot="1" x14ac:dyDescent="0.25">
      <c r="A118" s="567"/>
      <c r="B118" s="568"/>
      <c r="C118" s="228"/>
      <c r="D118" s="214"/>
      <c r="E118" s="214"/>
      <c r="F118" s="215"/>
      <c r="G118" s="224"/>
      <c r="H118" s="225"/>
      <c r="I118" s="226"/>
      <c r="J118" s="490"/>
      <c r="K118" s="224"/>
      <c r="L118" s="225"/>
      <c r="M118" s="226"/>
      <c r="N118" s="224"/>
      <c r="O118" s="225"/>
      <c r="P118" s="226"/>
      <c r="Q118" s="224"/>
      <c r="R118" s="225"/>
      <c r="S118" s="226"/>
      <c r="T118" s="224"/>
      <c r="U118" s="225"/>
      <c r="V118" s="226"/>
      <c r="W118" s="224"/>
      <c r="X118" s="225"/>
      <c r="Y118" s="226"/>
      <c r="Z118" s="224"/>
      <c r="AA118" s="225"/>
      <c r="AB118" s="226"/>
      <c r="AC118" s="224"/>
      <c r="AD118" s="225"/>
      <c r="AE118" s="226"/>
      <c r="AF118" s="224"/>
      <c r="AG118" s="225"/>
      <c r="AH118" s="227"/>
      <c r="AI118" s="19" t="str">
        <f>+AI117</f>
        <v>Não Imprime</v>
      </c>
      <c r="AJ118" s="15" t="s">
        <v>26</v>
      </c>
      <c r="AK118" s="128">
        <f>IF(SUM(AK119:AK131),SUM(AK119:AK131)/(letrapeso(G120)*letrapeso($C119)+letrapeso(G122)*letrapeso($C121)+letrapeso(G124)*letrapeso($C123)+letrapeso(G126)*letrapeso($C125)+letrapeso(G128)*letrapeso($C127)+letrapeso(G130)*letrapeso($C129)+letrapeso(G132)*letrapeso($C131)),0)</f>
        <v>0</v>
      </c>
      <c r="AL118" s="128">
        <f>IF(SUM(AL119:AL131),SUM(AL119:AL131)/(letrapeso(H120)*letrapeso($C119)+letrapeso(H122)*letrapeso($C121)+letrapeso(H124)*letrapeso($C123)+letrapeso(H126)*letrapeso($C125)+letrapeso(H128)*letrapeso($C127)+letrapeso(H130)*letrapeso($C129)+letrapeso(H132)*letrapeso($C131)),0)</f>
        <v>0</v>
      </c>
      <c r="AM118" s="128">
        <f>IF(SUM(AM119:AM131),SUM(AM119:AM131)/(letrapeso(G120)*letrapeso($C119)+letrapeso(G122)*letrapeso($C121)+letrapeso(G124)*letrapeso($C123)+letrapeso(G126)*letrapeso($C125)+letrapeso(G128)*letrapeso($C127)+letrapeso(G130)*letrapeso($C129)+letrapeso(G132)*letrapeso($C131)),0)</f>
        <v>0</v>
      </c>
      <c r="AN118" s="128">
        <f>IF(SUM(AN119:AN131),SUM(AN119:AN131)/(letrapeso(K120)*letrapeso($C119)+letrapeso(K122)*letrapeso($C121)+letrapeso(K124)*letrapeso($C123)+letrapeso(K126)*letrapeso($C125)+letrapeso(K128)*letrapeso($C127)+letrapeso(K130)*letrapeso($C129)+letrapeso(K132)*letrapeso($C131)),0)</f>
        <v>0</v>
      </c>
      <c r="AO118" s="128">
        <f>IF(SUM(AO119:AO131),SUM(AO119:AO131)/(letrapeso(L120)*letrapeso($C119)+letrapeso(L122)*letrapeso($C121)+letrapeso(L124)*letrapeso($C123)+letrapeso(L126)*letrapeso($C125)+letrapeso(L128)*letrapeso($C127)+letrapeso(L130)*letrapeso($C129)+letrapeso(L132)*letrapeso($C131)),0)</f>
        <v>0</v>
      </c>
      <c r="AQ118" s="128">
        <f>IF(SUM(AQ119:AQ131),SUM(AQ119:AQ131)/(letrapeso(N120)*letrapeso($C119)+letrapeso(N122)*letrapeso($C121)+letrapeso(N124)*letrapeso($C123)+letrapeso(N126)*letrapeso($C125)+letrapeso(N128)*letrapeso($C127)+letrapeso(N130)*letrapeso($C129)+letrapeso(N132)*letrapeso($C131)),0)</f>
        <v>0</v>
      </c>
      <c r="AR118" s="128">
        <f>IF(SUM(AR119:AR131),SUM(AR119:AR131)/(letrapeso(O120)*letrapeso($C119)+letrapeso(O122)*letrapeso($C121)+letrapeso(O124)*letrapeso($C123)+letrapeso(O126)*letrapeso($C125)+letrapeso(O128)*letrapeso($C127)+letrapeso(O130)*letrapeso($C129)+letrapeso(O132)*letrapeso($C131)),0)</f>
        <v>0</v>
      </c>
      <c r="AS118" s="28"/>
      <c r="AT118" s="128">
        <f>IF(SUM(AT119:AT131),SUM(AT119:AT131)/(letrapeso(Q120)*letrapeso($C119)+letrapeso(Q122)*letrapeso($C121)+letrapeso(Q124)*letrapeso($C123)+letrapeso(Q126)*letrapeso($C125)+letrapeso(Q128)*letrapeso($C127)+letrapeso(Q130)*letrapeso($C129)+letrapeso(Q132)*letrapeso($C131)),0)</f>
        <v>0</v>
      </c>
      <c r="AU118" s="128">
        <f>IF(SUM(AU119:AU131),SUM(AU119:AU131)/(letrapeso(R120)*letrapeso($C119)+letrapeso(R122)*letrapeso($C121)+letrapeso(R124)*letrapeso($C123)+letrapeso(R126)*letrapeso($C125)+letrapeso(R128)*letrapeso($C127)+letrapeso(R130)*letrapeso($C129)+letrapeso(R132)*letrapeso($C131)),0)</f>
        <v>0</v>
      </c>
      <c r="AV118" s="28"/>
      <c r="AW118" s="128">
        <f>IF(SUM(AW119:AW131),SUM(AW119:AW131)/(letrapeso(T120)*letrapeso($C119)+letrapeso(T122)*letrapeso($C121)+letrapeso(T124)*letrapeso($C123)+letrapeso(T126)*letrapeso($C125)+letrapeso(T128)*letrapeso($C127)+letrapeso(T130)*letrapeso($C129)+letrapeso(T132)*letrapeso($C131)),0)</f>
        <v>0</v>
      </c>
      <c r="AX118" s="128">
        <f>IF(SUM(AX119:AX131),SUM(AX119:AX131)/(letrapeso(U120)*letrapeso($C119)+letrapeso(U122)*letrapeso($C121)+letrapeso(U124)*letrapeso($C123)+letrapeso(U126)*letrapeso($C125)+letrapeso(U128)*letrapeso($C127)+letrapeso(U130)*letrapeso($C129)+letrapeso(U132)*letrapeso($C131)),0)</f>
        <v>0</v>
      </c>
      <c r="AY118" s="28"/>
      <c r="AZ118" s="128">
        <f>IF(SUM(AZ119:AZ131),SUM(AZ119:AZ131)/(letrapeso(W120)*letrapeso($C119)+letrapeso(W122)*letrapeso($C121)+letrapeso(W124)*letrapeso($C123)+letrapeso(W126)*letrapeso($C125)+letrapeso(W128)*letrapeso($C127)+letrapeso(W130)*letrapeso($C129)+letrapeso(W132)*letrapeso($C131)),0)</f>
        <v>0</v>
      </c>
      <c r="BA118" s="128">
        <f>IF(SUM(BA119:BA131),SUM(BA119:BA131)/(letrapeso(X120)*letrapeso($C119)+letrapeso(X122)*letrapeso($C121)+letrapeso(X124)*letrapeso($C123)+letrapeso(X126)*letrapeso($C125)+letrapeso(X128)*letrapeso($C127)+letrapeso(X130)*letrapeso($C129)+letrapeso(X132)*letrapeso($C131)),0)</f>
        <v>0</v>
      </c>
      <c r="BB118" s="28"/>
      <c r="BC118" s="128">
        <f>IF(SUM(BC119:BC131),SUM(BC119:BC131)/(letrapeso(Z120)*letrapeso($C119)+letrapeso(Z122)*letrapeso($C121)+letrapeso(Z124)*letrapeso($C123)+letrapeso(Z126)*letrapeso($C125)+letrapeso(Z128)*letrapeso($C127)+letrapeso(Z130)*letrapeso($C129)+letrapeso(Z132)*letrapeso($C131)),0)</f>
        <v>0</v>
      </c>
      <c r="BD118" s="128">
        <f>IF(SUM(BD119:BD131),SUM(BD119:BD131)/(letrapeso(AA120)*letrapeso($C119)+letrapeso(AA122)*letrapeso($C121)+letrapeso(AA124)*letrapeso($C123)+letrapeso(AA126)*letrapeso($C125)+letrapeso(AA128)*letrapeso($C127)+letrapeso(AA130)*letrapeso($C129)+letrapeso(AA132)*letrapeso($C131)),0)</f>
        <v>0</v>
      </c>
      <c r="BE118" s="28"/>
      <c r="BF118" s="128">
        <f>IF(SUM(BF119:BF131),SUM(BF119:BF131)/(letrapeso(AC120)*letrapeso($C119)+letrapeso(AC122)*letrapeso($C121)+letrapeso(AC124)*letrapeso($C123)+letrapeso(AC126)*letrapeso($C125)+letrapeso(AC128)*letrapeso($C127)+letrapeso(AC130)*letrapeso($C129)+letrapeso(AC132)*letrapeso($C131)),0)</f>
        <v>0</v>
      </c>
      <c r="BG118" s="128">
        <f>IF(SUM(BG119:BG131),SUM(BG119:BG131)/(letrapeso(AD120)*letrapeso($C119)+letrapeso(AD122)*letrapeso($C121)+letrapeso(AD124)*letrapeso($C123)+letrapeso(AD126)*letrapeso($C125)+letrapeso(AD128)*letrapeso($C127)+letrapeso(AD130)*letrapeso($C129)+letrapeso(AD132)*letrapeso($C131)),0)</f>
        <v>0</v>
      </c>
      <c r="BH118" s="28"/>
      <c r="BI118" s="128">
        <f>IF(SUM(BI119:BI131),SUM(BI119:BI131)/(letrapeso(AF120)*letrapeso($C119)+letrapeso(AF122)*letrapeso($C121)+letrapeso(AF124)*letrapeso($C123)+letrapeso(AF126)*letrapeso($C125)+letrapeso(AF128)*letrapeso($C127)+letrapeso(AF130)*letrapeso($C129)+letrapeso(AF132)*letrapeso($C131)),0)</f>
        <v>0</v>
      </c>
      <c r="BJ118" s="128">
        <f>IF(SUM(BJ119:BJ131),SUM(BJ119:BJ131)/(letrapeso(AG120)*letrapeso($C119)+letrapeso(AG122)*letrapeso($C121)+letrapeso(AG124)*letrapeso($C123)+letrapeso(AG126)*letrapeso($C125)+letrapeso(AG128)*letrapeso($C127)+letrapeso(AG130)*letrapeso($C129)+letrapeso(AG132)*letrapeso($C131)),0)</f>
        <v>0</v>
      </c>
      <c r="BK118" s="28"/>
    </row>
    <row r="119" spans="1:92" s="41" customFormat="1" ht="15.75" hidden="1" thickBot="1" x14ac:dyDescent="0.25">
      <c r="A119" s="546" t="str">
        <f>'Digitar aqui Notas e Pesos'!A119</f>
        <v>Nome da Atividade 1 da Unidade 8</v>
      </c>
      <c r="B119" s="547"/>
      <c r="C119" s="229">
        <f>IF('Digitar aqui Notas e Pesos'!C119,PEsoLetra('Digitar aqui Notas e Pesos'!C119),0)</f>
        <v>0</v>
      </c>
      <c r="D119" s="208">
        <f>IF(ISTEXT($C119),(G119*letrapeso(G120)+K119*letrapeso(K120)+N119*letrapeso(N120)+Q119*letrapeso(Q120)+T119*letrapeso(T120)+W119*letrapeso(W120)+Z119*letrapeso(Z120)+AC119*letrapeso(AC120)+AF119*letrapeso(AF120))/(letrapeso(G120)+letrapeso(K120)+letrapeso(N120)+letrapeso(Q120)+letrapeso(T120)+letrapeso(W120)+letrapeso(Z120)+letrapeso(AC120)+letrapeso(AF120)),0)</f>
        <v>0</v>
      </c>
      <c r="E119" s="208">
        <f>IF(ISTEXT($C119),(H119*letrapeso(H120)+L119*letrapeso(L120)+O119*letrapeso(O120)+R119*letrapeso(R120)+U119*letrapeso(U120)+X119*letrapeso(X120)+AA119*letrapeso(AA120)+AD119*letrapeso(AD120)+AG119*letrapeso(AG120))/(letrapeso(H120)+letrapeso(L120)+letrapeso(O120)+letrapeso(R120)+letrapeso(U120)+letrapeso(X120)+letrapeso(AA120)+letrapeso(AD120)+letrapeso(AG120)),0)</f>
        <v>0</v>
      </c>
      <c r="F119" s="209">
        <f>IF(ISTEXT($C119),(D119*$A$145+E119*$A$146),0)</f>
        <v>0</v>
      </c>
      <c r="G119" s="259">
        <f>'Digitar aqui Notas e Pesos'!D119</f>
        <v>0</v>
      </c>
      <c r="H119" s="116">
        <f>'Digitar aqui Notas e Pesos'!E119</f>
        <v>0</v>
      </c>
      <c r="I119" s="565">
        <f>IF(AND(G119&lt;&gt;0,H119&lt;&gt;0,$C119&lt;&gt;0),(G119*letrapeso(G120)*$A$145+H119*letrapeso(H120)*$A$146)/(letrapeso(G120)*$A$145+letrapeso(H120)*$A$146),0)</f>
        <v>0</v>
      </c>
      <c r="J119" s="259">
        <f>'Digitar aqui Notas e Pesos'!F119</f>
        <v>0</v>
      </c>
      <c r="K119" s="259">
        <f>'Digitar aqui Notas e Pesos'!G119</f>
        <v>0</v>
      </c>
      <c r="L119" s="116">
        <f>'Digitar aqui Notas e Pesos'!H119</f>
        <v>0</v>
      </c>
      <c r="M119" s="553">
        <f>IF(AND(K119&lt;&gt;0,L119&lt;&gt;0,$C119&lt;&gt;0),(K119*letrapeso(K120)*$A$145+L119*letrapeso(L120)*$A$146)/(letrapeso(K120)*$A$145+letrapeso(L120)*$A$146),0)</f>
        <v>0</v>
      </c>
      <c r="N119" s="259">
        <f>'Digitar aqui Notas e Pesos'!J119</f>
        <v>0</v>
      </c>
      <c r="O119" s="116">
        <f>'Digitar aqui Notas e Pesos'!K119</f>
        <v>0</v>
      </c>
      <c r="P119" s="553">
        <f>IF(AND(N119&lt;&gt;0,O119&lt;&gt;0,$C119&lt;&gt;0),(N119*letrapeso(N120)*$A$145+O119*letrapeso(O120)*$A$146)/(letrapeso(N120)*$A$145+letrapeso(O120)*$A$146),0)</f>
        <v>0</v>
      </c>
      <c r="Q119" s="259">
        <f>'Digitar aqui Notas e Pesos'!M119</f>
        <v>0</v>
      </c>
      <c r="R119" s="116">
        <f>'Digitar aqui Notas e Pesos'!N119</f>
        <v>0</v>
      </c>
      <c r="S119" s="553">
        <f>IF(AND(Q119&lt;&gt;0,R119&lt;&gt;0,$C119&lt;&gt;0),(Q119*letrapeso(Q120)*$A$145+R119*letrapeso(R120)*$A$146)/(letrapeso(Q120)*$A$145+letrapeso(R120)*$A$146),0)</f>
        <v>0</v>
      </c>
      <c r="T119" s="259">
        <f>'Digitar aqui Notas e Pesos'!P119</f>
        <v>0</v>
      </c>
      <c r="U119" s="116">
        <f>'Digitar aqui Notas e Pesos'!Q119</f>
        <v>0</v>
      </c>
      <c r="V119" s="553">
        <f>IF(AND(T119&lt;&gt;0,U119&lt;&gt;0,$C119&lt;&gt;0),(T119*letrapeso(T120)*$A$145+U119*letrapeso(U120)*$A$146)/(letrapeso(T120)*$A$145+letrapeso(U120)*$A$146),0)</f>
        <v>0</v>
      </c>
      <c r="W119" s="259">
        <f>'Digitar aqui Notas e Pesos'!S119</f>
        <v>0</v>
      </c>
      <c r="X119" s="116">
        <f>'Digitar aqui Notas e Pesos'!T119</f>
        <v>0</v>
      </c>
      <c r="Y119" s="553">
        <f>IF(AND(W119&lt;&gt;0,X119&lt;&gt;0,$C119&lt;&gt;0),(W119*letrapeso(W120)*$A$145+X119*letrapeso(X120)*$A$146)/(letrapeso(W120)*$A$145+letrapeso(X120)*$A$146),0)</f>
        <v>0</v>
      </c>
      <c r="Z119" s="259">
        <f>'Digitar aqui Notas e Pesos'!V119</f>
        <v>0</v>
      </c>
      <c r="AA119" s="116">
        <f>'Digitar aqui Notas e Pesos'!W119</f>
        <v>0</v>
      </c>
      <c r="AB119" s="553">
        <f>IF(AND(Z119&lt;&gt;0,AA119&lt;&gt;0,$C119&lt;&gt;0),(Z119*letrapeso(Z120)*$A$145+AA119*letrapeso(AA120)*$A$146)/(letrapeso(Z120)*$A$145+letrapeso(AA120)*$A$146),0)</f>
        <v>0</v>
      </c>
      <c r="AC119" s="259">
        <f>'Digitar aqui Notas e Pesos'!Y119</f>
        <v>0</v>
      </c>
      <c r="AD119" s="116">
        <f>'Digitar aqui Notas e Pesos'!Z119</f>
        <v>0</v>
      </c>
      <c r="AE119" s="553">
        <f>IF(AND(AC119&lt;&gt;0,AD119&lt;&gt;0,$C119&lt;&gt;0),(AC119*letrapeso(AC120)*$A$145+AD119*letrapeso(AD120)*$A$146)/(letrapeso(AC120)*$A$145+letrapeso(AD120)*$A$146),0)</f>
        <v>0</v>
      </c>
      <c r="AF119" s="259">
        <f>'Digitar aqui Notas e Pesos'!AB119</f>
        <v>0</v>
      </c>
      <c r="AG119" s="116">
        <f>'Digitar aqui Notas e Pesos'!AC119</f>
        <v>0</v>
      </c>
      <c r="AH119" s="573">
        <f>IF(AND(AF119&lt;&gt;0,AG119&lt;&gt;0,$C119&lt;&gt;0),(AF119*letrapeso(AF120)*$A$145+AG119*letrapeso(AG120)*$A$146)/(letrapeso(AF120)*$A$145+letrapeso(AG120)*$A$146),0)</f>
        <v>0</v>
      </c>
      <c r="AI119" s="8" t="str">
        <f>IF(letrapeso(C119),"Imprime","Não Imprime")</f>
        <v>Não Imprime</v>
      </c>
      <c r="AJ119" s="14" t="s">
        <v>28</v>
      </c>
      <c r="AK119" s="129">
        <f>G119*letrapeso(G120)*letrapeso($C119)</f>
        <v>0</v>
      </c>
      <c r="AL119" s="129">
        <f>H119*letrapeso(H120)*letrapeso($C119)</f>
        <v>0</v>
      </c>
      <c r="AM119" s="129">
        <f>J119*letrapeso(G120)*letrapeso($C119)</f>
        <v>0</v>
      </c>
      <c r="AN119" s="129">
        <f>K119*letrapeso(K120)*letrapeso($C119)</f>
        <v>0</v>
      </c>
      <c r="AO119" s="129">
        <f>L119*letrapeso(L120)*letrapeso($C119)</f>
        <v>0</v>
      </c>
      <c r="AP119" s="44"/>
      <c r="AQ119" s="129">
        <f>N119*letrapeso(N120)*letrapeso($C119)</f>
        <v>0</v>
      </c>
      <c r="AR119" s="129">
        <f>O119*letrapeso(O120)*letrapeso($C119)</f>
        <v>0</v>
      </c>
      <c r="AS119" s="44"/>
      <c r="AT119" s="129">
        <f>Q119*letrapeso(Q120)*letrapeso($C119)</f>
        <v>0</v>
      </c>
      <c r="AU119" s="129">
        <f>R119*letrapeso(R120)*letrapeso($C119)</f>
        <v>0</v>
      </c>
      <c r="AV119" s="44"/>
      <c r="AW119" s="129">
        <f>T119*letrapeso(T120)*letrapeso($C119)</f>
        <v>0</v>
      </c>
      <c r="AX119" s="129">
        <f>U119*letrapeso(U120)*letrapeso($C119)</f>
        <v>0</v>
      </c>
      <c r="AY119" s="44"/>
      <c r="AZ119" s="129">
        <f>W119*letrapeso(W120)*letrapeso($C119)</f>
        <v>0</v>
      </c>
      <c r="BA119" s="129">
        <f>X119*letrapeso(X120)*letrapeso($C119)</f>
        <v>0</v>
      </c>
      <c r="BB119" s="44"/>
      <c r="BC119" s="129">
        <f>Z119*letrapeso(Z120)*letrapeso($C119)</f>
        <v>0</v>
      </c>
      <c r="BD119" s="129">
        <f>AA119*letrapeso(AA120)*letrapeso($C119)</f>
        <v>0</v>
      </c>
      <c r="BE119" s="44"/>
      <c r="BF119" s="129">
        <f>AC119*letrapeso(AC120)*letrapeso($C119)</f>
        <v>0</v>
      </c>
      <c r="BG119" s="129">
        <f>AD119*letrapeso(AD120)*letrapeso($C119)</f>
        <v>0</v>
      </c>
      <c r="BH119" s="44"/>
      <c r="BI119" s="129">
        <f>AF119*letrapeso(AF120)*letrapeso($C119)</f>
        <v>0</v>
      </c>
      <c r="BJ119" s="129">
        <f>AG119*letrapeso(AG120)*letrapeso($C119)</f>
        <v>0</v>
      </c>
      <c r="BK119" s="44"/>
      <c r="BL119" s="171">
        <f>letrapeso(G120)</f>
        <v>0</v>
      </c>
      <c r="BM119" s="171">
        <f>letrapeso(H120)</f>
        <v>0</v>
      </c>
      <c r="BO119" s="171">
        <f>letrapeso(K120)</f>
        <v>0</v>
      </c>
      <c r="BP119" s="171">
        <f>letrapeso(L120)</f>
        <v>0</v>
      </c>
      <c r="BR119" s="171">
        <f>letrapeso(N120)</f>
        <v>0</v>
      </c>
      <c r="BS119" s="171">
        <f>letrapeso(O120)</f>
        <v>0</v>
      </c>
      <c r="BU119" s="171">
        <f>letrapeso(Q120)</f>
        <v>0</v>
      </c>
      <c r="BV119" s="171">
        <f>letrapeso(R120)</f>
        <v>0</v>
      </c>
      <c r="BX119" s="171">
        <f>letrapeso(T120)</f>
        <v>0</v>
      </c>
      <c r="BY119" s="171">
        <f>letrapeso(U120)</f>
        <v>0</v>
      </c>
      <c r="CA119" s="171">
        <f>letrapeso(W120)</f>
        <v>0</v>
      </c>
      <c r="CB119" s="171">
        <f>letrapeso(X120)</f>
        <v>0</v>
      </c>
      <c r="CD119" s="171">
        <f>letrapeso(Z120)</f>
        <v>0</v>
      </c>
      <c r="CE119" s="171">
        <f>letrapeso(AA120)</f>
        <v>0</v>
      </c>
      <c r="CG119" s="171">
        <f>letrapeso(AC120)</f>
        <v>0</v>
      </c>
      <c r="CH119" s="171">
        <f>letrapeso(AD120)</f>
        <v>0</v>
      </c>
      <c r="CJ119" s="171">
        <f>letrapeso(AF120)</f>
        <v>0</v>
      </c>
      <c r="CK119" s="171">
        <f>letrapeso(AG120)</f>
        <v>0</v>
      </c>
      <c r="CM119" s="41">
        <f>IF(ISTEXT($C119),(BL119+BO119+BR119+BU119+BX119+CA119+CD119+CG119+CJ119),0)</f>
        <v>0</v>
      </c>
      <c r="CN119" s="41">
        <f>IF(ISTEXT($C119),(BM119+BP119+BS119+BV119+BY119+CB119+CE119+CH119+CK119),0)</f>
        <v>0</v>
      </c>
    </row>
    <row r="120" spans="1:92" s="41" customFormat="1" ht="15.75" hidden="1" thickBot="1" x14ac:dyDescent="0.25">
      <c r="A120" s="537" t="str">
        <f>TEXT(D119,"0,00")&amp;"       "&amp;TEXT(E119,"0,00")&amp;"       "&amp;TEXT(F119,"0,00")</f>
        <v>0,00       0,00       0,00</v>
      </c>
      <c r="B120" s="538"/>
      <c r="C120" s="230"/>
      <c r="D120" s="210"/>
      <c r="E120" s="208">
        <f>IF(ISTEXT($C120),(H120*letrapeso(H121)+#REF!*letrapeso(#REF!)+L120*letrapeso(L121)+O120*letrapeso(O121)+R120*letrapeso(R121)+#REF!*letrapeso(#REF!)+U120*letrapeso(U121)+X120*letrapeso(X121)+AA120*letrapeso(AA121)+AD120*letrapeso(AD121)+AG120*letrapeso(AG121))/(letrapeso(H121)+letrapeso(#REF!)+letrapeso(L121)+letrapeso(O121)+letrapeso(R121)+letrapeso(#REF!)+letrapeso(U121)+letrapeso(X121)+letrapeso(AA121)+letrapeso(AD121)+letrapeso(AG121)),0)</f>
        <v>0</v>
      </c>
      <c r="F120" s="209"/>
      <c r="G120" s="231" t="str">
        <f>PEsoLetra('Digitar aqui Notas e Pesos'!D120)</f>
        <v/>
      </c>
      <c r="H120" s="232" t="str">
        <f>PEsoLetra('Digitar aqui Notas e Pesos'!E120)</f>
        <v/>
      </c>
      <c r="I120" s="566"/>
      <c r="J120" s="490"/>
      <c r="K120" s="231" t="str">
        <f>PEsoLetra('Digitar aqui Notas e Pesos'!G120)</f>
        <v/>
      </c>
      <c r="L120" s="232" t="str">
        <f>PEsoLetra('Digitar aqui Notas e Pesos'!H120)</f>
        <v/>
      </c>
      <c r="M120" s="554"/>
      <c r="N120" s="231" t="str">
        <f>PEsoLetra('Digitar aqui Notas e Pesos'!J120)</f>
        <v/>
      </c>
      <c r="O120" s="232" t="str">
        <f>PEsoLetra('Digitar aqui Notas e Pesos'!K120)</f>
        <v/>
      </c>
      <c r="P120" s="554"/>
      <c r="Q120" s="231" t="str">
        <f>PEsoLetra('Digitar aqui Notas e Pesos'!M120)</f>
        <v/>
      </c>
      <c r="R120" s="232" t="str">
        <f>PEsoLetra('Digitar aqui Notas e Pesos'!N120)</f>
        <v/>
      </c>
      <c r="S120" s="554"/>
      <c r="T120" s="231" t="str">
        <f>PEsoLetra('Digitar aqui Notas e Pesos'!P120)</f>
        <v/>
      </c>
      <c r="U120" s="232" t="str">
        <f>PEsoLetra('Digitar aqui Notas e Pesos'!Q120)</f>
        <v/>
      </c>
      <c r="V120" s="554"/>
      <c r="W120" s="231" t="str">
        <f>PEsoLetra('Digitar aqui Notas e Pesos'!S120)</f>
        <v/>
      </c>
      <c r="X120" s="232" t="str">
        <f>PEsoLetra('Digitar aqui Notas e Pesos'!T120)</f>
        <v/>
      </c>
      <c r="Y120" s="554"/>
      <c r="Z120" s="231" t="str">
        <f>PEsoLetra('Digitar aqui Notas e Pesos'!V120)</f>
        <v/>
      </c>
      <c r="AA120" s="232" t="str">
        <f>PEsoLetra('Digitar aqui Notas e Pesos'!W120)</f>
        <v/>
      </c>
      <c r="AB120" s="554"/>
      <c r="AC120" s="231" t="str">
        <f>PEsoLetra('Digitar aqui Notas e Pesos'!Y120)</f>
        <v/>
      </c>
      <c r="AD120" s="232" t="str">
        <f>PEsoLetra('Digitar aqui Notas e Pesos'!Z120)</f>
        <v/>
      </c>
      <c r="AE120" s="554"/>
      <c r="AF120" s="231" t="str">
        <f>PEsoLetra('Digitar aqui Notas e Pesos'!AB120)</f>
        <v/>
      </c>
      <c r="AG120" s="232" t="str">
        <f>PEsoLetra('Digitar aqui Notas e Pesos'!AC120)</f>
        <v/>
      </c>
      <c r="AH120" s="574"/>
      <c r="AI120" s="19" t="str">
        <f>+AI119</f>
        <v>Não Imprime</v>
      </c>
      <c r="AJ120" s="1"/>
      <c r="AK120" s="130"/>
      <c r="AL120" s="130"/>
      <c r="AM120" s="130"/>
      <c r="AN120" s="130"/>
      <c r="AO120" s="130"/>
      <c r="AQ120" s="130"/>
      <c r="AR120" s="130"/>
      <c r="AT120" s="130"/>
      <c r="AU120" s="130"/>
      <c r="AW120" s="130"/>
      <c r="AX120" s="130"/>
      <c r="AZ120" s="130"/>
      <c r="BA120" s="130"/>
      <c r="BC120" s="130"/>
      <c r="BD120" s="130"/>
      <c r="BF120" s="130"/>
      <c r="BG120" s="130"/>
      <c r="BI120" s="130"/>
      <c r="BJ120" s="130"/>
      <c r="CM120" s="171"/>
      <c r="CN120" s="171"/>
    </row>
    <row r="121" spans="1:92" ht="15.75" hidden="1" thickBot="1" x14ac:dyDescent="0.25">
      <c r="A121" s="546" t="str">
        <f>'Digitar aqui Notas e Pesos'!A121</f>
        <v>Nome da Atividade 2 da Unidade 7</v>
      </c>
      <c r="B121" s="547"/>
      <c r="C121" s="229">
        <f>IF('Digitar aqui Notas e Pesos'!C121,PEsoLetra('Digitar aqui Notas e Pesos'!C121),0)</f>
        <v>0</v>
      </c>
      <c r="D121" s="208">
        <f>IF(ISTEXT($C121),(G121*letrapeso(G122)+K121*letrapeso(K122)+N121*letrapeso(N122)+Q121*letrapeso(Q122)+T121*letrapeso(T122)+W121*letrapeso(W122)+Z121*letrapeso(Z122)+AC121*letrapeso(AC122)+AF121*letrapeso(AF122))/(letrapeso(G122)+letrapeso(K122)+letrapeso(N122)+letrapeso(Q122)+letrapeso(T122)+letrapeso(W122)+letrapeso(Z122)+letrapeso(AC122)+letrapeso(AF122)),0)</f>
        <v>0</v>
      </c>
      <c r="E121" s="208">
        <f>IF(ISTEXT($C121),(H121*letrapeso(H122)+L121*letrapeso(L122)+O121*letrapeso(O122)+R121*letrapeso(R122)+U121*letrapeso(U122)+X121*letrapeso(X122)+AA121*letrapeso(AA122)+AD121*letrapeso(AD122)+AG121*letrapeso(AG122))/(letrapeso(H122)+letrapeso(L122)+letrapeso(O122)+letrapeso(R122)+letrapeso(U122)+letrapeso(X122)+letrapeso(AA122)+letrapeso(AD122)+letrapeso(AG122)),0)</f>
        <v>0</v>
      </c>
      <c r="F121" s="209">
        <f>IF(ISTEXT($C121),(D121*$A$145+E121*$A$146),0)</f>
        <v>0</v>
      </c>
      <c r="G121" s="259">
        <f>'Digitar aqui Notas e Pesos'!D121</f>
        <v>0</v>
      </c>
      <c r="H121" s="116">
        <f>'Digitar aqui Notas e Pesos'!E121</f>
        <v>0</v>
      </c>
      <c r="I121" s="565">
        <f>IF(AND(G121&lt;&gt;0,H121&lt;&gt;0,$C121&lt;&gt;0),(G121*letrapeso(G122)*$A$145+H121*letrapeso(H122)*$A$146)/(letrapeso(G122)*$A$145+letrapeso(H122)*$A$146),0)</f>
        <v>0</v>
      </c>
      <c r="J121" s="259">
        <f>'Digitar aqui Notas e Pesos'!F121</f>
        <v>0</v>
      </c>
      <c r="K121" s="259">
        <f>'Digitar aqui Notas e Pesos'!G121</f>
        <v>0</v>
      </c>
      <c r="L121" s="116">
        <f>'Digitar aqui Notas e Pesos'!H121</f>
        <v>0</v>
      </c>
      <c r="M121" s="553">
        <f>IF(AND(K121&lt;&gt;0,L121&lt;&gt;0,$C121&lt;&gt;0),(K121*letrapeso(K122)*$A$145+L121*letrapeso(L122)*$A$146)/(letrapeso(K122)*$A$145+letrapeso(L122)*$A$146),0)</f>
        <v>0</v>
      </c>
      <c r="N121" s="259">
        <f>'Digitar aqui Notas e Pesos'!J121</f>
        <v>0</v>
      </c>
      <c r="O121" s="116">
        <f>'Digitar aqui Notas e Pesos'!K121</f>
        <v>0</v>
      </c>
      <c r="P121" s="553">
        <f>IF(AND(N121&lt;&gt;0,O121&lt;&gt;0,$C121&lt;&gt;0),(N121*letrapeso(N122)*$A$145+O121*letrapeso(O122)*$A$146)/(letrapeso(N122)*$A$145+letrapeso(O122)*$A$146),0)</f>
        <v>0</v>
      </c>
      <c r="Q121" s="259">
        <f>'Digitar aqui Notas e Pesos'!M121</f>
        <v>0</v>
      </c>
      <c r="R121" s="116">
        <f>'Digitar aqui Notas e Pesos'!N121</f>
        <v>0</v>
      </c>
      <c r="S121" s="553">
        <f>IF(AND(Q121&lt;&gt;0,R121&lt;&gt;0,$C121&lt;&gt;0),(Q121*letrapeso(Q122)*$A$145+R121*letrapeso(R122)*$A$146)/(letrapeso(Q122)*$A$145+letrapeso(R122)*$A$146),0)</f>
        <v>0</v>
      </c>
      <c r="T121" s="259">
        <f>'Digitar aqui Notas e Pesos'!P121</f>
        <v>0</v>
      </c>
      <c r="U121" s="116">
        <f>'Digitar aqui Notas e Pesos'!Q121</f>
        <v>0</v>
      </c>
      <c r="V121" s="553">
        <f>IF(AND(T121&lt;&gt;0,U121&lt;&gt;0,$C121&lt;&gt;0),(T121*letrapeso(T122)*$A$145+U121*letrapeso(U122)*$A$146)/(letrapeso(T122)*$A$145+letrapeso(U122)*$A$146),0)</f>
        <v>0</v>
      </c>
      <c r="W121" s="259">
        <f>'Digitar aqui Notas e Pesos'!S121</f>
        <v>0</v>
      </c>
      <c r="X121" s="116">
        <f>'Digitar aqui Notas e Pesos'!T121</f>
        <v>0</v>
      </c>
      <c r="Y121" s="553">
        <f>IF(AND(W121&lt;&gt;0,X121&lt;&gt;0,$C121&lt;&gt;0),(W121*letrapeso(W122)*$A$145+X121*letrapeso(X122)*$A$146)/(letrapeso(W122)*$A$145+letrapeso(X122)*$A$146),0)</f>
        <v>0</v>
      </c>
      <c r="Z121" s="259">
        <f>'Digitar aqui Notas e Pesos'!V121</f>
        <v>0</v>
      </c>
      <c r="AA121" s="116">
        <f>'Digitar aqui Notas e Pesos'!W121</f>
        <v>0</v>
      </c>
      <c r="AB121" s="553">
        <f>IF(AND(Z121&lt;&gt;0,AA121&lt;&gt;0,$C121&lt;&gt;0),(Z121*letrapeso(Z122)*$A$145+AA121*letrapeso(AA122)*$A$146)/(letrapeso(Z122)*$A$145+letrapeso(AA122)*$A$146),0)</f>
        <v>0</v>
      </c>
      <c r="AC121" s="259">
        <f>'Digitar aqui Notas e Pesos'!Y121</f>
        <v>0</v>
      </c>
      <c r="AD121" s="116">
        <f>'Digitar aqui Notas e Pesos'!Z121</f>
        <v>0</v>
      </c>
      <c r="AE121" s="553">
        <f>IF(AND(AC121&lt;&gt;0,AD121&lt;&gt;0,$C121&lt;&gt;0),(AC121*letrapeso(AC122)*$A$145+AD121*letrapeso(AD122)*$A$146)/(letrapeso(AC122)*$A$145+letrapeso(AD122)*$A$146),0)</f>
        <v>0</v>
      </c>
      <c r="AF121" s="259">
        <f>'Digitar aqui Notas e Pesos'!AB121</f>
        <v>0</v>
      </c>
      <c r="AG121" s="116">
        <f>'Digitar aqui Notas e Pesos'!AC121</f>
        <v>0</v>
      </c>
      <c r="AH121" s="573">
        <f>IF(AND(AF121&lt;&gt;0,AG121&lt;&gt;0,$C121&lt;&gt;0),(AF121*letrapeso(AF122)*$A$145+AG121*letrapeso(AG122)*$A$146)/(letrapeso(AF122)*$A$145+letrapeso(AG122)*$A$146),0)</f>
        <v>0</v>
      </c>
      <c r="AI121" s="8" t="str">
        <f>IF(letrapeso(C121),"Imprime","Não Imprime")</f>
        <v>Não Imprime</v>
      </c>
      <c r="AJ121" s="14" t="s">
        <v>28</v>
      </c>
      <c r="AK121" s="129">
        <f>G121*letrapeso(G122)*letrapeso($C121)</f>
        <v>0</v>
      </c>
      <c r="AL121" s="129">
        <f>H121*letrapeso(H122)*letrapeso($C121)</f>
        <v>0</v>
      </c>
      <c r="AM121" s="129">
        <f>J121*letrapeso(G122)*letrapeso($C121)</f>
        <v>0</v>
      </c>
      <c r="AN121" s="129">
        <f>K121*letrapeso(K122)*letrapeso($C121)</f>
        <v>0</v>
      </c>
      <c r="AO121" s="129">
        <f>L121*letrapeso(L122)*letrapeso($C121)</f>
        <v>0</v>
      </c>
      <c r="AP121" s="131"/>
      <c r="AQ121" s="129">
        <f>N121*letrapeso(N122)*letrapeso($C121)</f>
        <v>0</v>
      </c>
      <c r="AR121" s="129">
        <f>O121*letrapeso(O122)*letrapeso($C121)</f>
        <v>0</v>
      </c>
      <c r="AS121" s="131"/>
      <c r="AT121" s="129">
        <f>Q121*letrapeso(Q122)*letrapeso($C121)</f>
        <v>0</v>
      </c>
      <c r="AU121" s="129">
        <f>R121*letrapeso(R122)*letrapeso($C121)</f>
        <v>0</v>
      </c>
      <c r="AV121" s="131"/>
      <c r="AW121" s="129">
        <f>T121*letrapeso(T122)*letrapeso($C121)</f>
        <v>0</v>
      </c>
      <c r="AX121" s="129">
        <f>U121*letrapeso(U122)*letrapeso($C121)</f>
        <v>0</v>
      </c>
      <c r="AY121" s="131"/>
      <c r="AZ121" s="129">
        <f>W121*letrapeso(W122)*letrapeso($C121)</f>
        <v>0</v>
      </c>
      <c r="BA121" s="129">
        <f>X121*letrapeso(X122)*letrapeso($C121)</f>
        <v>0</v>
      </c>
      <c r="BB121" s="131"/>
      <c r="BC121" s="129">
        <f>Z121*letrapeso(Z122)*letrapeso($C121)</f>
        <v>0</v>
      </c>
      <c r="BD121" s="129">
        <f>AA121*letrapeso(AA122)*letrapeso($C121)</f>
        <v>0</v>
      </c>
      <c r="BE121" s="131"/>
      <c r="BF121" s="129">
        <f>AC121*letrapeso(AC122)*letrapeso($C121)</f>
        <v>0</v>
      </c>
      <c r="BG121" s="129">
        <f>AD121*letrapeso(AD122)*letrapeso($C121)</f>
        <v>0</v>
      </c>
      <c r="BH121" s="131"/>
      <c r="BI121" s="129">
        <f>AF121*letrapeso(AF122)*letrapeso($C121)</f>
        <v>0</v>
      </c>
      <c r="BJ121" s="129">
        <f>AG121*letrapeso(AG122)*letrapeso($C121)</f>
        <v>0</v>
      </c>
      <c r="BK121" s="131"/>
      <c r="BL121" s="171">
        <f>letrapeso(G122)</f>
        <v>0</v>
      </c>
      <c r="BM121" s="171">
        <f>letrapeso(H122)</f>
        <v>0</v>
      </c>
      <c r="BN121" s="41"/>
      <c r="BO121" s="171">
        <f>letrapeso(K122)</f>
        <v>0</v>
      </c>
      <c r="BP121" s="171">
        <f>letrapeso(L122)</f>
        <v>0</v>
      </c>
      <c r="BQ121" s="41"/>
      <c r="BR121" s="171">
        <f>letrapeso(N122)</f>
        <v>0</v>
      </c>
      <c r="BS121" s="171">
        <f>letrapeso(O122)</f>
        <v>0</v>
      </c>
      <c r="BT121" s="41"/>
      <c r="BU121" s="171">
        <f>letrapeso(Q122)</f>
        <v>0</v>
      </c>
      <c r="BV121" s="171">
        <f>letrapeso(R122)</f>
        <v>0</v>
      </c>
      <c r="BW121" s="41"/>
      <c r="BX121" s="171">
        <f>letrapeso(T122)</f>
        <v>0</v>
      </c>
      <c r="BY121" s="171">
        <f>letrapeso(U122)</f>
        <v>0</v>
      </c>
      <c r="BZ121" s="41"/>
      <c r="CA121" s="171">
        <f>letrapeso(W122)</f>
        <v>0</v>
      </c>
      <c r="CB121" s="171">
        <f>letrapeso(X122)</f>
        <v>0</v>
      </c>
      <c r="CC121" s="41"/>
      <c r="CD121" s="171">
        <f>letrapeso(Z122)</f>
        <v>0</v>
      </c>
      <c r="CE121" s="171">
        <f>letrapeso(AA122)</f>
        <v>0</v>
      </c>
      <c r="CF121" s="41"/>
      <c r="CG121" s="171">
        <f>letrapeso(AC122)</f>
        <v>0</v>
      </c>
      <c r="CH121" s="171">
        <f>letrapeso(AD122)</f>
        <v>0</v>
      </c>
      <c r="CI121" s="41"/>
      <c r="CJ121" s="171">
        <f>letrapeso(AF122)</f>
        <v>0</v>
      </c>
      <c r="CK121" s="171">
        <f>letrapeso(AG122)</f>
        <v>0</v>
      </c>
      <c r="CL121" s="41"/>
      <c r="CM121" s="41">
        <f>IF(ISTEXT($C121),(BL121+BO121+BR121+BU121+BX121+CA121+CD121+CG121+CJ121),0)</f>
        <v>0</v>
      </c>
      <c r="CN121" s="41">
        <f>IF(ISTEXT($C121),(BM121+BP121+BS121+BV121+BY121+CB121+CE121+CH121+CK121),0)</f>
        <v>0</v>
      </c>
    </row>
    <row r="122" spans="1:92" ht="15.75" hidden="1" thickBot="1" x14ac:dyDescent="0.25">
      <c r="A122" s="537" t="str">
        <f>TEXT(D121,"0,00")&amp;"       "&amp;TEXT(E121,"0,00")&amp;"       "&amp;TEXT(F121,"0,00")</f>
        <v>0,00       0,00       0,00</v>
      </c>
      <c r="B122" s="538"/>
      <c r="C122" s="230"/>
      <c r="D122" s="210"/>
      <c r="E122" s="208">
        <f>IF(ISTEXT($C122),(H122*letrapeso(H123)+#REF!*letrapeso(#REF!)+L122*letrapeso(L123)+O122*letrapeso(O123)+R122*letrapeso(R123)+#REF!*letrapeso(#REF!)+U122*letrapeso(U123)+X122*letrapeso(X123)+AA122*letrapeso(AA123)+AD122*letrapeso(AD123)+AG122*letrapeso(AG123))/(letrapeso(H123)+letrapeso(#REF!)+letrapeso(L123)+letrapeso(O123)+letrapeso(R123)+letrapeso(#REF!)+letrapeso(U123)+letrapeso(X123)+letrapeso(AA123)+letrapeso(AD123)+letrapeso(AG123)),0)</f>
        <v>0</v>
      </c>
      <c r="F122" s="209"/>
      <c r="G122" s="231" t="str">
        <f>PEsoLetra('Digitar aqui Notas e Pesos'!D122)</f>
        <v/>
      </c>
      <c r="H122" s="232" t="str">
        <f>PEsoLetra('Digitar aqui Notas e Pesos'!E122)</f>
        <v/>
      </c>
      <c r="I122" s="566"/>
      <c r="J122" s="490"/>
      <c r="K122" s="231" t="str">
        <f>PEsoLetra('Digitar aqui Notas e Pesos'!G122)</f>
        <v/>
      </c>
      <c r="L122" s="232" t="str">
        <f>PEsoLetra('Digitar aqui Notas e Pesos'!H122)</f>
        <v/>
      </c>
      <c r="M122" s="554"/>
      <c r="N122" s="231" t="str">
        <f>PEsoLetra('Digitar aqui Notas e Pesos'!J122)</f>
        <v/>
      </c>
      <c r="O122" s="232" t="str">
        <f>PEsoLetra('Digitar aqui Notas e Pesos'!K122)</f>
        <v/>
      </c>
      <c r="P122" s="554"/>
      <c r="Q122" s="231" t="str">
        <f>PEsoLetra('Digitar aqui Notas e Pesos'!M122)</f>
        <v/>
      </c>
      <c r="R122" s="232" t="str">
        <f>PEsoLetra('Digitar aqui Notas e Pesos'!N122)</f>
        <v/>
      </c>
      <c r="S122" s="554"/>
      <c r="T122" s="231" t="str">
        <f>PEsoLetra('Digitar aqui Notas e Pesos'!P122)</f>
        <v/>
      </c>
      <c r="U122" s="232" t="str">
        <f>PEsoLetra('Digitar aqui Notas e Pesos'!Q122)</f>
        <v/>
      </c>
      <c r="V122" s="554"/>
      <c r="W122" s="231" t="str">
        <f>PEsoLetra('Digitar aqui Notas e Pesos'!S122)</f>
        <v/>
      </c>
      <c r="X122" s="232" t="str">
        <f>PEsoLetra('Digitar aqui Notas e Pesos'!T122)</f>
        <v/>
      </c>
      <c r="Y122" s="554"/>
      <c r="Z122" s="231" t="str">
        <f>PEsoLetra('Digitar aqui Notas e Pesos'!V122)</f>
        <v/>
      </c>
      <c r="AA122" s="232" t="str">
        <f>PEsoLetra('Digitar aqui Notas e Pesos'!W122)</f>
        <v/>
      </c>
      <c r="AB122" s="554"/>
      <c r="AC122" s="231" t="str">
        <f>PEsoLetra('Digitar aqui Notas e Pesos'!Y122)</f>
        <v/>
      </c>
      <c r="AD122" s="232" t="str">
        <f>PEsoLetra('Digitar aqui Notas e Pesos'!Z122)</f>
        <v/>
      </c>
      <c r="AE122" s="554"/>
      <c r="AF122" s="231" t="str">
        <f>PEsoLetra('Digitar aqui Notas e Pesos'!AB122)</f>
        <v/>
      </c>
      <c r="AG122" s="232" t="str">
        <f>PEsoLetra('Digitar aqui Notas e Pesos'!AC122)</f>
        <v/>
      </c>
      <c r="AH122" s="574"/>
      <c r="AI122" s="19" t="str">
        <f>+AI121</f>
        <v>Não Imprime</v>
      </c>
      <c r="AJ122" s="1"/>
      <c r="AK122" s="130"/>
      <c r="AL122" s="130"/>
      <c r="AM122" s="130"/>
      <c r="AN122" s="130"/>
      <c r="AO122" s="130"/>
      <c r="AP122" s="131"/>
      <c r="AQ122" s="130"/>
      <c r="AR122" s="130"/>
      <c r="AS122" s="131"/>
      <c r="AT122" s="130"/>
      <c r="AU122" s="130"/>
      <c r="AV122" s="131"/>
      <c r="AW122" s="130"/>
      <c r="AX122" s="130"/>
      <c r="AY122" s="131"/>
      <c r="AZ122" s="130"/>
      <c r="BA122" s="130"/>
      <c r="BB122" s="131"/>
      <c r="BC122" s="130"/>
      <c r="BD122" s="130"/>
      <c r="BE122" s="131"/>
      <c r="BF122" s="130"/>
      <c r="BG122" s="130"/>
      <c r="BH122" s="131"/>
      <c r="BI122" s="130"/>
      <c r="BJ122" s="130"/>
      <c r="BK122" s="131"/>
      <c r="CM122" s="28"/>
      <c r="CN122" s="28"/>
    </row>
    <row r="123" spans="1:92" ht="15.75" hidden="1" thickBot="1" x14ac:dyDescent="0.25">
      <c r="A123" s="546" t="str">
        <f>'Digitar aqui Notas e Pesos'!A123</f>
        <v>Nome da Atividade 3 da Unidade 7</v>
      </c>
      <c r="B123" s="547"/>
      <c r="C123" s="229">
        <f>IF('Digitar aqui Notas e Pesos'!C123,PEsoLetra('Digitar aqui Notas e Pesos'!C123),0)</f>
        <v>0</v>
      </c>
      <c r="D123" s="208">
        <f>IF(ISTEXT($C123),(G123*letrapeso(G124)+K123*letrapeso(K124)+N123*letrapeso(N124)+Q123*letrapeso(Q124)+T123*letrapeso(T124)+W123*letrapeso(W124)+Z123*letrapeso(Z124)+AC123*letrapeso(AC124)+AF123*letrapeso(AF124))/(letrapeso(G124)+letrapeso(K124)+letrapeso(N124)+letrapeso(Q124)+letrapeso(T124)+letrapeso(W124)+letrapeso(Z124)+letrapeso(AC124)+letrapeso(AF124)),0)</f>
        <v>0</v>
      </c>
      <c r="E123" s="208">
        <f>IF(ISTEXT($C123),(H123*letrapeso(H124)+L123*letrapeso(L124)+O123*letrapeso(O124)+R123*letrapeso(R124)+U123*letrapeso(U124)+X123*letrapeso(X124)+AA123*letrapeso(AA124)+AD123*letrapeso(AD124)+AG123*letrapeso(AG124))/(letrapeso(H124)+letrapeso(L124)+letrapeso(O124)+letrapeso(R124)+letrapeso(U124)+letrapeso(X124)+letrapeso(AA124)+letrapeso(AD124)+letrapeso(AG124)),0)</f>
        <v>0</v>
      </c>
      <c r="F123" s="209">
        <f>IF(ISTEXT($C123),(D123*$A$145+E123*$A$146),0)</f>
        <v>0</v>
      </c>
      <c r="G123" s="259">
        <f>'Digitar aqui Notas e Pesos'!D123</f>
        <v>0</v>
      </c>
      <c r="H123" s="116">
        <f>'Digitar aqui Notas e Pesos'!E123</f>
        <v>0</v>
      </c>
      <c r="I123" s="565">
        <f>IF(AND(G123&lt;&gt;0,H123&lt;&gt;0,$C123&lt;&gt;0),(G123*letrapeso(G124)*$A$145+H123*letrapeso(H124)*$A$146)/(letrapeso(G124)*$A$145+letrapeso(H124)*$A$146),0)</f>
        <v>0</v>
      </c>
      <c r="J123" s="259">
        <f>'Digitar aqui Notas e Pesos'!F123</f>
        <v>0</v>
      </c>
      <c r="K123" s="259">
        <f>'Digitar aqui Notas e Pesos'!G123</f>
        <v>0</v>
      </c>
      <c r="L123" s="116">
        <f>'Digitar aqui Notas e Pesos'!H123</f>
        <v>0</v>
      </c>
      <c r="M123" s="553">
        <f>IF(AND(K123&lt;&gt;0,L123&lt;&gt;0,$C123&lt;&gt;0),(K123*letrapeso(K124)*$A$145+L123*letrapeso(L124)*$A$146)/(letrapeso(K124)*$A$145+letrapeso(L124)*$A$146),0)</f>
        <v>0</v>
      </c>
      <c r="N123" s="259">
        <f>'Digitar aqui Notas e Pesos'!J123</f>
        <v>0</v>
      </c>
      <c r="O123" s="116">
        <f>'Digitar aqui Notas e Pesos'!K123</f>
        <v>0</v>
      </c>
      <c r="P123" s="553">
        <f>IF(AND(N123&lt;&gt;0,O123&lt;&gt;0,$C123&lt;&gt;0),(N123*letrapeso(N124)*$A$145+O123*letrapeso(O124)*$A$146)/(letrapeso(N124)*$A$145+letrapeso(O124)*$A$146),0)</f>
        <v>0</v>
      </c>
      <c r="Q123" s="259">
        <f>'Digitar aqui Notas e Pesos'!M123</f>
        <v>0</v>
      </c>
      <c r="R123" s="116">
        <f>'Digitar aqui Notas e Pesos'!N123</f>
        <v>0</v>
      </c>
      <c r="S123" s="553">
        <f>IF(AND(Q123&lt;&gt;0,R123&lt;&gt;0,$C123&lt;&gt;0),(Q123*letrapeso(Q124)*$A$145+R123*letrapeso(R124)*$A$146)/(letrapeso(Q124)*$A$145+letrapeso(R124)*$A$146),0)</f>
        <v>0</v>
      </c>
      <c r="T123" s="259">
        <f>'Digitar aqui Notas e Pesos'!P123</f>
        <v>0</v>
      </c>
      <c r="U123" s="116">
        <f>'Digitar aqui Notas e Pesos'!Q123</f>
        <v>0</v>
      </c>
      <c r="V123" s="553">
        <f>IF(AND(T123&lt;&gt;0,U123&lt;&gt;0,$C123&lt;&gt;0),(T123*letrapeso(T124)*$A$145+U123*letrapeso(U124)*$A$146)/(letrapeso(T124)*$A$145+letrapeso(U124)*$A$146),0)</f>
        <v>0</v>
      </c>
      <c r="W123" s="259">
        <f>'Digitar aqui Notas e Pesos'!S123</f>
        <v>0</v>
      </c>
      <c r="X123" s="116">
        <f>'Digitar aqui Notas e Pesos'!T123</f>
        <v>0</v>
      </c>
      <c r="Y123" s="553">
        <f>IF(AND(W123&lt;&gt;0,X123&lt;&gt;0,$C123&lt;&gt;0),(W123*letrapeso(W124)*$A$145+X123*letrapeso(X124)*$A$146)/(letrapeso(W124)*$A$145+letrapeso(X124)*$A$146),0)</f>
        <v>0</v>
      </c>
      <c r="Z123" s="259">
        <f>'Digitar aqui Notas e Pesos'!V123</f>
        <v>0</v>
      </c>
      <c r="AA123" s="116">
        <f>'Digitar aqui Notas e Pesos'!W123</f>
        <v>0</v>
      </c>
      <c r="AB123" s="553">
        <f>IF(AND(Z123&lt;&gt;0,AA123&lt;&gt;0,$C123&lt;&gt;0),(Z123*letrapeso(Z124)*$A$145+AA123*letrapeso(AA124)*$A$146)/(letrapeso(Z124)*$A$145+letrapeso(AA124)*$A$146),0)</f>
        <v>0</v>
      </c>
      <c r="AC123" s="259">
        <f>'Digitar aqui Notas e Pesos'!Y123</f>
        <v>0</v>
      </c>
      <c r="AD123" s="116">
        <f>'Digitar aqui Notas e Pesos'!Z123</f>
        <v>0</v>
      </c>
      <c r="AE123" s="553">
        <f>IF(AND(AC123&lt;&gt;0,AD123&lt;&gt;0,$C123&lt;&gt;0),(AC123*letrapeso(AC124)*$A$145+AD123*letrapeso(AD124)*$A$146)/(letrapeso(AC124)*$A$145+letrapeso(AD124)*$A$146),0)</f>
        <v>0</v>
      </c>
      <c r="AF123" s="259">
        <f>'Digitar aqui Notas e Pesos'!AB123</f>
        <v>0</v>
      </c>
      <c r="AG123" s="116">
        <f>'Digitar aqui Notas e Pesos'!AC123</f>
        <v>0</v>
      </c>
      <c r="AH123" s="573">
        <f>IF(AND(AF123&lt;&gt;0,AG123&lt;&gt;0,$C123&lt;&gt;0),(AF123*letrapeso(AF124)*$A$145+AG123*letrapeso(AG124)*$A$146)/(letrapeso(AF124)*$A$145+letrapeso(AG124)*$A$146),0)</f>
        <v>0</v>
      </c>
      <c r="AI123" s="8" t="str">
        <f>IF(letrapeso(C123),"Imprime","Não Imprime")</f>
        <v>Não Imprime</v>
      </c>
      <c r="AJ123" s="14" t="s">
        <v>28</v>
      </c>
      <c r="AK123" s="129">
        <f>G123*letrapeso(G124)*letrapeso($C123)</f>
        <v>0</v>
      </c>
      <c r="AL123" s="129">
        <f>H123*letrapeso(H124)*letrapeso($C123)</f>
        <v>0</v>
      </c>
      <c r="AM123" s="129">
        <f>J123*letrapeso(G124)*letrapeso($C123)</f>
        <v>0</v>
      </c>
      <c r="AN123" s="129">
        <f>K123*letrapeso(K124)*letrapeso($C123)</f>
        <v>0</v>
      </c>
      <c r="AO123" s="129">
        <f>L123*letrapeso(L124)*letrapeso($C123)</f>
        <v>0</v>
      </c>
      <c r="AP123" s="131"/>
      <c r="AQ123" s="129">
        <f>N123*letrapeso(N124)*letrapeso($C123)</f>
        <v>0</v>
      </c>
      <c r="AR123" s="129">
        <f>O123*letrapeso(O124)*letrapeso($C123)</f>
        <v>0</v>
      </c>
      <c r="AS123" s="131"/>
      <c r="AT123" s="129">
        <f>Q123*letrapeso(Q124)*letrapeso($C123)</f>
        <v>0</v>
      </c>
      <c r="AU123" s="129">
        <f>R123*letrapeso(R124)*letrapeso($C123)</f>
        <v>0</v>
      </c>
      <c r="AV123" s="131"/>
      <c r="AW123" s="129">
        <f>T123*letrapeso(T124)*letrapeso($C123)</f>
        <v>0</v>
      </c>
      <c r="AX123" s="129">
        <f>U123*letrapeso(U124)*letrapeso($C123)</f>
        <v>0</v>
      </c>
      <c r="AY123" s="131"/>
      <c r="AZ123" s="129">
        <f>W123*letrapeso(W124)*letrapeso($C123)</f>
        <v>0</v>
      </c>
      <c r="BA123" s="129">
        <f>X123*letrapeso(X124)*letrapeso($C123)</f>
        <v>0</v>
      </c>
      <c r="BB123" s="131"/>
      <c r="BC123" s="129">
        <f>Z123*letrapeso(Z124)*letrapeso($C123)</f>
        <v>0</v>
      </c>
      <c r="BD123" s="129">
        <f>AA123*letrapeso(AA124)*letrapeso($C123)</f>
        <v>0</v>
      </c>
      <c r="BE123" s="131"/>
      <c r="BF123" s="129">
        <f>AC123*letrapeso(AC124)*letrapeso($C123)</f>
        <v>0</v>
      </c>
      <c r="BG123" s="129">
        <f>AD123*letrapeso(AD124)*letrapeso($C123)</f>
        <v>0</v>
      </c>
      <c r="BH123" s="131"/>
      <c r="BI123" s="129">
        <f>AF123*letrapeso(AF124)*letrapeso($C123)</f>
        <v>0</v>
      </c>
      <c r="BJ123" s="129">
        <f>AG123*letrapeso(AG124)*letrapeso($C123)</f>
        <v>0</v>
      </c>
      <c r="BK123" s="131"/>
      <c r="BL123" s="171">
        <f>letrapeso(G124)</f>
        <v>0</v>
      </c>
      <c r="BM123" s="171">
        <f>letrapeso(H124)</f>
        <v>0</v>
      </c>
      <c r="BN123" s="41"/>
      <c r="BO123" s="171">
        <f>letrapeso(K124)</f>
        <v>0</v>
      </c>
      <c r="BP123" s="171">
        <f>letrapeso(L124)</f>
        <v>0</v>
      </c>
      <c r="BQ123" s="41"/>
      <c r="BR123" s="171">
        <f>letrapeso(N124)</f>
        <v>0</v>
      </c>
      <c r="BS123" s="171">
        <f>letrapeso(O124)</f>
        <v>0</v>
      </c>
      <c r="BT123" s="41"/>
      <c r="BU123" s="171">
        <f>letrapeso(Q124)</f>
        <v>0</v>
      </c>
      <c r="BV123" s="171">
        <f>letrapeso(R124)</f>
        <v>0</v>
      </c>
      <c r="BW123" s="41"/>
      <c r="BX123" s="171">
        <f>letrapeso(T124)</f>
        <v>0</v>
      </c>
      <c r="BY123" s="171">
        <f>letrapeso(U124)</f>
        <v>0</v>
      </c>
      <c r="BZ123" s="41"/>
      <c r="CA123" s="171">
        <f>letrapeso(W124)</f>
        <v>0</v>
      </c>
      <c r="CB123" s="171">
        <f>letrapeso(X124)</f>
        <v>0</v>
      </c>
      <c r="CC123" s="41"/>
      <c r="CD123" s="171">
        <f>letrapeso(Z124)</f>
        <v>0</v>
      </c>
      <c r="CE123" s="171">
        <f>letrapeso(AA124)</f>
        <v>0</v>
      </c>
      <c r="CF123" s="41"/>
      <c r="CG123" s="171">
        <f>letrapeso(AC124)</f>
        <v>0</v>
      </c>
      <c r="CH123" s="171">
        <f>letrapeso(AD124)</f>
        <v>0</v>
      </c>
      <c r="CI123" s="41"/>
      <c r="CJ123" s="171">
        <f>letrapeso(AF124)</f>
        <v>0</v>
      </c>
      <c r="CK123" s="171">
        <f>letrapeso(AG124)</f>
        <v>0</v>
      </c>
      <c r="CL123" s="41"/>
      <c r="CM123" s="41">
        <f>IF(ISTEXT($C123),(BL123+BO123+BR123+BU123+BX123+CA123+CD123+CG123+CJ123),0)</f>
        <v>0</v>
      </c>
      <c r="CN123" s="41">
        <f>IF(ISTEXT($C123),(BM123+BP123+BS123+BV123+BY123+CB123+CE123+CH123+CK123),0)</f>
        <v>0</v>
      </c>
    </row>
    <row r="124" spans="1:92" ht="15.75" hidden="1" thickBot="1" x14ac:dyDescent="0.25">
      <c r="A124" s="537" t="str">
        <f>TEXT(D123,"0,00")&amp;"       "&amp;TEXT(E123,"0,00")&amp;"       "&amp;TEXT(F123,"0,00")</f>
        <v>0,00       0,00       0,00</v>
      </c>
      <c r="B124" s="538"/>
      <c r="C124" s="230"/>
      <c r="D124" s="210"/>
      <c r="E124" s="208">
        <f>IF(ISTEXT($C124),(H124*letrapeso(H125)+#REF!*letrapeso(#REF!)+L124*letrapeso(L125)+O124*letrapeso(O125)+R124*letrapeso(R125)+#REF!*letrapeso(#REF!)+U124*letrapeso(U125)+X124*letrapeso(X125)+AA124*letrapeso(AA125)+AD124*letrapeso(AD125)+AG124*letrapeso(AG125))/(letrapeso(H125)+letrapeso(#REF!)+letrapeso(L125)+letrapeso(O125)+letrapeso(R125)+letrapeso(#REF!)+letrapeso(U125)+letrapeso(X125)+letrapeso(AA125)+letrapeso(AD125)+letrapeso(AG125)),0)</f>
        <v>0</v>
      </c>
      <c r="F124" s="209"/>
      <c r="G124" s="231" t="str">
        <f>PEsoLetra('Digitar aqui Notas e Pesos'!D124)</f>
        <v/>
      </c>
      <c r="H124" s="232" t="str">
        <f>PEsoLetra('Digitar aqui Notas e Pesos'!E124)</f>
        <v/>
      </c>
      <c r="I124" s="566"/>
      <c r="J124" s="490"/>
      <c r="K124" s="231" t="str">
        <f>PEsoLetra('Digitar aqui Notas e Pesos'!G124)</f>
        <v/>
      </c>
      <c r="L124" s="232" t="str">
        <f>PEsoLetra('Digitar aqui Notas e Pesos'!H124)</f>
        <v/>
      </c>
      <c r="M124" s="554"/>
      <c r="N124" s="231" t="str">
        <f>PEsoLetra('Digitar aqui Notas e Pesos'!J124)</f>
        <v/>
      </c>
      <c r="O124" s="232" t="str">
        <f>PEsoLetra('Digitar aqui Notas e Pesos'!K124)</f>
        <v/>
      </c>
      <c r="P124" s="554"/>
      <c r="Q124" s="231" t="str">
        <f>PEsoLetra('Digitar aqui Notas e Pesos'!M124)</f>
        <v/>
      </c>
      <c r="R124" s="232" t="str">
        <f>PEsoLetra('Digitar aqui Notas e Pesos'!N124)</f>
        <v/>
      </c>
      <c r="S124" s="554"/>
      <c r="T124" s="231" t="str">
        <f>PEsoLetra('Digitar aqui Notas e Pesos'!P124)</f>
        <v/>
      </c>
      <c r="U124" s="232" t="str">
        <f>PEsoLetra('Digitar aqui Notas e Pesos'!Q124)</f>
        <v/>
      </c>
      <c r="V124" s="554"/>
      <c r="W124" s="231" t="str">
        <f>PEsoLetra('Digitar aqui Notas e Pesos'!S124)</f>
        <v/>
      </c>
      <c r="X124" s="232" t="str">
        <f>PEsoLetra('Digitar aqui Notas e Pesos'!T124)</f>
        <v/>
      </c>
      <c r="Y124" s="554"/>
      <c r="Z124" s="231" t="str">
        <f>PEsoLetra('Digitar aqui Notas e Pesos'!V124)</f>
        <v/>
      </c>
      <c r="AA124" s="232" t="str">
        <f>PEsoLetra('Digitar aqui Notas e Pesos'!W124)</f>
        <v/>
      </c>
      <c r="AB124" s="554"/>
      <c r="AC124" s="231" t="str">
        <f>PEsoLetra('Digitar aqui Notas e Pesos'!Y124)</f>
        <v/>
      </c>
      <c r="AD124" s="232" t="str">
        <f>PEsoLetra('Digitar aqui Notas e Pesos'!Z124)</f>
        <v/>
      </c>
      <c r="AE124" s="554"/>
      <c r="AF124" s="231" t="str">
        <f>PEsoLetra('Digitar aqui Notas e Pesos'!AB124)</f>
        <v/>
      </c>
      <c r="AG124" s="232" t="str">
        <f>PEsoLetra('Digitar aqui Notas e Pesos'!AC124)</f>
        <v/>
      </c>
      <c r="AH124" s="574"/>
      <c r="AI124" s="19" t="str">
        <f>+AI123</f>
        <v>Não Imprime</v>
      </c>
      <c r="AJ124" s="1"/>
      <c r="AK124" s="130"/>
      <c r="AL124" s="130"/>
      <c r="AM124" s="130"/>
      <c r="AN124" s="130"/>
      <c r="AO124" s="130"/>
      <c r="AP124" s="131"/>
      <c r="AQ124" s="130"/>
      <c r="AR124" s="130"/>
      <c r="AS124" s="131"/>
      <c r="AT124" s="130"/>
      <c r="AU124" s="130"/>
      <c r="AV124" s="131"/>
      <c r="AW124" s="130"/>
      <c r="AX124" s="130"/>
      <c r="AY124" s="131"/>
      <c r="AZ124" s="130"/>
      <c r="BA124" s="130"/>
      <c r="BB124" s="131"/>
      <c r="BC124" s="130"/>
      <c r="BD124" s="130"/>
      <c r="BE124" s="131"/>
      <c r="BF124" s="130"/>
      <c r="BG124" s="130"/>
      <c r="BH124" s="131"/>
      <c r="BI124" s="130"/>
      <c r="BJ124" s="130"/>
      <c r="BK124" s="131"/>
      <c r="CM124" s="28"/>
      <c r="CN124" s="28"/>
    </row>
    <row r="125" spans="1:92" ht="15.75" hidden="1" thickBot="1" x14ac:dyDescent="0.25">
      <c r="A125" s="546" t="str">
        <f>'Digitar aqui Notas e Pesos'!A125</f>
        <v>Nome da Atividade 4 da Unidade 7</v>
      </c>
      <c r="B125" s="547"/>
      <c r="C125" s="229">
        <f>IF('Digitar aqui Notas e Pesos'!C125,PEsoLetra('Digitar aqui Notas e Pesos'!C125),0)</f>
        <v>0</v>
      </c>
      <c r="D125" s="208">
        <f>IF(ISTEXT($C125),(G125*letrapeso(G126)+K125*letrapeso(K126)+N125*letrapeso(N126)+Q125*letrapeso(Q126)+T125*letrapeso(T126)+W125*letrapeso(W126)+Z125*letrapeso(Z126)+AC125*letrapeso(AC126)+AF125*letrapeso(AF126))/(letrapeso(G126)+letrapeso(K126)+letrapeso(N126)+letrapeso(Q126)+letrapeso(T126)+letrapeso(W126)+letrapeso(Z126)+letrapeso(AC126)+letrapeso(AF126)),0)</f>
        <v>0</v>
      </c>
      <c r="E125" s="208">
        <f>IF(ISTEXT($C125),(H125*letrapeso(H126)+L125*letrapeso(L126)+O125*letrapeso(O126)+R125*letrapeso(R126)+U125*letrapeso(U126)+X125*letrapeso(X126)+AA125*letrapeso(AA126)+AD125*letrapeso(AD126)+AG125*letrapeso(AG126))/(letrapeso(H126)+letrapeso(L126)+letrapeso(O126)+letrapeso(R126)+letrapeso(U126)+letrapeso(X126)+letrapeso(AA126)+letrapeso(AD126)+letrapeso(AG126)),0)</f>
        <v>0</v>
      </c>
      <c r="F125" s="209">
        <f>IF(ISTEXT($C125),(D125*$A$145+E125*$A$146),0)</f>
        <v>0</v>
      </c>
      <c r="G125" s="259">
        <f>'Digitar aqui Notas e Pesos'!D125</f>
        <v>0</v>
      </c>
      <c r="H125" s="116">
        <f>'Digitar aqui Notas e Pesos'!E125</f>
        <v>0</v>
      </c>
      <c r="I125" s="565">
        <f>IF(AND(G125&lt;&gt;0,H125&lt;&gt;0,$C125&lt;&gt;0),(G125*letrapeso(G126)*$A$145+H125*letrapeso(H126)*$A$146)/(letrapeso(G126)*$A$145+letrapeso(H126)*$A$146),0)</f>
        <v>0</v>
      </c>
      <c r="J125" s="259">
        <f>'Digitar aqui Notas e Pesos'!F125</f>
        <v>0</v>
      </c>
      <c r="K125" s="259">
        <f>'Digitar aqui Notas e Pesos'!G125</f>
        <v>0</v>
      </c>
      <c r="L125" s="116">
        <f>'Digitar aqui Notas e Pesos'!H125</f>
        <v>0</v>
      </c>
      <c r="M125" s="553">
        <f>IF(AND(K125&lt;&gt;0,L125&lt;&gt;0,$C125&lt;&gt;0),(K125*letrapeso(K126)*$A$145+L125*letrapeso(L126)*$A$146)/(letrapeso(K126)*$A$145+letrapeso(L126)*$A$146),0)</f>
        <v>0</v>
      </c>
      <c r="N125" s="259">
        <f>'Digitar aqui Notas e Pesos'!J125</f>
        <v>0</v>
      </c>
      <c r="O125" s="116">
        <f>'Digitar aqui Notas e Pesos'!K125</f>
        <v>0</v>
      </c>
      <c r="P125" s="553">
        <f>IF(AND(N125&lt;&gt;0,O125&lt;&gt;0,$C125&lt;&gt;0),(N125*letrapeso(N126)*$A$145+O125*letrapeso(O126)*$A$146)/(letrapeso(N126)*$A$145+letrapeso(O126)*$A$146),0)</f>
        <v>0</v>
      </c>
      <c r="Q125" s="259">
        <f>'Digitar aqui Notas e Pesos'!M125</f>
        <v>0</v>
      </c>
      <c r="R125" s="116">
        <f>'Digitar aqui Notas e Pesos'!N125</f>
        <v>0</v>
      </c>
      <c r="S125" s="553">
        <f>IF(AND(Q125&lt;&gt;0,R125&lt;&gt;0,$C125&lt;&gt;0),(Q125*letrapeso(Q126)*$A$145+R125*letrapeso(R126)*$A$146)/(letrapeso(Q126)*$A$145+letrapeso(R126)*$A$146),0)</f>
        <v>0</v>
      </c>
      <c r="T125" s="259">
        <f>'Digitar aqui Notas e Pesos'!P125</f>
        <v>0</v>
      </c>
      <c r="U125" s="116">
        <f>'Digitar aqui Notas e Pesos'!Q125</f>
        <v>0</v>
      </c>
      <c r="V125" s="553">
        <f>IF(AND(T125&lt;&gt;0,U125&lt;&gt;0,$C125&lt;&gt;0),(T125*letrapeso(T126)*$A$145+U125*letrapeso(U126)*$A$146)/(letrapeso(T126)*$A$145+letrapeso(U126)*$A$146),0)</f>
        <v>0</v>
      </c>
      <c r="W125" s="259">
        <f>'Digitar aqui Notas e Pesos'!S125</f>
        <v>0</v>
      </c>
      <c r="X125" s="116">
        <f>'Digitar aqui Notas e Pesos'!T125</f>
        <v>0</v>
      </c>
      <c r="Y125" s="553">
        <f>IF(AND(W125&lt;&gt;0,X125&lt;&gt;0,$C125&lt;&gt;0),(W125*letrapeso(W126)*$A$145+X125*letrapeso(X126)*$A$146)/(letrapeso(W126)*$A$145+letrapeso(X126)*$A$146),0)</f>
        <v>0</v>
      </c>
      <c r="Z125" s="259">
        <f>'Digitar aqui Notas e Pesos'!V125</f>
        <v>0</v>
      </c>
      <c r="AA125" s="116">
        <f>'Digitar aqui Notas e Pesos'!W125</f>
        <v>0</v>
      </c>
      <c r="AB125" s="553">
        <f>IF(AND(Z125&lt;&gt;0,AA125&lt;&gt;0,$C125&lt;&gt;0),(Z125*letrapeso(Z126)*$A$145+AA125*letrapeso(AA126)*$A$146)/(letrapeso(Z126)*$A$145+letrapeso(AA126)*$A$146),0)</f>
        <v>0</v>
      </c>
      <c r="AC125" s="259">
        <f>'Digitar aqui Notas e Pesos'!Y125</f>
        <v>0</v>
      </c>
      <c r="AD125" s="116">
        <f>'Digitar aqui Notas e Pesos'!Z125</f>
        <v>0</v>
      </c>
      <c r="AE125" s="553">
        <f>IF(AND(AC125&lt;&gt;0,AD125&lt;&gt;0,$C125&lt;&gt;0),(AC125*letrapeso(AC126)*$A$145+AD125*letrapeso(AD126)*$A$146)/(letrapeso(AC126)*$A$145+letrapeso(AD126)*$A$146),0)</f>
        <v>0</v>
      </c>
      <c r="AF125" s="259">
        <f>'Digitar aqui Notas e Pesos'!AB125</f>
        <v>0</v>
      </c>
      <c r="AG125" s="116">
        <f>'Digitar aqui Notas e Pesos'!AC125</f>
        <v>0</v>
      </c>
      <c r="AH125" s="573">
        <f>IF(AND(AF125&lt;&gt;0,AG125&lt;&gt;0,$C125&lt;&gt;0),(AF125*letrapeso(AF126)*$A$145+AG125*letrapeso(AG126)*$A$146)/(letrapeso(AF126)*$A$145+letrapeso(AG126)*$A$146),0)</f>
        <v>0</v>
      </c>
      <c r="AI125" s="8" t="str">
        <f>IF(letrapeso(C125),"Imprime","Não Imprime")</f>
        <v>Não Imprime</v>
      </c>
      <c r="AJ125" s="14" t="s">
        <v>28</v>
      </c>
      <c r="AK125" s="129">
        <f>G125*letrapeso(G126)*letrapeso($C125)</f>
        <v>0</v>
      </c>
      <c r="AL125" s="129">
        <f>H125*letrapeso(H126)*letrapeso($C125)</f>
        <v>0</v>
      </c>
      <c r="AM125" s="129">
        <f>J125*letrapeso(G126)*letrapeso($C125)</f>
        <v>0</v>
      </c>
      <c r="AN125" s="129">
        <f>K125*letrapeso(K126)*letrapeso($C125)</f>
        <v>0</v>
      </c>
      <c r="AO125" s="129">
        <f>L125*letrapeso(L126)*letrapeso($C125)</f>
        <v>0</v>
      </c>
      <c r="AP125" s="131"/>
      <c r="AQ125" s="129">
        <f>N125*letrapeso(N126)*letrapeso($C125)</f>
        <v>0</v>
      </c>
      <c r="AR125" s="129">
        <f>O125*letrapeso(O126)*letrapeso($C125)</f>
        <v>0</v>
      </c>
      <c r="AS125" s="131"/>
      <c r="AT125" s="129">
        <f>Q125*letrapeso(Q126)*letrapeso($C125)</f>
        <v>0</v>
      </c>
      <c r="AU125" s="129">
        <f>R125*letrapeso(R126)*letrapeso($C125)</f>
        <v>0</v>
      </c>
      <c r="AV125" s="131"/>
      <c r="AW125" s="129">
        <f>T125*letrapeso(T126)*letrapeso($C125)</f>
        <v>0</v>
      </c>
      <c r="AX125" s="129">
        <f>U125*letrapeso(U126)*letrapeso($C125)</f>
        <v>0</v>
      </c>
      <c r="AY125" s="131"/>
      <c r="AZ125" s="129">
        <f>W125*letrapeso(W126)*letrapeso($C125)</f>
        <v>0</v>
      </c>
      <c r="BA125" s="129">
        <f>X125*letrapeso(X126)*letrapeso($C125)</f>
        <v>0</v>
      </c>
      <c r="BB125" s="131"/>
      <c r="BC125" s="129">
        <f>Z125*letrapeso(Z126)*letrapeso($C125)</f>
        <v>0</v>
      </c>
      <c r="BD125" s="129">
        <f>AA125*letrapeso(AA126)*letrapeso($C125)</f>
        <v>0</v>
      </c>
      <c r="BE125" s="131"/>
      <c r="BF125" s="129">
        <f>AC125*letrapeso(AC126)*letrapeso($C125)</f>
        <v>0</v>
      </c>
      <c r="BG125" s="129">
        <f>AD125*letrapeso(AD126)*letrapeso($C125)</f>
        <v>0</v>
      </c>
      <c r="BH125" s="131"/>
      <c r="BI125" s="129">
        <f>AF125*letrapeso(AF126)*letrapeso($C125)</f>
        <v>0</v>
      </c>
      <c r="BJ125" s="129">
        <f>AG125*letrapeso(AG126)*letrapeso($C125)</f>
        <v>0</v>
      </c>
      <c r="BK125" s="131"/>
      <c r="BL125" s="171">
        <f>letrapeso(G126)</f>
        <v>0</v>
      </c>
      <c r="BM125" s="171">
        <f>letrapeso(H126)</f>
        <v>0</v>
      </c>
      <c r="BN125" s="41"/>
      <c r="BO125" s="171">
        <f>letrapeso(K126)</f>
        <v>0</v>
      </c>
      <c r="BP125" s="171">
        <f>letrapeso(L126)</f>
        <v>0</v>
      </c>
      <c r="BQ125" s="41"/>
      <c r="BR125" s="171">
        <f>letrapeso(N126)</f>
        <v>0</v>
      </c>
      <c r="BS125" s="171">
        <f>letrapeso(O126)</f>
        <v>0</v>
      </c>
      <c r="BT125" s="41"/>
      <c r="BU125" s="171">
        <f>letrapeso(Q126)</f>
        <v>0</v>
      </c>
      <c r="BV125" s="171">
        <f>letrapeso(R126)</f>
        <v>0</v>
      </c>
      <c r="BW125" s="41"/>
      <c r="BX125" s="171">
        <f>letrapeso(T126)</f>
        <v>0</v>
      </c>
      <c r="BY125" s="171">
        <f>letrapeso(U126)</f>
        <v>0</v>
      </c>
      <c r="BZ125" s="41"/>
      <c r="CA125" s="171">
        <f>letrapeso(W126)</f>
        <v>0</v>
      </c>
      <c r="CB125" s="171">
        <f>letrapeso(X126)</f>
        <v>0</v>
      </c>
      <c r="CC125" s="41"/>
      <c r="CD125" s="171">
        <f>letrapeso(Z126)</f>
        <v>0</v>
      </c>
      <c r="CE125" s="171">
        <f>letrapeso(AA126)</f>
        <v>0</v>
      </c>
      <c r="CF125" s="41"/>
      <c r="CG125" s="171">
        <f>letrapeso(AC126)</f>
        <v>0</v>
      </c>
      <c r="CH125" s="171">
        <f>letrapeso(AD126)</f>
        <v>0</v>
      </c>
      <c r="CI125" s="41"/>
      <c r="CJ125" s="171">
        <f>letrapeso(AF126)</f>
        <v>0</v>
      </c>
      <c r="CK125" s="171">
        <f>letrapeso(AG126)</f>
        <v>0</v>
      </c>
      <c r="CL125" s="41"/>
      <c r="CM125" s="41">
        <f>IF(ISTEXT($C125),(BL125+BO125+BR125+BU125+BX125+CA125+CD125+CG125+CJ125),0)</f>
        <v>0</v>
      </c>
      <c r="CN125" s="41">
        <f>IF(ISTEXT($C125),(BM125+BP125+BS125+BV125+BY125+CB125+CE125+CH125+CK125),0)</f>
        <v>0</v>
      </c>
    </row>
    <row r="126" spans="1:92" ht="15.75" hidden="1" thickBot="1" x14ac:dyDescent="0.25">
      <c r="A126" s="537" t="str">
        <f>TEXT(D125,"0,00")&amp;"       "&amp;TEXT(E125,"0,00")&amp;"       "&amp;TEXT(F125,"0,00")</f>
        <v>0,00       0,00       0,00</v>
      </c>
      <c r="B126" s="538"/>
      <c r="C126" s="230"/>
      <c r="D126" s="210"/>
      <c r="E126" s="208">
        <f>IF(ISTEXT($C126),(H126*letrapeso(H127)+#REF!*letrapeso(#REF!)+L126*letrapeso(L127)+O126*letrapeso(O127)+R126*letrapeso(R127)+#REF!*letrapeso(#REF!)+U126*letrapeso(U127)+X126*letrapeso(X127)+AA126*letrapeso(AA127)+AD126*letrapeso(AD127)+AG126*letrapeso(AG127))/(letrapeso(H127)+letrapeso(#REF!)+letrapeso(L127)+letrapeso(O127)+letrapeso(R127)+letrapeso(#REF!)+letrapeso(U127)+letrapeso(X127)+letrapeso(AA127)+letrapeso(AD127)+letrapeso(AG127)),0)</f>
        <v>0</v>
      </c>
      <c r="F126" s="209"/>
      <c r="G126" s="231" t="str">
        <f>PEsoLetra('Digitar aqui Notas e Pesos'!D126)</f>
        <v/>
      </c>
      <c r="H126" s="232" t="str">
        <f>PEsoLetra('Digitar aqui Notas e Pesos'!E126)</f>
        <v/>
      </c>
      <c r="I126" s="566"/>
      <c r="J126" s="490"/>
      <c r="K126" s="231" t="str">
        <f>PEsoLetra('Digitar aqui Notas e Pesos'!G126)</f>
        <v/>
      </c>
      <c r="L126" s="232" t="str">
        <f>PEsoLetra('Digitar aqui Notas e Pesos'!H126)</f>
        <v/>
      </c>
      <c r="M126" s="554"/>
      <c r="N126" s="231" t="str">
        <f>PEsoLetra('Digitar aqui Notas e Pesos'!J126)</f>
        <v/>
      </c>
      <c r="O126" s="232" t="str">
        <f>PEsoLetra('Digitar aqui Notas e Pesos'!K126)</f>
        <v/>
      </c>
      <c r="P126" s="554"/>
      <c r="Q126" s="231" t="str">
        <f>PEsoLetra('Digitar aqui Notas e Pesos'!M126)</f>
        <v/>
      </c>
      <c r="R126" s="232" t="str">
        <f>PEsoLetra('Digitar aqui Notas e Pesos'!N126)</f>
        <v/>
      </c>
      <c r="S126" s="554"/>
      <c r="T126" s="231" t="str">
        <f>PEsoLetra('Digitar aqui Notas e Pesos'!P126)</f>
        <v/>
      </c>
      <c r="U126" s="232" t="str">
        <f>PEsoLetra('Digitar aqui Notas e Pesos'!Q126)</f>
        <v/>
      </c>
      <c r="V126" s="554"/>
      <c r="W126" s="231" t="str">
        <f>PEsoLetra('Digitar aqui Notas e Pesos'!S126)</f>
        <v/>
      </c>
      <c r="X126" s="232" t="str">
        <f>PEsoLetra('Digitar aqui Notas e Pesos'!T126)</f>
        <v/>
      </c>
      <c r="Y126" s="554"/>
      <c r="Z126" s="231" t="str">
        <f>PEsoLetra('Digitar aqui Notas e Pesos'!V126)</f>
        <v/>
      </c>
      <c r="AA126" s="232" t="str">
        <f>PEsoLetra('Digitar aqui Notas e Pesos'!W126)</f>
        <v/>
      </c>
      <c r="AB126" s="554"/>
      <c r="AC126" s="231" t="str">
        <f>PEsoLetra('Digitar aqui Notas e Pesos'!Y126)</f>
        <v/>
      </c>
      <c r="AD126" s="232" t="str">
        <f>PEsoLetra('Digitar aqui Notas e Pesos'!Z126)</f>
        <v/>
      </c>
      <c r="AE126" s="554"/>
      <c r="AF126" s="231" t="str">
        <f>PEsoLetra('Digitar aqui Notas e Pesos'!AB126)</f>
        <v/>
      </c>
      <c r="AG126" s="232" t="str">
        <f>PEsoLetra('Digitar aqui Notas e Pesos'!AC126)</f>
        <v/>
      </c>
      <c r="AH126" s="574"/>
      <c r="AI126" s="19" t="str">
        <f>+AI125</f>
        <v>Não Imprime</v>
      </c>
      <c r="AJ126" s="1"/>
      <c r="AK126" s="130"/>
      <c r="AL126" s="130"/>
      <c r="AM126" s="130"/>
      <c r="AN126" s="130"/>
      <c r="AO126" s="130"/>
      <c r="AP126" s="131"/>
      <c r="AQ126" s="130"/>
      <c r="AR126" s="130"/>
      <c r="AS126" s="131"/>
      <c r="AT126" s="130"/>
      <c r="AU126" s="130"/>
      <c r="AV126" s="131"/>
      <c r="AW126" s="130"/>
      <c r="AX126" s="130"/>
      <c r="AY126" s="131"/>
      <c r="AZ126" s="130"/>
      <c r="BA126" s="130"/>
      <c r="BB126" s="131"/>
      <c r="BC126" s="130"/>
      <c r="BD126" s="130"/>
      <c r="BE126" s="131"/>
      <c r="BF126" s="130"/>
      <c r="BG126" s="130"/>
      <c r="BH126" s="131"/>
      <c r="BI126" s="130"/>
      <c r="BJ126" s="130"/>
      <c r="BK126" s="131"/>
      <c r="CM126" s="28"/>
      <c r="CN126" s="28"/>
    </row>
    <row r="127" spans="1:92" ht="15.75" hidden="1" thickBot="1" x14ac:dyDescent="0.25">
      <c r="A127" s="546" t="str">
        <f>'Digitar aqui Notas e Pesos'!A127</f>
        <v>Nome da Atividade 5 da Unidade 7</v>
      </c>
      <c r="B127" s="547"/>
      <c r="C127" s="229">
        <f>IF('Digitar aqui Notas e Pesos'!C127,PEsoLetra('Digitar aqui Notas e Pesos'!C127),0)</f>
        <v>0</v>
      </c>
      <c r="D127" s="208">
        <f>IF(ISTEXT($C127),(G127*letrapeso(G128)+K127*letrapeso(K128)+N127*letrapeso(N128)+Q127*letrapeso(Q128)+T127*letrapeso(T128)+W127*letrapeso(W128)+Z127*letrapeso(Z128)+AC127*letrapeso(AC128)+AF127*letrapeso(AF128))/(letrapeso(G128)+letrapeso(K128)+letrapeso(N128)+letrapeso(Q128)+letrapeso(T128)+letrapeso(W128)+letrapeso(Z128)+letrapeso(AC128)+letrapeso(AF128)),0)</f>
        <v>0</v>
      </c>
      <c r="E127" s="208">
        <f>IF(ISTEXT($C127),(H127*letrapeso(H128)+L127*letrapeso(L128)+O127*letrapeso(O128)+R127*letrapeso(R128)+U127*letrapeso(U128)+X127*letrapeso(X128)+AA127*letrapeso(AA128)+AD127*letrapeso(AD128)+AG127*letrapeso(AG128))/(letrapeso(H128)+letrapeso(L128)+letrapeso(O128)+letrapeso(R128)+letrapeso(U128)+letrapeso(X128)+letrapeso(AA128)+letrapeso(AD128)+letrapeso(AG128)),0)</f>
        <v>0</v>
      </c>
      <c r="F127" s="209">
        <f>IF(ISTEXT($C127),(D127*$A$145+E127*$A$146),0)</f>
        <v>0</v>
      </c>
      <c r="G127" s="259">
        <f>'Digitar aqui Notas e Pesos'!D127</f>
        <v>0</v>
      </c>
      <c r="H127" s="116">
        <f>'Digitar aqui Notas e Pesos'!E127</f>
        <v>0</v>
      </c>
      <c r="I127" s="565">
        <f>IF(AND(G127&lt;&gt;0,H127&lt;&gt;0,$C127&lt;&gt;0),(G127*letrapeso(G128)*$A$145+H127*letrapeso(H128)*$A$146)/(letrapeso(G128)*$A$145+letrapeso(H128)*$A$146),0)</f>
        <v>0</v>
      </c>
      <c r="J127" s="259">
        <f>'Digitar aqui Notas e Pesos'!F127</f>
        <v>0</v>
      </c>
      <c r="K127" s="259">
        <f>'Digitar aqui Notas e Pesos'!G127</f>
        <v>0</v>
      </c>
      <c r="L127" s="116">
        <f>'Digitar aqui Notas e Pesos'!H127</f>
        <v>0</v>
      </c>
      <c r="M127" s="553">
        <f>IF(AND(K127&lt;&gt;0,L127&lt;&gt;0,$C127&lt;&gt;0),(K127*letrapeso(K128)*$A$145+L127*letrapeso(L128)*$A$146)/(letrapeso(K128)*$A$145+letrapeso(L128)*$A$146),0)</f>
        <v>0</v>
      </c>
      <c r="N127" s="259">
        <f>'Digitar aqui Notas e Pesos'!J127</f>
        <v>0</v>
      </c>
      <c r="O127" s="116">
        <f>'Digitar aqui Notas e Pesos'!K127</f>
        <v>0</v>
      </c>
      <c r="P127" s="553">
        <f>IF(AND(N127&lt;&gt;0,O127&lt;&gt;0,$C127&lt;&gt;0),(N127*letrapeso(N128)*$A$145+O127*letrapeso(O128)*$A$146)/(letrapeso(N128)*$A$145+letrapeso(O128)*$A$146),0)</f>
        <v>0</v>
      </c>
      <c r="Q127" s="259">
        <f>'Digitar aqui Notas e Pesos'!M127</f>
        <v>0</v>
      </c>
      <c r="R127" s="116">
        <f>'Digitar aqui Notas e Pesos'!N127</f>
        <v>0</v>
      </c>
      <c r="S127" s="553">
        <f>IF(AND(Q127&lt;&gt;0,R127&lt;&gt;0,$C127&lt;&gt;0),(Q127*letrapeso(Q128)*$A$145+R127*letrapeso(R128)*$A$146)/(letrapeso(Q128)*$A$145+letrapeso(R128)*$A$146),0)</f>
        <v>0</v>
      </c>
      <c r="T127" s="259">
        <f>'Digitar aqui Notas e Pesos'!P127</f>
        <v>0</v>
      </c>
      <c r="U127" s="116">
        <f>'Digitar aqui Notas e Pesos'!Q127</f>
        <v>0</v>
      </c>
      <c r="V127" s="553">
        <f>IF(AND(T127&lt;&gt;0,U127&lt;&gt;0,$C127&lt;&gt;0),(T127*letrapeso(T128)*$A$145+U127*letrapeso(U128)*$A$146)/(letrapeso(T128)*$A$145+letrapeso(U128)*$A$146),0)</f>
        <v>0</v>
      </c>
      <c r="W127" s="259">
        <f>'Digitar aqui Notas e Pesos'!S127</f>
        <v>0</v>
      </c>
      <c r="X127" s="116">
        <f>'Digitar aqui Notas e Pesos'!T127</f>
        <v>0</v>
      </c>
      <c r="Y127" s="553">
        <f>IF(AND(W127&lt;&gt;0,X127&lt;&gt;0,$C127&lt;&gt;0),(W127*letrapeso(W128)*$A$145+X127*letrapeso(X128)*$A$146)/(letrapeso(W128)*$A$145+letrapeso(X128)*$A$146),0)</f>
        <v>0</v>
      </c>
      <c r="Z127" s="259">
        <f>'Digitar aqui Notas e Pesos'!V127</f>
        <v>0</v>
      </c>
      <c r="AA127" s="116">
        <f>'Digitar aqui Notas e Pesos'!W127</f>
        <v>0</v>
      </c>
      <c r="AB127" s="553">
        <f>IF(AND(Z127&lt;&gt;0,AA127&lt;&gt;0,$C127&lt;&gt;0),(Z127*letrapeso(Z128)*$A$145+AA127*letrapeso(AA128)*$A$146)/(letrapeso(Z128)*$A$145+letrapeso(AA128)*$A$146),0)</f>
        <v>0</v>
      </c>
      <c r="AC127" s="259">
        <f>'Digitar aqui Notas e Pesos'!Y127</f>
        <v>0</v>
      </c>
      <c r="AD127" s="116">
        <f>'Digitar aqui Notas e Pesos'!Z127</f>
        <v>0</v>
      </c>
      <c r="AE127" s="553">
        <f>IF(AND(AC127&lt;&gt;0,AD127&lt;&gt;0,$C127&lt;&gt;0),(AC127*letrapeso(AC128)*$A$145+AD127*letrapeso(AD128)*$A$146)/(letrapeso(AC128)*$A$145+letrapeso(AD128)*$A$146),0)</f>
        <v>0</v>
      </c>
      <c r="AF127" s="259">
        <f>'Digitar aqui Notas e Pesos'!AB127</f>
        <v>0</v>
      </c>
      <c r="AG127" s="116">
        <f>'Digitar aqui Notas e Pesos'!AC127</f>
        <v>0</v>
      </c>
      <c r="AH127" s="573">
        <f>IF(AND(AF127&lt;&gt;0,AG127&lt;&gt;0,$C127&lt;&gt;0),(AF127*letrapeso(AF128)*$A$145+AG127*letrapeso(AG128)*$A$146)/(letrapeso(AF128)*$A$145+letrapeso(AG128)*$A$146),0)</f>
        <v>0</v>
      </c>
      <c r="AI127" s="8" t="str">
        <f>IF(letrapeso(C127),"Imprime","Não Imprime")</f>
        <v>Não Imprime</v>
      </c>
      <c r="AJ127" s="14" t="s">
        <v>28</v>
      </c>
      <c r="AK127" s="129">
        <f>G127*letrapeso(G128)*letrapeso($C127)</f>
        <v>0</v>
      </c>
      <c r="AL127" s="129">
        <f>H127*letrapeso(H128)*letrapeso($C127)</f>
        <v>0</v>
      </c>
      <c r="AM127" s="129">
        <f>J127*letrapeso(G128)*letrapeso($C127)</f>
        <v>0</v>
      </c>
      <c r="AN127" s="129">
        <f>K127*letrapeso(K128)*letrapeso($C127)</f>
        <v>0</v>
      </c>
      <c r="AO127" s="129">
        <f>L127*letrapeso(L128)*letrapeso($C127)</f>
        <v>0</v>
      </c>
      <c r="AP127" s="131"/>
      <c r="AQ127" s="129">
        <f>N127*letrapeso(N128)*letrapeso($C127)</f>
        <v>0</v>
      </c>
      <c r="AR127" s="129">
        <f>O127*letrapeso(O128)*letrapeso($C127)</f>
        <v>0</v>
      </c>
      <c r="AS127" s="131"/>
      <c r="AT127" s="129">
        <f>Q127*letrapeso(Q128)*letrapeso($C127)</f>
        <v>0</v>
      </c>
      <c r="AU127" s="129">
        <f>R127*letrapeso(R128)*letrapeso($C127)</f>
        <v>0</v>
      </c>
      <c r="AV127" s="131"/>
      <c r="AW127" s="129">
        <f>T127*letrapeso(T128)*letrapeso($C127)</f>
        <v>0</v>
      </c>
      <c r="AX127" s="129">
        <f>U127*letrapeso(U128)*letrapeso($C127)</f>
        <v>0</v>
      </c>
      <c r="AY127" s="131"/>
      <c r="AZ127" s="129">
        <f>W127*letrapeso(W128)*letrapeso($C127)</f>
        <v>0</v>
      </c>
      <c r="BA127" s="129">
        <f>X127*letrapeso(X128)*letrapeso($C127)</f>
        <v>0</v>
      </c>
      <c r="BB127" s="131"/>
      <c r="BC127" s="129">
        <f>Z127*letrapeso(Z128)*letrapeso($C127)</f>
        <v>0</v>
      </c>
      <c r="BD127" s="129">
        <f>AA127*letrapeso(AA128)*letrapeso($C127)</f>
        <v>0</v>
      </c>
      <c r="BE127" s="131"/>
      <c r="BF127" s="129">
        <f>AC127*letrapeso(AC128)*letrapeso($C127)</f>
        <v>0</v>
      </c>
      <c r="BG127" s="129">
        <f>AD127*letrapeso(AD128)*letrapeso($C127)</f>
        <v>0</v>
      </c>
      <c r="BH127" s="131"/>
      <c r="BI127" s="129">
        <f>AF127*letrapeso(AF128)*letrapeso($C127)</f>
        <v>0</v>
      </c>
      <c r="BJ127" s="129">
        <f>AG127*letrapeso(AG128)*letrapeso($C127)</f>
        <v>0</v>
      </c>
      <c r="BK127" s="131"/>
      <c r="BL127" s="171">
        <f>letrapeso(G128)</f>
        <v>0</v>
      </c>
      <c r="BM127" s="171">
        <f>letrapeso(H128)</f>
        <v>0</v>
      </c>
      <c r="BN127" s="41"/>
      <c r="BO127" s="171">
        <f>letrapeso(K128)</f>
        <v>0</v>
      </c>
      <c r="BP127" s="171">
        <f>letrapeso(L128)</f>
        <v>0</v>
      </c>
      <c r="BQ127" s="41"/>
      <c r="BR127" s="171">
        <f>letrapeso(N128)</f>
        <v>0</v>
      </c>
      <c r="BS127" s="171">
        <f>letrapeso(O128)</f>
        <v>0</v>
      </c>
      <c r="BT127" s="41"/>
      <c r="BU127" s="171">
        <f>letrapeso(Q128)</f>
        <v>0</v>
      </c>
      <c r="BV127" s="171">
        <f>letrapeso(R128)</f>
        <v>0</v>
      </c>
      <c r="BW127" s="41"/>
      <c r="BX127" s="171">
        <f>letrapeso(T128)</f>
        <v>0</v>
      </c>
      <c r="BY127" s="171">
        <f>letrapeso(U128)</f>
        <v>0</v>
      </c>
      <c r="BZ127" s="41"/>
      <c r="CA127" s="171">
        <f>letrapeso(W128)</f>
        <v>0</v>
      </c>
      <c r="CB127" s="171">
        <f>letrapeso(X128)</f>
        <v>0</v>
      </c>
      <c r="CC127" s="41"/>
      <c r="CD127" s="171">
        <f>letrapeso(Z128)</f>
        <v>0</v>
      </c>
      <c r="CE127" s="171">
        <f>letrapeso(AA128)</f>
        <v>0</v>
      </c>
      <c r="CF127" s="41"/>
      <c r="CG127" s="171">
        <f>letrapeso(AC128)</f>
        <v>0</v>
      </c>
      <c r="CH127" s="171">
        <f>letrapeso(AD128)</f>
        <v>0</v>
      </c>
      <c r="CI127" s="41"/>
      <c r="CJ127" s="171">
        <f>letrapeso(AF128)</f>
        <v>0</v>
      </c>
      <c r="CK127" s="171">
        <f>letrapeso(AG128)</f>
        <v>0</v>
      </c>
      <c r="CL127" s="41"/>
      <c r="CM127" s="41">
        <f>IF(ISTEXT($C127),(BL127+BO127+BR127+BU127+BX127+CA127+CD127+CG127+CJ127),0)</f>
        <v>0</v>
      </c>
      <c r="CN127" s="41">
        <f>IF(ISTEXT($C127),(BM127+BP127+BS127+BV127+BY127+CB127+CE127+CH127+CK127),0)</f>
        <v>0</v>
      </c>
    </row>
    <row r="128" spans="1:92" ht="15.75" hidden="1" thickBot="1" x14ac:dyDescent="0.25">
      <c r="A128" s="537" t="str">
        <f>TEXT(D127,"0,00")&amp;"       "&amp;TEXT(E127,"0,00")&amp;"       "&amp;TEXT(F127,"0,00")</f>
        <v>0,00       0,00       0,00</v>
      </c>
      <c r="B128" s="538"/>
      <c r="C128" s="230"/>
      <c r="D128" s="210"/>
      <c r="E128" s="208">
        <f>IF(ISTEXT($C128),(H128*letrapeso(H129)+#REF!*letrapeso(#REF!)+L128*letrapeso(L129)+O128*letrapeso(O129)+R128*letrapeso(R129)+#REF!*letrapeso(#REF!)+U128*letrapeso(U129)+X128*letrapeso(X129)+AA128*letrapeso(AA129)+AD128*letrapeso(AD129)+AG128*letrapeso(AG129))/(letrapeso(H129)+letrapeso(#REF!)+letrapeso(L129)+letrapeso(O129)+letrapeso(R129)+letrapeso(#REF!)+letrapeso(U129)+letrapeso(X129)+letrapeso(AA129)+letrapeso(AD129)+letrapeso(AG129)),0)</f>
        <v>0</v>
      </c>
      <c r="F128" s="209"/>
      <c r="G128" s="231" t="str">
        <f>PEsoLetra('Digitar aqui Notas e Pesos'!D128)</f>
        <v/>
      </c>
      <c r="H128" s="232" t="str">
        <f>PEsoLetra('Digitar aqui Notas e Pesos'!E128)</f>
        <v/>
      </c>
      <c r="I128" s="566"/>
      <c r="J128" s="490"/>
      <c r="K128" s="231" t="str">
        <f>PEsoLetra('Digitar aqui Notas e Pesos'!G128)</f>
        <v/>
      </c>
      <c r="L128" s="232" t="str">
        <f>PEsoLetra('Digitar aqui Notas e Pesos'!H128)</f>
        <v/>
      </c>
      <c r="M128" s="554"/>
      <c r="N128" s="231" t="str">
        <f>PEsoLetra('Digitar aqui Notas e Pesos'!J128)</f>
        <v/>
      </c>
      <c r="O128" s="232" t="str">
        <f>PEsoLetra('Digitar aqui Notas e Pesos'!K128)</f>
        <v/>
      </c>
      <c r="P128" s="554"/>
      <c r="Q128" s="231" t="str">
        <f>PEsoLetra('Digitar aqui Notas e Pesos'!M128)</f>
        <v/>
      </c>
      <c r="R128" s="232" t="str">
        <f>PEsoLetra('Digitar aqui Notas e Pesos'!N128)</f>
        <v/>
      </c>
      <c r="S128" s="554"/>
      <c r="T128" s="231" t="str">
        <f>PEsoLetra('Digitar aqui Notas e Pesos'!P128)</f>
        <v/>
      </c>
      <c r="U128" s="232" t="str">
        <f>PEsoLetra('Digitar aqui Notas e Pesos'!Q128)</f>
        <v/>
      </c>
      <c r="V128" s="554"/>
      <c r="W128" s="231" t="str">
        <f>PEsoLetra('Digitar aqui Notas e Pesos'!S128)</f>
        <v/>
      </c>
      <c r="X128" s="232" t="str">
        <f>PEsoLetra('Digitar aqui Notas e Pesos'!T128)</f>
        <v/>
      </c>
      <c r="Y128" s="554"/>
      <c r="Z128" s="231" t="str">
        <f>PEsoLetra('Digitar aqui Notas e Pesos'!V128)</f>
        <v/>
      </c>
      <c r="AA128" s="232" t="str">
        <f>PEsoLetra('Digitar aqui Notas e Pesos'!W128)</f>
        <v/>
      </c>
      <c r="AB128" s="554"/>
      <c r="AC128" s="231" t="str">
        <f>PEsoLetra('Digitar aqui Notas e Pesos'!Y128)</f>
        <v/>
      </c>
      <c r="AD128" s="232" t="str">
        <f>PEsoLetra('Digitar aqui Notas e Pesos'!Z128)</f>
        <v/>
      </c>
      <c r="AE128" s="554"/>
      <c r="AF128" s="231" t="str">
        <f>PEsoLetra('Digitar aqui Notas e Pesos'!AB128)</f>
        <v/>
      </c>
      <c r="AG128" s="232" t="str">
        <f>PEsoLetra('Digitar aqui Notas e Pesos'!AC128)</f>
        <v/>
      </c>
      <c r="AH128" s="574"/>
      <c r="AI128" s="19" t="str">
        <f>+AI127</f>
        <v>Não Imprime</v>
      </c>
      <c r="AJ128" s="1"/>
      <c r="AK128" s="130"/>
      <c r="AL128" s="130"/>
      <c r="AM128" s="130"/>
      <c r="AN128" s="130"/>
      <c r="AO128" s="130"/>
      <c r="AP128" s="131"/>
      <c r="AQ128" s="130"/>
      <c r="AR128" s="130"/>
      <c r="AS128" s="131"/>
      <c r="AT128" s="130"/>
      <c r="AU128" s="130"/>
      <c r="AV128" s="131"/>
      <c r="AW128" s="130"/>
      <c r="AX128" s="130"/>
      <c r="AY128" s="131"/>
      <c r="AZ128" s="130"/>
      <c r="BA128" s="130"/>
      <c r="BB128" s="131"/>
      <c r="BC128" s="130"/>
      <c r="BD128" s="130"/>
      <c r="BE128" s="131"/>
      <c r="BF128" s="130"/>
      <c r="BG128" s="130"/>
      <c r="BH128" s="131"/>
      <c r="BI128" s="130"/>
      <c r="BJ128" s="130"/>
      <c r="BK128" s="131"/>
      <c r="CM128" s="28"/>
      <c r="CN128" s="28"/>
    </row>
    <row r="129" spans="1:92" ht="15.75" hidden="1" thickBot="1" x14ac:dyDescent="0.25">
      <c r="A129" s="546" t="str">
        <f>'Digitar aqui Notas e Pesos'!A129</f>
        <v>Nome da Atividade 6 da Unidade 7</v>
      </c>
      <c r="B129" s="547"/>
      <c r="C129" s="229">
        <f>IF('Digitar aqui Notas e Pesos'!C129,PEsoLetra('Digitar aqui Notas e Pesos'!C129),0)</f>
        <v>0</v>
      </c>
      <c r="D129" s="208">
        <f>IF(ISTEXT($C129),(G129*letrapeso(G130)+K129*letrapeso(K130)+N129*letrapeso(N130)+Q129*letrapeso(Q130)+T129*letrapeso(T130)+W129*letrapeso(W130)+Z129*letrapeso(Z130)+AC129*letrapeso(AC130)+AF129*letrapeso(AF130))/(letrapeso(G130)+letrapeso(K130)+letrapeso(N130)+letrapeso(Q130)+letrapeso(T130)+letrapeso(W130)+letrapeso(Z130)+letrapeso(AC130)+letrapeso(AF130)),0)</f>
        <v>0</v>
      </c>
      <c r="E129" s="208">
        <f>IF(ISTEXT($C129),(H129*letrapeso(H130)+L129*letrapeso(L130)+O129*letrapeso(O130)+R129*letrapeso(R130)+U129*letrapeso(U130)+X129*letrapeso(X130)+AA129*letrapeso(AA130)+AD129*letrapeso(AD130)+AG129*letrapeso(AG130))/(letrapeso(H130)+letrapeso(L130)+letrapeso(O130)+letrapeso(R130)+letrapeso(U130)+letrapeso(X130)+letrapeso(AA130)+letrapeso(AD130)+letrapeso(AG130)),0)</f>
        <v>0</v>
      </c>
      <c r="F129" s="209">
        <f>IF(ISTEXT($C129),(D129*$A$145+E129*$A$146),0)</f>
        <v>0</v>
      </c>
      <c r="G129" s="259">
        <f>'Digitar aqui Notas e Pesos'!D129</f>
        <v>0</v>
      </c>
      <c r="H129" s="116">
        <f>'Digitar aqui Notas e Pesos'!E129</f>
        <v>0</v>
      </c>
      <c r="I129" s="565">
        <f>IF(AND(G129&lt;&gt;0,H129&lt;&gt;0,$C129&lt;&gt;0),(G129*letrapeso(G130)*$A$145+H129*letrapeso(H130)*$A$146)/(letrapeso(G130)*$A$145+letrapeso(H130)*$A$146),0)</f>
        <v>0</v>
      </c>
      <c r="J129" s="259">
        <f>'Digitar aqui Notas e Pesos'!F129</f>
        <v>0</v>
      </c>
      <c r="K129" s="259">
        <f>'Digitar aqui Notas e Pesos'!G129</f>
        <v>0</v>
      </c>
      <c r="L129" s="116">
        <f>'Digitar aqui Notas e Pesos'!H129</f>
        <v>0</v>
      </c>
      <c r="M129" s="553">
        <f>IF(AND(K129&lt;&gt;0,L129&lt;&gt;0,$C129&lt;&gt;0),(K129*letrapeso(K130)*$A$145+L129*letrapeso(L130)*$A$146)/(letrapeso(K130)*$A$145+letrapeso(L130)*$A$146),0)</f>
        <v>0</v>
      </c>
      <c r="N129" s="259">
        <f>'Digitar aqui Notas e Pesos'!J129</f>
        <v>0</v>
      </c>
      <c r="O129" s="116">
        <f>'Digitar aqui Notas e Pesos'!K129</f>
        <v>0</v>
      </c>
      <c r="P129" s="553">
        <f>IF(AND(N129&lt;&gt;0,O129&lt;&gt;0,$C129&lt;&gt;0),(N129*letrapeso(N130)*$A$145+O129*letrapeso(O130)*$A$146)/(letrapeso(N130)*$A$145+letrapeso(O130)*$A$146),0)</f>
        <v>0</v>
      </c>
      <c r="Q129" s="259">
        <f>'Digitar aqui Notas e Pesos'!M129</f>
        <v>0</v>
      </c>
      <c r="R129" s="116">
        <f>'Digitar aqui Notas e Pesos'!N129</f>
        <v>0</v>
      </c>
      <c r="S129" s="553">
        <f>IF(AND(Q129&lt;&gt;0,R129&lt;&gt;0,$C129&lt;&gt;0),(Q129*letrapeso(Q130)*$A$145+R129*letrapeso(R130)*$A$146)/(letrapeso(Q130)*$A$145+letrapeso(R130)*$A$146),0)</f>
        <v>0</v>
      </c>
      <c r="T129" s="259">
        <f>'Digitar aqui Notas e Pesos'!P129</f>
        <v>0</v>
      </c>
      <c r="U129" s="116">
        <f>'Digitar aqui Notas e Pesos'!Q129</f>
        <v>0</v>
      </c>
      <c r="V129" s="553">
        <f>IF(AND(T129&lt;&gt;0,U129&lt;&gt;0,$C129&lt;&gt;0),(T129*letrapeso(T130)*$A$145+U129*letrapeso(U130)*$A$146)/(letrapeso(T130)*$A$145+letrapeso(U130)*$A$146),0)</f>
        <v>0</v>
      </c>
      <c r="W129" s="259">
        <f>'Digitar aqui Notas e Pesos'!S129</f>
        <v>0</v>
      </c>
      <c r="X129" s="116">
        <f>'Digitar aqui Notas e Pesos'!T129</f>
        <v>0</v>
      </c>
      <c r="Y129" s="553">
        <f>IF(AND(W129&lt;&gt;0,X129&lt;&gt;0,$C129&lt;&gt;0),(W129*letrapeso(W130)*$A$145+X129*letrapeso(X130)*$A$146)/(letrapeso(W130)*$A$145+letrapeso(X130)*$A$146),0)</f>
        <v>0</v>
      </c>
      <c r="Z129" s="259">
        <f>'Digitar aqui Notas e Pesos'!V129</f>
        <v>0</v>
      </c>
      <c r="AA129" s="116">
        <f>'Digitar aqui Notas e Pesos'!W129</f>
        <v>0</v>
      </c>
      <c r="AB129" s="553">
        <f>IF(AND(Z129&lt;&gt;0,AA129&lt;&gt;0,$C129&lt;&gt;0),(Z129*letrapeso(Z130)*$A$145+AA129*letrapeso(AA130)*$A$146)/(letrapeso(Z130)*$A$145+letrapeso(AA130)*$A$146),0)</f>
        <v>0</v>
      </c>
      <c r="AC129" s="259">
        <f>'Digitar aqui Notas e Pesos'!Y129</f>
        <v>0</v>
      </c>
      <c r="AD129" s="116">
        <f>'Digitar aqui Notas e Pesos'!Z129</f>
        <v>0</v>
      </c>
      <c r="AE129" s="553">
        <f>IF(AND(AC129&lt;&gt;0,AD129&lt;&gt;0,$C129&lt;&gt;0),(AC129*letrapeso(AC130)*$A$145+AD129*letrapeso(AD130)*$A$146)/(letrapeso(AC130)*$A$145+letrapeso(AD130)*$A$146),0)</f>
        <v>0</v>
      </c>
      <c r="AF129" s="259">
        <f>'Digitar aqui Notas e Pesos'!AB129</f>
        <v>0</v>
      </c>
      <c r="AG129" s="116">
        <f>'Digitar aqui Notas e Pesos'!AC129</f>
        <v>0</v>
      </c>
      <c r="AH129" s="573">
        <f>IF(AND(AF129&lt;&gt;0,AG129&lt;&gt;0,$C129&lt;&gt;0),(AF129*letrapeso(AF130)*$A$145+AG129*letrapeso(AG130)*$A$146)/(letrapeso(AF130)*$A$145+letrapeso(AG130)*$A$146),0)</f>
        <v>0</v>
      </c>
      <c r="AI129" s="8" t="str">
        <f>IF(letrapeso(C129),"Imprime","Não Imprime")</f>
        <v>Não Imprime</v>
      </c>
      <c r="AJ129" s="14" t="s">
        <v>28</v>
      </c>
      <c r="AK129" s="129">
        <f>G129*letrapeso(G130)*letrapeso($C129)</f>
        <v>0</v>
      </c>
      <c r="AL129" s="129">
        <f>H129*letrapeso(H130)*letrapeso($C129)</f>
        <v>0</v>
      </c>
      <c r="AM129" s="129">
        <f>J129*letrapeso(G130)*letrapeso($C129)</f>
        <v>0</v>
      </c>
      <c r="AN129" s="129">
        <f>K129*letrapeso(K130)*letrapeso($C129)</f>
        <v>0</v>
      </c>
      <c r="AO129" s="129">
        <f>L129*letrapeso(L130)*letrapeso($C129)</f>
        <v>0</v>
      </c>
      <c r="AP129" s="131"/>
      <c r="AQ129" s="129">
        <f>N129*letrapeso(N130)*letrapeso($C129)</f>
        <v>0</v>
      </c>
      <c r="AR129" s="129">
        <f>O129*letrapeso(O130)*letrapeso($C129)</f>
        <v>0</v>
      </c>
      <c r="AS129" s="131"/>
      <c r="AT129" s="129">
        <f>Q129*letrapeso(Q130)*letrapeso($C129)</f>
        <v>0</v>
      </c>
      <c r="AU129" s="129">
        <f>R129*letrapeso(R130)*letrapeso($C129)</f>
        <v>0</v>
      </c>
      <c r="AV129" s="131"/>
      <c r="AW129" s="129">
        <f>T129*letrapeso(T130)*letrapeso($C129)</f>
        <v>0</v>
      </c>
      <c r="AX129" s="129">
        <f>U129*letrapeso(U130)*letrapeso($C129)</f>
        <v>0</v>
      </c>
      <c r="AY129" s="131"/>
      <c r="AZ129" s="129">
        <f>W129*letrapeso(W130)*letrapeso($C129)</f>
        <v>0</v>
      </c>
      <c r="BA129" s="129">
        <f>X129*letrapeso(X130)*letrapeso($C129)</f>
        <v>0</v>
      </c>
      <c r="BB129" s="131"/>
      <c r="BC129" s="129">
        <f>Z129*letrapeso(Z130)*letrapeso($C129)</f>
        <v>0</v>
      </c>
      <c r="BD129" s="129">
        <f>AA129*letrapeso(AA130)*letrapeso($C129)</f>
        <v>0</v>
      </c>
      <c r="BE129" s="131"/>
      <c r="BF129" s="129">
        <f>AC129*letrapeso(AC130)*letrapeso($C129)</f>
        <v>0</v>
      </c>
      <c r="BG129" s="129">
        <f>AD129*letrapeso(AD130)*letrapeso($C129)</f>
        <v>0</v>
      </c>
      <c r="BH129" s="131"/>
      <c r="BI129" s="129">
        <f>AF129*letrapeso(AF130)*letrapeso($C129)</f>
        <v>0</v>
      </c>
      <c r="BJ129" s="129">
        <f>AG129*letrapeso(AG130)*letrapeso($C129)</f>
        <v>0</v>
      </c>
      <c r="BK129" s="131"/>
      <c r="BL129" s="171">
        <f>letrapeso(G130)</f>
        <v>0</v>
      </c>
      <c r="BM129" s="171">
        <f>letrapeso(H130)</f>
        <v>0</v>
      </c>
      <c r="BN129" s="41"/>
      <c r="BO129" s="171">
        <f>letrapeso(K130)</f>
        <v>0</v>
      </c>
      <c r="BP129" s="171">
        <f>letrapeso(L130)</f>
        <v>0</v>
      </c>
      <c r="BQ129" s="41"/>
      <c r="BR129" s="171">
        <f>letrapeso(N130)</f>
        <v>0</v>
      </c>
      <c r="BS129" s="171">
        <f>letrapeso(O130)</f>
        <v>0</v>
      </c>
      <c r="BT129" s="41"/>
      <c r="BU129" s="171">
        <f>letrapeso(Q130)</f>
        <v>0</v>
      </c>
      <c r="BV129" s="171">
        <f>letrapeso(R130)</f>
        <v>0</v>
      </c>
      <c r="BW129" s="41"/>
      <c r="BX129" s="171">
        <f>letrapeso(T130)</f>
        <v>0</v>
      </c>
      <c r="BY129" s="171">
        <f>letrapeso(U130)</f>
        <v>0</v>
      </c>
      <c r="BZ129" s="41"/>
      <c r="CA129" s="171">
        <f>letrapeso(W130)</f>
        <v>0</v>
      </c>
      <c r="CB129" s="171">
        <f>letrapeso(X130)</f>
        <v>0</v>
      </c>
      <c r="CC129" s="41"/>
      <c r="CD129" s="171">
        <f>letrapeso(Z130)</f>
        <v>0</v>
      </c>
      <c r="CE129" s="171">
        <f>letrapeso(AA130)</f>
        <v>0</v>
      </c>
      <c r="CF129" s="41"/>
      <c r="CG129" s="171">
        <f>letrapeso(AC130)</f>
        <v>0</v>
      </c>
      <c r="CH129" s="171">
        <f>letrapeso(AD130)</f>
        <v>0</v>
      </c>
      <c r="CI129" s="41"/>
      <c r="CJ129" s="171">
        <f>letrapeso(AF130)</f>
        <v>0</v>
      </c>
      <c r="CK129" s="171">
        <f>letrapeso(AG130)</f>
        <v>0</v>
      </c>
      <c r="CL129" s="41"/>
      <c r="CM129" s="41">
        <f>IF(ISTEXT($C129),(BL129+BO129+BR129+BU129+BX129+CA129+CD129+CG129+CJ129),0)</f>
        <v>0</v>
      </c>
      <c r="CN129" s="41">
        <f>IF(ISTEXT($C129),(BM129+BP129+BS129+BV129+BY129+CB129+CE129+CH129+CK129),0)</f>
        <v>0</v>
      </c>
    </row>
    <row r="130" spans="1:92" ht="15.75" hidden="1" thickBot="1" x14ac:dyDescent="0.25">
      <c r="A130" s="537" t="str">
        <f>TEXT(D129,"0,00")&amp;"       "&amp;TEXT(E129,"0,00")&amp;"       "&amp;TEXT(F129,"0,00")</f>
        <v>0,00       0,00       0,00</v>
      </c>
      <c r="B130" s="538"/>
      <c r="C130" s="230"/>
      <c r="D130" s="210"/>
      <c r="E130" s="208">
        <f>IF(ISTEXT($C130),(H130*letrapeso(H131)+#REF!*letrapeso(#REF!)+L130*letrapeso(L131)+O130*letrapeso(O131)+R130*letrapeso(R131)+#REF!*letrapeso(#REF!)+U130*letrapeso(U131)+X130*letrapeso(X131)+AA130*letrapeso(AA131)+AD130*letrapeso(AD131)+AG130*letrapeso(AG131))/(letrapeso(H131)+letrapeso(#REF!)+letrapeso(L131)+letrapeso(O131)+letrapeso(R131)+letrapeso(#REF!)+letrapeso(U131)+letrapeso(X131)+letrapeso(AA131)+letrapeso(AD131)+letrapeso(AG131)),0)</f>
        <v>0</v>
      </c>
      <c r="F130" s="209"/>
      <c r="G130" s="231" t="str">
        <f>PEsoLetra('Digitar aqui Notas e Pesos'!D130)</f>
        <v/>
      </c>
      <c r="H130" s="232" t="str">
        <f>PEsoLetra('Digitar aqui Notas e Pesos'!E130)</f>
        <v/>
      </c>
      <c r="I130" s="566"/>
      <c r="J130" s="490"/>
      <c r="K130" s="231" t="str">
        <f>PEsoLetra('Digitar aqui Notas e Pesos'!G130)</f>
        <v/>
      </c>
      <c r="L130" s="232" t="str">
        <f>PEsoLetra('Digitar aqui Notas e Pesos'!H130)</f>
        <v/>
      </c>
      <c r="M130" s="554"/>
      <c r="N130" s="231" t="str">
        <f>PEsoLetra('Digitar aqui Notas e Pesos'!J130)</f>
        <v/>
      </c>
      <c r="O130" s="232" t="str">
        <f>PEsoLetra('Digitar aqui Notas e Pesos'!K130)</f>
        <v/>
      </c>
      <c r="P130" s="554"/>
      <c r="Q130" s="231" t="str">
        <f>PEsoLetra('Digitar aqui Notas e Pesos'!M130)</f>
        <v/>
      </c>
      <c r="R130" s="232" t="str">
        <f>PEsoLetra('Digitar aqui Notas e Pesos'!N130)</f>
        <v/>
      </c>
      <c r="S130" s="554"/>
      <c r="T130" s="231" t="str">
        <f>PEsoLetra('Digitar aqui Notas e Pesos'!P130)</f>
        <v/>
      </c>
      <c r="U130" s="232" t="str">
        <f>PEsoLetra('Digitar aqui Notas e Pesos'!Q130)</f>
        <v/>
      </c>
      <c r="V130" s="554"/>
      <c r="W130" s="231" t="str">
        <f>PEsoLetra('Digitar aqui Notas e Pesos'!S130)</f>
        <v/>
      </c>
      <c r="X130" s="232" t="str">
        <f>PEsoLetra('Digitar aqui Notas e Pesos'!T130)</f>
        <v/>
      </c>
      <c r="Y130" s="554"/>
      <c r="Z130" s="231" t="str">
        <f>PEsoLetra('Digitar aqui Notas e Pesos'!V130)</f>
        <v/>
      </c>
      <c r="AA130" s="232" t="str">
        <f>PEsoLetra('Digitar aqui Notas e Pesos'!W130)</f>
        <v/>
      </c>
      <c r="AB130" s="554"/>
      <c r="AC130" s="231" t="str">
        <f>PEsoLetra('Digitar aqui Notas e Pesos'!Y130)</f>
        <v/>
      </c>
      <c r="AD130" s="232" t="str">
        <f>PEsoLetra('Digitar aqui Notas e Pesos'!Z130)</f>
        <v/>
      </c>
      <c r="AE130" s="554"/>
      <c r="AF130" s="231" t="str">
        <f>PEsoLetra('Digitar aqui Notas e Pesos'!AB130)</f>
        <v/>
      </c>
      <c r="AG130" s="232" t="str">
        <f>PEsoLetra('Digitar aqui Notas e Pesos'!AC130)</f>
        <v/>
      </c>
      <c r="AH130" s="574"/>
      <c r="AI130" s="19" t="str">
        <f>+AI129</f>
        <v>Não Imprime</v>
      </c>
      <c r="AJ130" s="1"/>
      <c r="AK130" s="130"/>
      <c r="AL130" s="130"/>
      <c r="AM130" s="130"/>
      <c r="AN130" s="130"/>
      <c r="AO130" s="130"/>
      <c r="AP130" s="131"/>
      <c r="AQ130" s="130"/>
      <c r="AR130" s="130"/>
      <c r="AS130" s="131"/>
      <c r="AT130" s="130"/>
      <c r="AU130" s="130"/>
      <c r="AV130" s="131"/>
      <c r="AW130" s="130"/>
      <c r="AX130" s="130"/>
      <c r="AY130" s="131"/>
      <c r="AZ130" s="130"/>
      <c r="BA130" s="130"/>
      <c r="BB130" s="131"/>
      <c r="BC130" s="130"/>
      <c r="BD130" s="130"/>
      <c r="BE130" s="131"/>
      <c r="BF130" s="130"/>
      <c r="BG130" s="130"/>
      <c r="BH130" s="131"/>
      <c r="BI130" s="130"/>
      <c r="BJ130" s="130"/>
      <c r="BK130" s="131"/>
      <c r="CM130" s="171"/>
      <c r="CN130" s="28"/>
    </row>
    <row r="131" spans="1:92" ht="15.75" hidden="1" thickBot="1" x14ac:dyDescent="0.25">
      <c r="A131" s="546" t="str">
        <f>'Digitar aqui Notas e Pesos'!A131</f>
        <v>Nome da Atividade 7 da Unidade 7</v>
      </c>
      <c r="B131" s="547"/>
      <c r="C131" s="229">
        <f>IF('Digitar aqui Notas e Pesos'!C131,PEsoLetra('Digitar aqui Notas e Pesos'!C131),0)</f>
        <v>0</v>
      </c>
      <c r="D131" s="208">
        <f>IF(ISTEXT($C131),(G131*letrapeso(G132)+K131*letrapeso(K132)+N131*letrapeso(N132)+Q131*letrapeso(Q132)+T131*letrapeso(T132)+W131*letrapeso(W132)+Z131*letrapeso(Z132)+AC131*letrapeso(AC132)+AF131*letrapeso(AF132))/(letrapeso(G132)+letrapeso(K132)+letrapeso(N132)+letrapeso(Q132)+letrapeso(T132)+letrapeso(W132)+letrapeso(Z132)+letrapeso(AC132)+letrapeso(AF132)),0)</f>
        <v>0</v>
      </c>
      <c r="E131" s="208">
        <f>IF(ISTEXT($C131),(H131*letrapeso(H132)+L131*letrapeso(L132)+O131*letrapeso(O132)+R131*letrapeso(R132)+U131*letrapeso(U132)+X131*letrapeso(X132)+AA131*letrapeso(AA132)+AD131*letrapeso(AD132)+AG131*letrapeso(AG132))/(letrapeso(H132)+letrapeso(L132)+letrapeso(O132)+letrapeso(R132)+letrapeso(U132)+letrapeso(X132)+letrapeso(AA132)+letrapeso(AD132)+letrapeso(AG132)),0)</f>
        <v>0</v>
      </c>
      <c r="F131" s="209">
        <f>IF(ISTEXT($C131),(D131*$A$145+E131*$A$146),0)</f>
        <v>0</v>
      </c>
      <c r="G131" s="115">
        <f>'Digitar aqui Notas e Pesos'!D131</f>
        <v>0</v>
      </c>
      <c r="H131" s="116">
        <f>'Digitar aqui Notas e Pesos'!E131</f>
        <v>0</v>
      </c>
      <c r="I131" s="565">
        <f>IF(AND(G131&lt;&gt;0,H131&lt;&gt;0,$C131&lt;&gt;0),(G131*letrapeso(G132)*$A$145+H131*letrapeso(H132)*$A$146)/(letrapeso(G132)*$A$145+letrapeso(H132)*$A$146),0)</f>
        <v>0</v>
      </c>
      <c r="J131" s="259">
        <f>'Digitar aqui Notas e Pesos'!F131</f>
        <v>0</v>
      </c>
      <c r="K131" s="115">
        <f>'Digitar aqui Notas e Pesos'!G131</f>
        <v>0</v>
      </c>
      <c r="L131" s="116">
        <f>'Digitar aqui Notas e Pesos'!H131</f>
        <v>0</v>
      </c>
      <c r="M131" s="553">
        <f>IF(AND(K131&lt;&gt;0,L131&lt;&gt;0,$C131&lt;&gt;0),(K131*letrapeso(K132)*$A$145+L131*letrapeso(L132)*$A$146)/(letrapeso(K132)*$A$145+letrapeso(L132)*$A$146),0)</f>
        <v>0</v>
      </c>
      <c r="N131" s="115">
        <f>'Digitar aqui Notas e Pesos'!J131</f>
        <v>0</v>
      </c>
      <c r="O131" s="116">
        <f>'Digitar aqui Notas e Pesos'!K131</f>
        <v>0</v>
      </c>
      <c r="P131" s="553">
        <f>IF(AND(N131&lt;&gt;0,O131&lt;&gt;0,$C131&lt;&gt;0),(N131*letrapeso(N132)*$A$145+O131*letrapeso(O132)*$A$146)/(letrapeso(N132)*$A$145+letrapeso(O132)*$A$146),0)</f>
        <v>0</v>
      </c>
      <c r="Q131" s="115">
        <f>'Digitar aqui Notas e Pesos'!M131</f>
        <v>0</v>
      </c>
      <c r="R131" s="116">
        <f>'Digitar aqui Notas e Pesos'!N131</f>
        <v>0</v>
      </c>
      <c r="S131" s="553">
        <f>IF(AND(Q131&lt;&gt;0,R131&lt;&gt;0,$C131&lt;&gt;0),(Q131*letrapeso(Q132)*$A$145+R131*letrapeso(R132)*$A$146)/(letrapeso(Q132)*$A$145+letrapeso(R132)*$A$146),0)</f>
        <v>0</v>
      </c>
      <c r="T131" s="115">
        <f>'Digitar aqui Notas e Pesos'!P131</f>
        <v>0</v>
      </c>
      <c r="U131" s="116">
        <f>'Digitar aqui Notas e Pesos'!Q131</f>
        <v>0</v>
      </c>
      <c r="V131" s="553">
        <f>IF(AND(T131&lt;&gt;0,U131&lt;&gt;0,$C131&lt;&gt;0),(T131*letrapeso(T132)*$A$145+U131*letrapeso(U132)*$A$146)/(letrapeso(T132)*$A$145+letrapeso(U132)*$A$146),0)</f>
        <v>0</v>
      </c>
      <c r="W131" s="115">
        <f>'Digitar aqui Notas e Pesos'!S131</f>
        <v>0</v>
      </c>
      <c r="X131" s="116">
        <f>'Digitar aqui Notas e Pesos'!T131</f>
        <v>0</v>
      </c>
      <c r="Y131" s="553">
        <f>IF(AND(W131&lt;&gt;0,X131&lt;&gt;0,$C131&lt;&gt;0),(W131*letrapeso(W132)*$A$145+X131*letrapeso(X132)*$A$146)/(letrapeso(W132)*$A$145+letrapeso(X132)*$A$146),0)</f>
        <v>0</v>
      </c>
      <c r="Z131" s="115">
        <f>'Digitar aqui Notas e Pesos'!V131</f>
        <v>0</v>
      </c>
      <c r="AA131" s="116">
        <f>'Digitar aqui Notas e Pesos'!W131</f>
        <v>0</v>
      </c>
      <c r="AB131" s="553">
        <f>IF(AND(Z131&lt;&gt;0,AA131&lt;&gt;0,$C131&lt;&gt;0),(Z131*letrapeso(Z132)*$A$145+AA131*letrapeso(AA132)*$A$146)/(letrapeso(Z132)*$A$145+letrapeso(AA132)*$A$146),0)</f>
        <v>0</v>
      </c>
      <c r="AC131" s="115">
        <f>'Digitar aqui Notas e Pesos'!Y131</f>
        <v>0</v>
      </c>
      <c r="AD131" s="116">
        <f>'Digitar aqui Notas e Pesos'!Z131</f>
        <v>0</v>
      </c>
      <c r="AE131" s="553">
        <f>IF(AND(AC131&lt;&gt;0,AD131&lt;&gt;0,$C131&lt;&gt;0),(AC131*letrapeso(AC132)*$A$145+AD131*letrapeso(AD132)*$A$146)/(letrapeso(AC132)*$A$145+letrapeso(AD132)*$A$146),0)</f>
        <v>0</v>
      </c>
      <c r="AF131" s="115">
        <f>'Digitar aqui Notas e Pesos'!AB131</f>
        <v>0</v>
      </c>
      <c r="AG131" s="116">
        <f>'Digitar aqui Notas e Pesos'!AC131</f>
        <v>0</v>
      </c>
      <c r="AH131" s="573">
        <f>IF(AND(AF131&lt;&gt;0,AG131&lt;&gt;0,$C131&lt;&gt;0),(AF131*letrapeso(AF132)*$A$145+AG131*letrapeso(AG132)*$A$146)/(letrapeso(AF132)*$A$145+letrapeso(AG132)*$A$146),0)</f>
        <v>0</v>
      </c>
      <c r="AI131" s="8" t="str">
        <f>IF(letrapeso(C131),"Imprime","Não Imprime")</f>
        <v>Não Imprime</v>
      </c>
      <c r="AJ131" s="14" t="s">
        <v>28</v>
      </c>
      <c r="AK131" s="129">
        <f>G131*letrapeso(G132)*letrapeso($C131)</f>
        <v>0</v>
      </c>
      <c r="AL131" s="129">
        <f>H131*letrapeso(H132)*letrapeso($C131)</f>
        <v>0</v>
      </c>
      <c r="AM131" s="129">
        <f>J131*letrapeso(G132)*letrapeso($C131)</f>
        <v>0</v>
      </c>
      <c r="AN131" s="129">
        <f>K131*letrapeso(K132)*letrapeso($C131)</f>
        <v>0</v>
      </c>
      <c r="AO131" s="129">
        <f>L131*letrapeso(L132)*letrapeso($C131)</f>
        <v>0</v>
      </c>
      <c r="AP131" s="131"/>
      <c r="AQ131" s="129">
        <f>N131*letrapeso(N132)*letrapeso($C131)</f>
        <v>0</v>
      </c>
      <c r="AR131" s="129">
        <f>O131*letrapeso(O132)*letrapeso($C131)</f>
        <v>0</v>
      </c>
      <c r="AS131" s="131"/>
      <c r="AT131" s="129">
        <f>Q131*letrapeso(Q132)*letrapeso($C131)</f>
        <v>0</v>
      </c>
      <c r="AU131" s="129">
        <f>R131*letrapeso(R132)*letrapeso($C131)</f>
        <v>0</v>
      </c>
      <c r="AV131" s="131"/>
      <c r="AW131" s="129">
        <f>T131*letrapeso(T132)*letrapeso($C131)</f>
        <v>0</v>
      </c>
      <c r="AX131" s="129">
        <f>U131*letrapeso(U132)*letrapeso($C131)</f>
        <v>0</v>
      </c>
      <c r="AY131" s="131"/>
      <c r="AZ131" s="129">
        <f>W131*letrapeso(W132)*letrapeso($C131)</f>
        <v>0</v>
      </c>
      <c r="BA131" s="129">
        <f>X131*letrapeso(X132)*letrapeso($C131)</f>
        <v>0</v>
      </c>
      <c r="BB131" s="131"/>
      <c r="BC131" s="129">
        <f>Z131*letrapeso(Z132)*letrapeso($C131)</f>
        <v>0</v>
      </c>
      <c r="BD131" s="129">
        <f>AA131*letrapeso(AA132)*letrapeso($C131)</f>
        <v>0</v>
      </c>
      <c r="BE131" s="131"/>
      <c r="BF131" s="129">
        <f>AC131*letrapeso(AC132)*letrapeso($C131)</f>
        <v>0</v>
      </c>
      <c r="BG131" s="129">
        <f>AD131*letrapeso(AD132)*letrapeso($C131)</f>
        <v>0</v>
      </c>
      <c r="BH131" s="131"/>
      <c r="BI131" s="129">
        <f>AF131*letrapeso(AF132)*letrapeso($C131)</f>
        <v>0</v>
      </c>
      <c r="BJ131" s="129">
        <f>AG131*letrapeso(AG132)*letrapeso($C131)</f>
        <v>0</v>
      </c>
      <c r="BK131" s="131"/>
      <c r="BL131" s="171">
        <f>letrapeso(G132)</f>
        <v>0</v>
      </c>
      <c r="BM131" s="171">
        <f>letrapeso(H132)</f>
        <v>0</v>
      </c>
      <c r="BN131" s="41"/>
      <c r="BO131" s="171">
        <f>letrapeso(K132)</f>
        <v>0</v>
      </c>
      <c r="BP131" s="171">
        <f>letrapeso(L132)</f>
        <v>0</v>
      </c>
      <c r="BQ131" s="41"/>
      <c r="BR131" s="171">
        <f>letrapeso(N132)</f>
        <v>0</v>
      </c>
      <c r="BS131" s="171">
        <f>letrapeso(O132)</f>
        <v>0</v>
      </c>
      <c r="BT131" s="41"/>
      <c r="BU131" s="171">
        <f>letrapeso(Q132)</f>
        <v>0</v>
      </c>
      <c r="BV131" s="171">
        <f>letrapeso(R132)</f>
        <v>0</v>
      </c>
      <c r="BW131" s="41"/>
      <c r="BX131" s="171">
        <f>letrapeso(T132)</f>
        <v>0</v>
      </c>
      <c r="BY131" s="171">
        <f>letrapeso(U132)</f>
        <v>0</v>
      </c>
      <c r="BZ131" s="41"/>
      <c r="CA131" s="171">
        <f>letrapeso(W132)</f>
        <v>0</v>
      </c>
      <c r="CB131" s="171">
        <f>letrapeso(X132)</f>
        <v>0</v>
      </c>
      <c r="CC131" s="41"/>
      <c r="CD131" s="171">
        <f>letrapeso(Z132)</f>
        <v>0</v>
      </c>
      <c r="CE131" s="171">
        <f>letrapeso(AA132)</f>
        <v>0</v>
      </c>
      <c r="CF131" s="41"/>
      <c r="CG131" s="171">
        <f>letrapeso(AC132)</f>
        <v>0</v>
      </c>
      <c r="CH131" s="171">
        <f>letrapeso(AD132)</f>
        <v>0</v>
      </c>
      <c r="CI131" s="41"/>
      <c r="CJ131" s="171">
        <f>letrapeso(AF132)</f>
        <v>0</v>
      </c>
      <c r="CK131" s="171">
        <f>letrapeso(AG132)</f>
        <v>0</v>
      </c>
      <c r="CL131" s="41"/>
      <c r="CM131" s="41">
        <f>IF(ISTEXT($C131),(BL131+BO131+BR131+BU131+BX131+CA131+CD131+CG131+CJ131),0)</f>
        <v>0</v>
      </c>
      <c r="CN131" s="41">
        <f>IF(ISTEXT($C131),(BM131+BP131+BS131+BV131+BY131+CB131+CE131+CH131+CK131),0)</f>
        <v>0</v>
      </c>
    </row>
    <row r="132" spans="1:92" ht="15.75" hidden="1" thickBot="1" x14ac:dyDescent="0.25">
      <c r="A132" s="537" t="str">
        <f>TEXT(D131,"0,00")&amp;"       "&amp;TEXT(E131,"0,00")&amp;"       "&amp;TEXT(F131,"0,00")</f>
        <v>0,00       0,00       0,00</v>
      </c>
      <c r="B132" s="538"/>
      <c r="C132" s="233"/>
      <c r="D132" s="210"/>
      <c r="E132" s="208"/>
      <c r="F132" s="209"/>
      <c r="G132" s="231" t="str">
        <f>PEsoLetra('Digitar aqui Notas e Pesos'!D132)</f>
        <v/>
      </c>
      <c r="H132" s="232" t="str">
        <f>PEsoLetra('Digitar aqui Notas e Pesos'!E132)</f>
        <v/>
      </c>
      <c r="I132" s="565"/>
      <c r="J132" s="491"/>
      <c r="K132" s="231" t="str">
        <f>PEsoLetra('Digitar aqui Notas e Pesos'!G132)</f>
        <v/>
      </c>
      <c r="L132" s="232" t="str">
        <f>PEsoLetra('Digitar aqui Notas e Pesos'!H132)</f>
        <v/>
      </c>
      <c r="M132" s="553"/>
      <c r="N132" s="231" t="str">
        <f>PEsoLetra('Digitar aqui Notas e Pesos'!J132)</f>
        <v/>
      </c>
      <c r="O132" s="232" t="str">
        <f>PEsoLetra('Digitar aqui Notas e Pesos'!K132)</f>
        <v/>
      </c>
      <c r="P132" s="553"/>
      <c r="Q132" s="231" t="str">
        <f>PEsoLetra('Digitar aqui Notas e Pesos'!M132)</f>
        <v/>
      </c>
      <c r="R132" s="232" t="str">
        <f>PEsoLetra('Digitar aqui Notas e Pesos'!N132)</f>
        <v/>
      </c>
      <c r="S132" s="553"/>
      <c r="T132" s="231" t="str">
        <f>PEsoLetra('Digitar aqui Notas e Pesos'!P132)</f>
        <v/>
      </c>
      <c r="U132" s="232" t="str">
        <f>PEsoLetra('Digitar aqui Notas e Pesos'!Q132)</f>
        <v/>
      </c>
      <c r="V132" s="553"/>
      <c r="W132" s="231" t="str">
        <f>PEsoLetra('Digitar aqui Notas e Pesos'!S132)</f>
        <v/>
      </c>
      <c r="X132" s="232" t="str">
        <f>PEsoLetra('Digitar aqui Notas e Pesos'!T132)</f>
        <v/>
      </c>
      <c r="Y132" s="553"/>
      <c r="Z132" s="231" t="str">
        <f>PEsoLetra('Digitar aqui Notas e Pesos'!V132)</f>
        <v/>
      </c>
      <c r="AA132" s="232" t="str">
        <f>PEsoLetra('Digitar aqui Notas e Pesos'!W132)</f>
        <v/>
      </c>
      <c r="AB132" s="553"/>
      <c r="AC132" s="231" t="str">
        <f>PEsoLetra('Digitar aqui Notas e Pesos'!Y132)</f>
        <v/>
      </c>
      <c r="AD132" s="232" t="str">
        <f>PEsoLetra('Digitar aqui Notas e Pesos'!Z132)</f>
        <v/>
      </c>
      <c r="AE132" s="553"/>
      <c r="AF132" s="231" t="str">
        <f>PEsoLetra('Digitar aqui Notas e Pesos'!AB132)</f>
        <v/>
      </c>
      <c r="AG132" s="232" t="str">
        <f>PEsoLetra('Digitar aqui Notas e Pesos'!AC132)</f>
        <v/>
      </c>
      <c r="AH132" s="573"/>
      <c r="AI132" s="19" t="str">
        <f>+AI131</f>
        <v>Não Imprime</v>
      </c>
      <c r="AJ132" s="18" t="s">
        <v>29</v>
      </c>
      <c r="AK132" s="132">
        <f>IF(ISTEXT($C117),(letrapeso(G120)*letrapeso($C119)+letrapeso(G122)*letrapeso($C121)+letrapeso(G124)*letrapeso($C123)+letrapeso(G126)*letrapeso($C125)+letrapeso(G128)*letrapeso($C127)+letrapeso(G130)*letrapeso($C129)+letrapeso(G132)*letrapeso($C131))/(letrapeso($C119)+letrapeso($C121)+letrapeso($C123)+letrapeso($C125)+letrapeso($C127)+letrapeso($C129)+letrapeso($C131)),0)</f>
        <v>0</v>
      </c>
      <c r="AL132" s="132">
        <f>IF(ISTEXT($C117),(letrapeso(H120)*letrapeso($C119)+letrapeso(H122)*letrapeso($C121)+letrapeso(H124)*letrapeso($C123)+letrapeso(H126)*letrapeso($C125)+letrapeso(H128)*letrapeso($C127)+letrapeso(H130)*letrapeso($C129)+letrapeso(H132)*letrapeso($C131))/(letrapeso($C119)+letrapeso($C121)+letrapeso($C123)+letrapeso($C125)+letrapeso($C127)+letrapeso($C129)+letrapeso($C131)),0)</f>
        <v>0</v>
      </c>
      <c r="AM132" s="132">
        <f>IF(ISTEXT($C117),(letrapeso(G120)*letrapeso($C119)+letrapeso(G122)*letrapeso($C121)+letrapeso(G124)*letrapeso($C123)+letrapeso(G126)*letrapeso($C125)+letrapeso(G128)*letrapeso($C127)+letrapeso(G130)*letrapeso($C129)+letrapeso(G132)*letrapeso($C131))/(letrapeso($C119)+letrapeso($C121)+letrapeso($C123)+letrapeso($C125)+letrapeso($C127)+letrapeso($C129)+letrapeso($C131)),0)</f>
        <v>0</v>
      </c>
      <c r="AN132" s="132">
        <f>IF(ISTEXT($C117),(letrapeso(K120)*letrapeso($C119)+letrapeso(K122)*letrapeso($C121)+letrapeso(K124)*letrapeso($C123)+letrapeso(K126)*letrapeso($C125)+letrapeso(K128)*letrapeso($C127)+letrapeso(K130)*letrapeso($C129)+letrapeso(K132)*letrapeso($C131))/(letrapeso($C119)+letrapeso($C121)+letrapeso($C123)+letrapeso($C125)+letrapeso($C127)+letrapeso($C129)+letrapeso($C131)),0)</f>
        <v>0</v>
      </c>
      <c r="AO132" s="132">
        <f>IF(ISTEXT($C117),(letrapeso(L120)*letrapeso($C119)+letrapeso(L122)*letrapeso($C121)+letrapeso(L124)*letrapeso($C123)+letrapeso(L126)*letrapeso($C125)+letrapeso(L128)*letrapeso($C127)+letrapeso(L130)*letrapeso($C129)+letrapeso(L132)*letrapeso($C131))/(letrapeso($C119)+letrapeso($C121)+letrapeso($C123)+letrapeso($C125)+letrapeso($C127)+letrapeso($C129)+letrapeso($C131)),0)</f>
        <v>0</v>
      </c>
      <c r="AP132" s="131"/>
      <c r="AQ132" s="132">
        <f>IF(ISTEXT($C117),(letrapeso(N120)*letrapeso($C119)+letrapeso(N122)*letrapeso($C121)+letrapeso(N124)*letrapeso($C123)+letrapeso(N126)*letrapeso($C125)+letrapeso(N128)*letrapeso($C127)+letrapeso(N130)*letrapeso($C129)+letrapeso(N132)*letrapeso($C131))/(letrapeso($C119)+letrapeso($C121)+letrapeso($C123)+letrapeso($C125)+letrapeso($C127)+letrapeso($C129)+letrapeso($C131)),0)</f>
        <v>0</v>
      </c>
      <c r="AR132" s="132">
        <f>IF(ISTEXT($C117),(letrapeso(O120)*letrapeso($C119)+letrapeso(O122)*letrapeso($C121)+letrapeso(O124)*letrapeso($C123)+letrapeso(O126)*letrapeso($C125)+letrapeso(O128)*letrapeso($C127)+letrapeso(O130)*letrapeso($C129)+letrapeso(O132)*letrapeso($C131))/(letrapeso($C119)+letrapeso($C121)+letrapeso($C123)+letrapeso($C125)+letrapeso($C127)+letrapeso($C129)+letrapeso($C131)),0)</f>
        <v>0</v>
      </c>
      <c r="AS132" s="131"/>
      <c r="AT132" s="132">
        <f>IF(ISTEXT($C117),(letrapeso(Q120)*letrapeso($C119)+letrapeso(Q122)*letrapeso($C121)+letrapeso(Q124)*letrapeso($C123)+letrapeso(Q126)*letrapeso($C125)+letrapeso(Q128)*letrapeso($C127)+letrapeso(Q130)*letrapeso($C129)+letrapeso(Q132)*letrapeso($C131))/(letrapeso($C119)+letrapeso($C121)+letrapeso($C123)+letrapeso($C125)+letrapeso($C127)+letrapeso($C129)+letrapeso($C131)),0)</f>
        <v>0</v>
      </c>
      <c r="AU132" s="132">
        <f>IF(ISTEXT($C117),(letrapeso(R120)*letrapeso($C119)+letrapeso(R122)*letrapeso($C121)+letrapeso(R124)*letrapeso($C123)+letrapeso(R126)*letrapeso($C125)+letrapeso(R128)*letrapeso($C127)+letrapeso(R130)*letrapeso($C129)+letrapeso(R132)*letrapeso($C131))/(letrapeso($C119)+letrapeso($C121)+letrapeso($C123)+letrapeso($C125)+letrapeso($C127)+letrapeso($C129)+letrapeso($C131)),0)</f>
        <v>0</v>
      </c>
      <c r="AV132" s="131"/>
      <c r="AW132" s="132">
        <f>IF(ISTEXT($C117),(letrapeso(T120)*letrapeso($C119)+letrapeso(T122)*letrapeso($C121)+letrapeso(T124)*letrapeso($C123)+letrapeso(T126)*letrapeso($C125)+letrapeso(T128)*letrapeso($C127)+letrapeso(T130)*letrapeso($C129)+letrapeso(T132)*letrapeso($C131))/(letrapeso($C119)+letrapeso($C121)+letrapeso($C123)+letrapeso($C125)+letrapeso($C127)+letrapeso($C129)+letrapeso($C131)),0)</f>
        <v>0</v>
      </c>
      <c r="AX132" s="132">
        <f>IF(ISTEXT($C117),(letrapeso(U120)*letrapeso($C119)+letrapeso(U122)*letrapeso($C121)+letrapeso(U124)*letrapeso($C123)+letrapeso(U126)*letrapeso($C125)+letrapeso(U128)*letrapeso($C127)+letrapeso(U130)*letrapeso($C129)+letrapeso(U132)*letrapeso($C131))/(letrapeso($C119)+letrapeso($C121)+letrapeso($C123)+letrapeso($C125)+letrapeso($C127)+letrapeso($C129)+letrapeso($C131)),0)</f>
        <v>0</v>
      </c>
      <c r="AY132" s="131"/>
      <c r="AZ132" s="132">
        <f>IF(ISTEXT($C117),(letrapeso(W120)*letrapeso($C119)+letrapeso(W122)*letrapeso($C121)+letrapeso(W124)*letrapeso($C123)+letrapeso(W126)*letrapeso($C125)+letrapeso(W128)*letrapeso($C127)+letrapeso(W130)*letrapeso($C129)+letrapeso(W132)*letrapeso($C131))/(letrapeso($C119)+letrapeso($C121)+letrapeso($C123)+letrapeso($C125)+letrapeso($C127)+letrapeso($C129)+letrapeso($C131)),0)</f>
        <v>0</v>
      </c>
      <c r="BA132" s="132">
        <f>IF(ISTEXT($C117),(letrapeso(X120)*letrapeso($C119)+letrapeso(X122)*letrapeso($C121)+letrapeso(X124)*letrapeso($C123)+letrapeso(X126)*letrapeso($C125)+letrapeso(X128)*letrapeso($C127)+letrapeso(X130)*letrapeso($C129)+letrapeso(X132)*letrapeso($C131))/(letrapeso($C119)+letrapeso($C121)+letrapeso($C123)+letrapeso($C125)+letrapeso($C127)+letrapeso($C129)+letrapeso($C131)),0)</f>
        <v>0</v>
      </c>
      <c r="BB132" s="131"/>
      <c r="BC132" s="132">
        <f>IF(ISTEXT($C117),(letrapeso(Z120)*letrapeso($C119)+letrapeso(Z122)*letrapeso($C121)+letrapeso(Z124)*letrapeso($C123)+letrapeso(Z126)*letrapeso($C125)+letrapeso(Z128)*letrapeso($C127)+letrapeso(Z130)*letrapeso($C129)+letrapeso(Z132)*letrapeso($C131))/(letrapeso($C119)+letrapeso($C121)+letrapeso($C123)+letrapeso($C125)+letrapeso($C127)+letrapeso($C129)+letrapeso($C131)),0)</f>
        <v>0</v>
      </c>
      <c r="BD132" s="132">
        <f>IF(ISTEXT($C117),(letrapeso(AA120)*letrapeso($C119)+letrapeso(AA122)*letrapeso($C121)+letrapeso(AA124)*letrapeso($C123)+letrapeso(AA126)*letrapeso($C125)+letrapeso(AA128)*letrapeso($C127)+letrapeso(AA130)*letrapeso($C129)+letrapeso(AA132)*letrapeso($C131))/(letrapeso($C119)+letrapeso($C121)+letrapeso($C123)+letrapeso($C125)+letrapeso($C127)+letrapeso($C129)+letrapeso($C131)),0)</f>
        <v>0</v>
      </c>
      <c r="BE132" s="131"/>
      <c r="BF132" s="132">
        <f>IF(ISTEXT($C117),(letrapeso(AC120)*letrapeso($C119)+letrapeso(AC122)*letrapeso($C121)+letrapeso(AC124)*letrapeso($C123)+letrapeso(AC126)*letrapeso($C125)+letrapeso(AC128)*letrapeso($C127)+letrapeso(AC130)*letrapeso($C129)+letrapeso(AC132)*letrapeso($C131))/(letrapeso($C119)+letrapeso($C121)+letrapeso($C123)+letrapeso($C125)+letrapeso($C127)+letrapeso($C129)+letrapeso($C131)),0)</f>
        <v>0</v>
      </c>
      <c r="BG132" s="132">
        <f>IF(ISTEXT($C117),(letrapeso(AD120)*letrapeso($C119)+letrapeso(AD122)*letrapeso($C121)+letrapeso(AD124)*letrapeso($C123)+letrapeso(AD126)*letrapeso($C125)+letrapeso(AD128)*letrapeso($C127)+letrapeso(AD130)*letrapeso($C129)+letrapeso(AD132)*letrapeso($C131))/(letrapeso($C119)+letrapeso($C121)+letrapeso($C123)+letrapeso($C125)+letrapeso($C127)+letrapeso($C129)+letrapeso($C131)),0)</f>
        <v>0</v>
      </c>
      <c r="BH132" s="131"/>
      <c r="BI132" s="132">
        <f>IF(ISTEXT($C117),(letrapeso(AF120)*letrapeso($C119)+letrapeso(AF122)*letrapeso($C121)+letrapeso(AF124)*letrapeso($C123)+letrapeso(AF126)*letrapeso($C125)+letrapeso(AF128)*letrapeso($C127)+letrapeso(AF130)*letrapeso($C129)+letrapeso(AF132)*letrapeso($C131))/(letrapeso($C119)+letrapeso($C121)+letrapeso($C123)+letrapeso($C125)+letrapeso($C127)+letrapeso($C129)+letrapeso($C131)),0)</f>
        <v>0</v>
      </c>
      <c r="BJ132" s="132">
        <f>IF(ISTEXT($C117),(letrapeso(AG120)*letrapeso($C119)+letrapeso(AG122)*letrapeso($C121)+letrapeso(AG124)*letrapeso($C123)+letrapeso(AG126)*letrapeso($C125)+letrapeso(AG128)*letrapeso($C127)+letrapeso(AG130)*letrapeso($C129)+letrapeso(AG132)*letrapeso($C131))/(letrapeso($C119)+letrapeso($C121)+letrapeso($C123)+letrapeso($C125)+letrapeso($C127)+letrapeso($C129)+letrapeso($C131)),0)</f>
        <v>0</v>
      </c>
      <c r="BK132" s="131"/>
    </row>
    <row r="133" spans="1:92" s="28" customFormat="1" ht="13.5" thickTop="1" thickBot="1" x14ac:dyDescent="0.25">
      <c r="A133" s="45"/>
      <c r="B133" s="135"/>
      <c r="C133" s="20"/>
      <c r="D133" s="216"/>
      <c r="E133" s="216"/>
      <c r="F133" s="217"/>
      <c r="G133" s="136"/>
      <c r="H133" s="136"/>
      <c r="I133" s="137"/>
      <c r="J133" s="137"/>
      <c r="K133" s="136"/>
      <c r="L133" s="136"/>
      <c r="M133" s="137"/>
      <c r="N133" s="136"/>
      <c r="O133" s="136"/>
      <c r="P133" s="137"/>
      <c r="Q133" s="136"/>
      <c r="R133" s="136"/>
      <c r="S133" s="137"/>
      <c r="T133" s="136"/>
      <c r="U133" s="136"/>
      <c r="V133" s="137"/>
      <c r="W133" s="136"/>
      <c r="X133" s="136"/>
      <c r="Y133" s="137"/>
      <c r="Z133" s="136"/>
      <c r="AA133" s="136"/>
      <c r="AB133" s="137"/>
      <c r="AC133" s="136"/>
      <c r="AD133" s="136"/>
      <c r="AE133" s="137"/>
      <c r="AF133" s="136"/>
      <c r="AG133" s="136"/>
      <c r="AH133" s="137"/>
      <c r="AI133" s="1" t="s">
        <v>10</v>
      </c>
      <c r="AJ133" s="18"/>
      <c r="AK133" s="132"/>
      <c r="AL133" s="132"/>
      <c r="AM133" s="132"/>
      <c r="AN133" s="132"/>
      <c r="AO133" s="132"/>
      <c r="AP133" s="131"/>
      <c r="AQ133" s="132"/>
      <c r="AR133" s="132"/>
      <c r="AS133" s="131"/>
      <c r="AT133" s="132"/>
      <c r="AU133" s="132"/>
      <c r="AV133" s="131"/>
      <c r="AW133" s="132"/>
      <c r="AX133" s="132"/>
      <c r="AY133" s="131"/>
      <c r="AZ133" s="132"/>
      <c r="BA133" s="132"/>
      <c r="BB133" s="131"/>
      <c r="BC133" s="132"/>
      <c r="BD133" s="132"/>
      <c r="BE133" s="131"/>
      <c r="BF133" s="132"/>
      <c r="BG133" s="132"/>
      <c r="BH133" s="131"/>
      <c r="BI133" s="132"/>
      <c r="BJ133" s="132"/>
      <c r="BK133" s="131"/>
    </row>
    <row r="134" spans="1:92" ht="16.5" thickTop="1" x14ac:dyDescent="0.2">
      <c r="A134" s="46" t="s">
        <v>34</v>
      </c>
      <c r="B134" s="47" t="s">
        <v>36</v>
      </c>
      <c r="C134" s="21" t="s">
        <v>37</v>
      </c>
      <c r="D134" s="211"/>
      <c r="E134" s="211"/>
      <c r="F134" s="212"/>
      <c r="G134" s="503" t="s">
        <v>12</v>
      </c>
      <c r="H134" s="502"/>
      <c r="I134" s="552"/>
      <c r="J134" s="471"/>
      <c r="K134" s="503" t="s">
        <v>2</v>
      </c>
      <c r="L134" s="502"/>
      <c r="M134" s="552"/>
      <c r="N134" s="503" t="s">
        <v>3</v>
      </c>
      <c r="O134" s="502"/>
      <c r="P134" s="552"/>
      <c r="Q134" s="503" t="s">
        <v>11</v>
      </c>
      <c r="R134" s="502"/>
      <c r="S134" s="564"/>
      <c r="T134" s="503" t="s">
        <v>202</v>
      </c>
      <c r="U134" s="502"/>
      <c r="V134" s="552"/>
      <c r="W134" s="503" t="s">
        <v>0</v>
      </c>
      <c r="X134" s="502"/>
      <c r="Y134" s="552"/>
      <c r="Z134" s="503" t="s">
        <v>1</v>
      </c>
      <c r="AA134" s="502"/>
      <c r="AB134" s="552"/>
      <c r="AC134" s="503" t="s">
        <v>7</v>
      </c>
      <c r="AD134" s="502"/>
      <c r="AE134" s="552"/>
      <c r="AF134" s="503" t="s">
        <v>8</v>
      </c>
      <c r="AG134" s="502"/>
      <c r="AH134" s="552"/>
      <c r="AI134" s="1" t="s">
        <v>10</v>
      </c>
      <c r="AJ134" s="18"/>
      <c r="AK134" s="132"/>
      <c r="AL134" s="132"/>
      <c r="AM134" s="132"/>
      <c r="AN134" s="132"/>
      <c r="AO134" s="132"/>
      <c r="AP134" s="131"/>
      <c r="AQ134" s="132"/>
      <c r="AR134" s="132"/>
      <c r="AS134" s="131"/>
      <c r="AT134" s="132"/>
      <c r="AU134" s="132"/>
      <c r="AV134" s="131"/>
      <c r="AW134" s="132"/>
      <c r="AX134" s="132"/>
      <c r="AY134" s="131"/>
      <c r="AZ134" s="132"/>
      <c r="BA134" s="132"/>
      <c r="BB134" s="131"/>
      <c r="BC134" s="132"/>
      <c r="BD134" s="132"/>
      <c r="BE134" s="131"/>
      <c r="BF134" s="132"/>
      <c r="BG134" s="132"/>
      <c r="BH134" s="131"/>
      <c r="BI134" s="132"/>
      <c r="BJ134" s="132"/>
      <c r="BK134" s="131"/>
    </row>
    <row r="135" spans="1:92" x14ac:dyDescent="0.2">
      <c r="A135" s="533">
        <f>1-A137</f>
        <v>0.6</v>
      </c>
      <c r="B135" s="205" t="s">
        <v>14</v>
      </c>
      <c r="C135" s="535">
        <f>F135</f>
        <v>1.9706896551724136</v>
      </c>
      <c r="D135" s="558">
        <f>IF(COUNTA(C5,C21,C37,C53,C69,C85,C101,C117),(letrapeso(C5)*D5+letrapeso(C21)*D21+letrapeso(C37)*D37+letrapeso(C53)*D53+letrapeso(C69)*D69+letrapeso(C85)*D85+letrapeso(C101)*D101+letrapeso(C117)*D117)/SUM(letrapeso(C5),letrapeso(C21),letrapeso(C37),letrapeso(C53),letrapeso(C69),letrapeso(C85),letrapeso(C101),letrapeso(C117)),0)</f>
        <v>1.8620689655172413</v>
      </c>
      <c r="E135" s="559">
        <f>IF(COUNTA(C5,C21,C37,C53,C69,C85,C101,C117),(letrapeso(C5)*E5+letrapeso(C21)*E21+letrapeso(C37)*E37+letrapeso(C53)*E53+letrapeso(C69)*E69+letrapeso(C85)*E85+letrapeso(C101)*E101+letrapeso(C117)*E117)/SUM(letrapeso(C5),letrapeso(C21),letrapeso(C37),letrapeso(C53),letrapeso(C69),letrapeso(C85),letrapeso(C101),letrapeso(C117)),0)</f>
        <v>2.103448275862069</v>
      </c>
      <c r="F135" s="557">
        <f>IF(COUNTA(C5,C21,C37,C53,C69,C85,C101,C117),(letrapeso(C5)*F5+letrapeso(C21)*F21+letrapeso(C37)*F37+letrapeso(C53)*F53+letrapeso(C69)*F69+letrapeso(C85)*F85+letrapeso(C101)*F101+letrapeso(C117)*F117)/SUM(letrapeso(C5),letrapeso(C21),letrapeso(C37),letrapeso(C53),letrapeso(C69),letrapeso(C85),letrapeso(C101),letrapeso(C117)),0)</f>
        <v>1.9706896551724136</v>
      </c>
      <c r="G135" s="117">
        <f>AK5</f>
        <v>2</v>
      </c>
      <c r="H135" s="117">
        <f>AL5</f>
        <v>2.2222222222222223</v>
      </c>
      <c r="I135" s="560">
        <f>IF(G135&lt;&gt;0,(G135*(G136)*$A$145+H135*(H136)*$A$146)/((G136)*$A$145+(H136)*$A$146),0)</f>
        <v>2.1</v>
      </c>
      <c r="J135" s="560">
        <f>AM5</f>
        <v>1</v>
      </c>
      <c r="K135" s="117">
        <f>AN5</f>
        <v>2</v>
      </c>
      <c r="L135" s="117">
        <f>AO5</f>
        <v>2</v>
      </c>
      <c r="M135" s="560">
        <f>IF(K135&lt;&gt;0,(K135*(K136)*$A$145+L135*(L136)*$A$146)/((K136)*$A$145+(L136)*$A$146),0)</f>
        <v>2</v>
      </c>
      <c r="N135" s="117">
        <f>AQ5</f>
        <v>1</v>
      </c>
      <c r="O135" s="117">
        <f>AR5</f>
        <v>2</v>
      </c>
      <c r="P135" s="550">
        <f>IF(N135&lt;&gt;0,(N135*(N136)*$A$145+O135*(O136)*$A$146)/((N136)*$A$145+(O136)*$A$146),0)</f>
        <v>1.4500000000000002</v>
      </c>
      <c r="Q135" s="117">
        <f>AT5</f>
        <v>2</v>
      </c>
      <c r="R135" s="117">
        <f>AU5</f>
        <v>1.6666666666666667</v>
      </c>
      <c r="S135" s="550">
        <f>IF(Q135&lt;&gt;0,(Q135*(Q136)*$A$145+R135*(R136)*$A$146)/((Q136)*$A$145+(R136)*$A$146),0)</f>
        <v>1.85</v>
      </c>
      <c r="T135" s="117">
        <f>AW5</f>
        <v>0</v>
      </c>
      <c r="U135" s="117">
        <f>AX5</f>
        <v>0</v>
      </c>
      <c r="V135" s="550">
        <f>IF(T135&lt;&gt;0,(T135*(T136)*$A$145+U135*(U136)*$A$146)/((T136)*$A$145+(U136)*$A$146),0)</f>
        <v>0</v>
      </c>
      <c r="W135" s="117">
        <f>AZ5</f>
        <v>0</v>
      </c>
      <c r="X135" s="117">
        <f>BA5</f>
        <v>0</v>
      </c>
      <c r="Y135" s="550">
        <f>IF(W135&lt;&gt;0,(W135*(W136)*$A$145+X135*(X136)*$A$146)/((W136)*$A$145+(X136)*$A$146),0)</f>
        <v>0</v>
      </c>
      <c r="Z135" s="117">
        <f>BC5</f>
        <v>0</v>
      </c>
      <c r="AA135" s="117">
        <f>BD5</f>
        <v>0</v>
      </c>
      <c r="AB135" s="550">
        <f>IF(Z135&lt;&gt;0,(Z135*(Z136)*$A$145+AA135*(AA136)*$A$146)/((Z136)*$A$145+(AA136)*$A$146),0)</f>
        <v>0</v>
      </c>
      <c r="AC135" s="117">
        <f>BF5</f>
        <v>0</v>
      </c>
      <c r="AD135" s="117">
        <f>BG5</f>
        <v>0</v>
      </c>
      <c r="AE135" s="550">
        <f>IF(AC135&lt;&gt;0,(AC135*(AC136)*$A$145+AD135*(AD136)*$A$146)/((AC136)*$A$145+(AD136)*$A$146),0)</f>
        <v>0</v>
      </c>
      <c r="AF135" s="117">
        <f>BI5</f>
        <v>0</v>
      </c>
      <c r="AG135" s="117">
        <f>BJ5</f>
        <v>0</v>
      </c>
      <c r="AH135" s="550">
        <f>IF(AF135&lt;&gt;0,(AF135*(AF136)*$A$145+AG135*(AG136)*$A$146)/((AF136)*$A$145+(AG136)*$A$146),0)</f>
        <v>0</v>
      </c>
      <c r="AI135" s="1" t="s">
        <v>10</v>
      </c>
      <c r="AJ135" s="17" t="s">
        <v>24</v>
      </c>
      <c r="AK135" s="129"/>
      <c r="AL135" s="129"/>
      <c r="AM135" s="129"/>
      <c r="AN135" s="129"/>
      <c r="AO135" s="129"/>
      <c r="AP135" s="40"/>
      <c r="AQ135" s="129"/>
      <c r="AR135" s="129"/>
      <c r="AS135" s="40"/>
      <c r="AT135" s="129"/>
      <c r="AU135" s="129"/>
      <c r="AV135" s="40"/>
      <c r="AW135" s="129"/>
      <c r="AX135" s="129"/>
      <c r="AY135" s="40"/>
      <c r="AZ135" s="129"/>
      <c r="BA135" s="129"/>
      <c r="BB135" s="40"/>
      <c r="BC135" s="129"/>
      <c r="BD135" s="129"/>
      <c r="BE135" s="40"/>
      <c r="BF135" s="129"/>
      <c r="BG135" s="129"/>
      <c r="BH135" s="40"/>
      <c r="BI135" s="129"/>
      <c r="BJ135" s="129"/>
      <c r="BK135" s="131"/>
      <c r="BL135" s="171">
        <f>G136</f>
        <v>8</v>
      </c>
      <c r="BM135" s="171">
        <f>H136</f>
        <v>8</v>
      </c>
      <c r="BN135" s="41"/>
      <c r="BO135" s="171">
        <f>K136</f>
        <v>8</v>
      </c>
      <c r="BP135" s="171">
        <f>L136</f>
        <v>8</v>
      </c>
      <c r="BQ135" s="41"/>
      <c r="BR135" s="171">
        <f>N136</f>
        <v>8</v>
      </c>
      <c r="BS135" s="171">
        <f>O136</f>
        <v>8</v>
      </c>
      <c r="BT135" s="41"/>
      <c r="BU135" s="171">
        <f>Q136</f>
        <v>8</v>
      </c>
      <c r="BV135" s="171">
        <f>R136</f>
        <v>8</v>
      </c>
      <c r="BW135" s="41"/>
      <c r="BX135" s="171">
        <f>T136</f>
        <v>0</v>
      </c>
      <c r="BY135" s="171">
        <f>U136</f>
        <v>0</v>
      </c>
      <c r="BZ135" s="41"/>
      <c r="CA135" s="171">
        <f>W136</f>
        <v>0</v>
      </c>
      <c r="CB135" s="171">
        <f>X136</f>
        <v>0</v>
      </c>
      <c r="CC135" s="41"/>
      <c r="CD135" s="171">
        <f>Z136</f>
        <v>0</v>
      </c>
      <c r="CE135" s="171">
        <f>AA136</f>
        <v>0</v>
      </c>
      <c r="CF135" s="41"/>
      <c r="CG135" s="171">
        <f>AC136</f>
        <v>0</v>
      </c>
      <c r="CH135" s="171">
        <f>AD136</f>
        <v>0</v>
      </c>
      <c r="CI135" s="41"/>
      <c r="CJ135" s="171">
        <f>AF136</f>
        <v>0</v>
      </c>
      <c r="CK135" s="171">
        <f>AG136</f>
        <v>0</v>
      </c>
      <c r="CL135" s="41"/>
      <c r="CM135" s="41">
        <f>(BL135+BO135+BR135+BU135+BX135+CA135+CD135+CG135+CJ135)</f>
        <v>32</v>
      </c>
      <c r="CN135" s="41">
        <f>(BM135+BP135+BS135+BV135+BY135+CB135+CE135+CH135+CK135)</f>
        <v>32</v>
      </c>
    </row>
    <row r="136" spans="1:92" x14ac:dyDescent="0.2">
      <c r="A136" s="534"/>
      <c r="B136" s="207" t="str">
        <f>TEXT(D135,"0,00")&amp;"       "&amp;TEXT(E135,"0,00")&amp;"       "&amp;TEXT(F135,"0,00")</f>
        <v>1,86       2,10       1,97</v>
      </c>
      <c r="C136" s="536"/>
      <c r="D136" s="558">
        <f>IF($A136,(G136*G5+#REF!*#REF!+K136*K5+N136*N5+Q136*Q5+T136*T5+W136*W5+Z136*Z5+AC136*AC5+AF136*AF5)/(G5+#REF!+K5+N5+Q5+T5+W5+Z5+AC5+AF5),0)</f>
        <v>0</v>
      </c>
      <c r="E136" s="559">
        <f>IF($A136,(H136*H5+#REF!*#REF!+L136*L5+O136*O5+R136*R5+U136*U5+X136*X5+AA136*AA5+AD136*AD5+AG136*AG5)/(H5+#REF!+L5+O5+R5+U5+X5+AA5+AD5+AG5),0)</f>
        <v>0</v>
      </c>
      <c r="F136" s="557"/>
      <c r="G136" s="118">
        <f>AK136</f>
        <v>8</v>
      </c>
      <c r="H136" s="118">
        <f>AL136</f>
        <v>8</v>
      </c>
      <c r="I136" s="561"/>
      <c r="J136" s="561"/>
      <c r="K136" s="118">
        <f>AN136</f>
        <v>8</v>
      </c>
      <c r="L136" s="118">
        <f>AO136</f>
        <v>8</v>
      </c>
      <c r="M136" s="561"/>
      <c r="N136" s="118">
        <f>AQ136</f>
        <v>8</v>
      </c>
      <c r="O136" s="118">
        <f>AR136</f>
        <v>8</v>
      </c>
      <c r="P136" s="551"/>
      <c r="Q136" s="118">
        <f>AT136</f>
        <v>8</v>
      </c>
      <c r="R136" s="118">
        <f>AU136</f>
        <v>8</v>
      </c>
      <c r="S136" s="551"/>
      <c r="T136" s="118">
        <f>AW136</f>
        <v>0</v>
      </c>
      <c r="U136" s="118">
        <f>AX136</f>
        <v>0</v>
      </c>
      <c r="V136" s="551"/>
      <c r="W136" s="118">
        <f>AZ136</f>
        <v>0</v>
      </c>
      <c r="X136" s="118">
        <f>BA136</f>
        <v>0</v>
      </c>
      <c r="Y136" s="551"/>
      <c r="Z136" s="118">
        <f>BC136</f>
        <v>0</v>
      </c>
      <c r="AA136" s="118">
        <f>BD136</f>
        <v>0</v>
      </c>
      <c r="AB136" s="551"/>
      <c r="AC136" s="118">
        <f>BF136</f>
        <v>0</v>
      </c>
      <c r="AD136" s="118">
        <f>BG136</f>
        <v>0</v>
      </c>
      <c r="AE136" s="551"/>
      <c r="AF136" s="118">
        <f>BI136</f>
        <v>0</v>
      </c>
      <c r="AG136" s="118">
        <f>BJ136</f>
        <v>0</v>
      </c>
      <c r="AH136" s="551"/>
      <c r="AI136" s="1" t="s">
        <v>10</v>
      </c>
      <c r="AJ136" s="17" t="s">
        <v>25</v>
      </c>
      <c r="AK136" s="138">
        <f>IF(SUM(AK20+AK36+AK52+AK68+AK84+AK100+AK116+AK132),(AK20*letrapeso($C5)+AK36*letrapeso($C21)+AK52*letrapeso($C37)+AK68*letrapeso($C53)+AK84*letrapeso($C69)+AK100*letrapeso($C85)+AK116*letrapeso($C101)+AK132*letrapeso($C117))/(IF(AK20,letrapeso($C5),0)+IF(AK36,letrapeso($C21),0)+IF(AK52,letrapeso($C37),0)+IF(AK68,letrapeso($C53),0)+IF(AK84,letrapeso($C69),0)+IF(AK100,letrapeso($C85),0)+IF(AK116,letrapeso($C101),0)+IF(AK119,letrapeso($C117),0)),0)</f>
        <v>8</v>
      </c>
      <c r="AL136" s="138">
        <f>IF(SUM(AL20+AL36+AL52+AL68+AL84+AL100+AL116+AL132),(AL20*letrapeso($C5)+AL36*letrapeso($C21)+AL52*letrapeso($C37)+AL68*letrapeso($C53)+AL84*letrapeso($C69)+AL100*letrapeso($C85)+AL116*letrapeso($C101)+AL132*letrapeso($C117))/(IF(AL20,letrapeso($C5),0)+IF(AL36,letrapeso($C21),0)+IF(AL52,letrapeso($C37),0)+IF(AL68,letrapeso($C53),0)+IF(AL84,letrapeso($C69),0)+IF(AL100,letrapeso($C85),0)+IF(AL116,letrapeso($C101),0)+IF(AL119,letrapeso($C117),0)),0)</f>
        <v>8</v>
      </c>
      <c r="AM136" s="138">
        <f>IF(SUM(AM20+AM36+AM52+AM68+AM84+AM100+AM116+AM132),(AM20*letrapeso($C5)+AM36*letrapeso($C21)+AM52*letrapeso($C37)+AM68*letrapeso($C53)+AM84*letrapeso($C69)+AM100*letrapeso($C85)+AM116*letrapeso($C101)+AM132*letrapeso($C117))/(IF(AM20,letrapeso($C5),0)+IF(AM36,letrapeso($C21),0)+IF(AM52,letrapeso($C37),0)+IF(AM68,letrapeso($C53),0)+IF(AM84,letrapeso($C69),0)+IF(AM100,letrapeso($C85),0)+IF(AM116,letrapeso($C101),0)+IF(AM119,letrapeso($C117),0)),0)</f>
        <v>8</v>
      </c>
      <c r="AN136" s="138">
        <f>IF(SUM(AN20+AN36+AN52+AN68+AN84+AN100+AN116+AN132),(AN20*letrapeso($C5)+AN36*letrapeso($C21)+AN52*letrapeso($C37)+AN68*letrapeso($C53)+AN84*letrapeso($C69)+AN100*letrapeso($C85)+AN116*letrapeso($C101)+AN132*letrapeso($C117))/(IF(AN20,letrapeso($C5),0)+IF(AN36,letrapeso($C21),0)+IF(AN52,letrapeso($C37),0)+IF(AN68,letrapeso($C53),0)+IF(AN84,letrapeso($C69),0)+IF(AN100,letrapeso($C85),0)+IF(AN116,letrapeso($C101),0)+IF(AN119,letrapeso($C117),0)),0)</f>
        <v>8</v>
      </c>
      <c r="AO136" s="138">
        <f>IF(SUM(AO20+AO36+AO52+AO68+AO84+AO100+AO116+AO132),(AO20*letrapeso($C5)+AO36*letrapeso($C21)+AO52*letrapeso($C37)+AO68*letrapeso($C53)+AO84*letrapeso($C69)+AO100*letrapeso($C85)+AO116*letrapeso($C101)+AO132*letrapeso($C117))/(IF(AO20,letrapeso($C5),0)+IF(AO36,letrapeso($C21),0)+IF(AO52,letrapeso($C37),0)+IF(AO68,letrapeso($C53),0)+IF(AO84,letrapeso($C69),0)+IF(AO100,letrapeso($C85),0)+IF(AO116,letrapeso($C101),0)+IF(AO119,letrapeso($C117),0)),0)</f>
        <v>8</v>
      </c>
      <c r="AP136" s="40"/>
      <c r="AQ136" s="138">
        <f>IF(SUM(AQ20+AQ36+AQ52+AQ68+AQ84+AQ100+AQ116+AQ132),(AQ20*letrapeso($C5)+AQ36*letrapeso($C21)+AQ52*letrapeso($C37)+AQ68*letrapeso($C53)+AQ84*letrapeso($C69)+AQ100*letrapeso($C85)+AQ116*letrapeso($C101)+AQ132*letrapeso($C117))/(IF(AQ20,letrapeso($C5),0)+IF(AQ36,letrapeso($C21),0)+IF(AQ52,letrapeso($C37),0)+IF(AQ68,letrapeso($C53),0)+IF(AQ84,letrapeso($C69),0)+IF(AQ100,letrapeso($C85),0)+IF(AQ116,letrapeso($C101),0)+IF(AQ119,letrapeso($C117),0)),0)</f>
        <v>8</v>
      </c>
      <c r="AR136" s="138">
        <f>IF(SUM(AR20+AR36+AR52+AR68+AR84+AR100+AR116+AR132),(AR20*letrapeso($C5)+AR36*letrapeso($C21)+AR52*letrapeso($C37)+AR68*letrapeso($C53)+AR84*letrapeso($C69)+AR100*letrapeso($C85)+AR116*letrapeso($C101)+AR132*letrapeso($C117))/(IF(AR20,letrapeso($C5),0)+IF(AR36,letrapeso($C21),0)+IF(AR52,letrapeso($C37),0)+IF(AR68,letrapeso($C53),0)+IF(AR84,letrapeso($C69),0)+IF(AR100,letrapeso($C85),0)+IF(AR116,letrapeso($C101),0)+IF(AR119,letrapeso($C117),0)),0)</f>
        <v>8</v>
      </c>
      <c r="AS136" s="40"/>
      <c r="AT136" s="138">
        <f>IF(SUM(AT20+AT36+AT52+AT68+AT84+AT100+AT116+AT132),(AT20*letrapeso($C5)+AT36*letrapeso($C21)+AT52*letrapeso($C37)+AT68*letrapeso($C53)+AT84*letrapeso($C69)+AT100*letrapeso($C85)+AT116*letrapeso($C101)+AT132*letrapeso($C117))/(IF(AT20,letrapeso($C5),0)+IF(AT36,letrapeso($C21),0)+IF(AT52,letrapeso($C37),0)+IF(AT68,letrapeso($C53),0)+IF(AT84,letrapeso($C69),0)+IF(AT100,letrapeso($C85),0)+IF(AT116,letrapeso($C101),0)+IF(AT119,letrapeso($C117),0)),0)</f>
        <v>8</v>
      </c>
      <c r="AU136" s="138">
        <f>IF(SUM(AU20+AU36+AU52+AU68+AU84+AU100+AU116+AU132),(AU20*letrapeso($C5)+AU36*letrapeso($C21)+AU52*letrapeso($C37)+AU68*letrapeso($C53)+AU84*letrapeso($C69)+AU100*letrapeso($C85)+AU116*letrapeso($C101)+AU132*letrapeso($C117))/(IF(AU20,letrapeso($C5),0)+IF(AU36,letrapeso($C21),0)+IF(AU52,letrapeso($C37),0)+IF(AU68,letrapeso($C53),0)+IF(AU84,letrapeso($C69),0)+IF(AU100,letrapeso($C85),0)+IF(AU116,letrapeso($C101),0)+IF(AU119,letrapeso($C117),0)),0)</f>
        <v>8</v>
      </c>
      <c r="AV136" s="40"/>
      <c r="AW136" s="138">
        <f>IF(SUM(AW20+AW36+AW52+AW68+AW84+AW100+AW116+AW132),(AW20*letrapeso($C5)+AW36*letrapeso($C21)+AW52*letrapeso($C37)+AW68*letrapeso($C53)+AW84*letrapeso($C69)+AW100*letrapeso($C85)+AW116*letrapeso($C101)+AW132*letrapeso($C117))/(IF(AW20,letrapeso($C5),0)+IF(AW36,letrapeso($C21),0)+IF(AW52,letrapeso($C37),0)+IF(AW68,letrapeso($C53),0)+IF(AW84,letrapeso($C69),0)+IF(AW100,letrapeso($C85),0)+IF(AW116,letrapeso($C101),0)+IF(AW119,letrapeso($C117),0)),0)</f>
        <v>0</v>
      </c>
      <c r="AX136" s="138">
        <f>IF(SUM(AX20+AX36+AX52+AX68+AX84+AX100+AX116+AX132),(AX20*letrapeso($C5)+AX36*letrapeso($C21)+AX52*letrapeso($C37)+AX68*letrapeso($C53)+AX84*letrapeso($C69)+AX100*letrapeso($C85)+AX116*letrapeso($C101)+AX132*letrapeso($C117))/(IF(AX20,letrapeso($C5),0)+IF(AX36,letrapeso($C21),0)+IF(AX52,letrapeso($C37),0)+IF(AX68,letrapeso($C53),0)+IF(AX84,letrapeso($C69),0)+IF(AX100,letrapeso($C85),0)+IF(AX116,letrapeso($C101),0)+IF(AX119,letrapeso($C117),0)),0)</f>
        <v>0</v>
      </c>
      <c r="AY136" s="40"/>
      <c r="AZ136" s="138">
        <f>IF(SUM(AZ20+AZ36+AZ52+AZ68+AZ84+AZ100+AZ116+AZ132),(AZ20*letrapeso($C5)+AZ36*letrapeso($C21)+AZ52*letrapeso($C37)+AZ68*letrapeso($C53)+AZ84*letrapeso($C69)+AZ100*letrapeso($C85)+AZ116*letrapeso($C101)+AZ132*letrapeso($C117))/(IF(AZ20,letrapeso($C5),0)+IF(AZ36,letrapeso($C21),0)+IF(AZ52,letrapeso($C37),0)+IF(AZ68,letrapeso($C53),0)+IF(AZ84,letrapeso($C69),0)+IF(AZ100,letrapeso($C85),0)+IF(AZ116,letrapeso($C101),0)+IF(AZ119,letrapeso($C117),0)),0)</f>
        <v>0</v>
      </c>
      <c r="BA136" s="138">
        <f>IF(SUM(BA20+BA36+BA52+BA68+BA84+BA100+BA116+BA132),(BA20*letrapeso($C5)+BA36*letrapeso($C21)+BA52*letrapeso($C37)+BA68*letrapeso($C53)+BA84*letrapeso($C69)+BA100*letrapeso($C85)+BA116*letrapeso($C101)+BA132*letrapeso($C117))/(IF(BA20,letrapeso($C5),0)+IF(BA36,letrapeso($C21),0)+IF(BA52,letrapeso($C37),0)+IF(BA68,letrapeso($C53),0)+IF(BA84,letrapeso($C69),0)+IF(BA100,letrapeso($C85),0)+IF(BA116,letrapeso($C101),0)+IF(BA119,letrapeso($C117),0)),0)</f>
        <v>0</v>
      </c>
      <c r="BB136" s="40"/>
      <c r="BC136" s="138">
        <f>IF(SUM(BC20+BC36+BC52+BC68+BC84+BC100+BC116+BC132),(BC20*letrapeso($C5)+BC36*letrapeso($C21)+BC52*letrapeso($C37)+BC68*letrapeso($C53)+BC84*letrapeso($C69)+BC100*letrapeso($C85)+BC116*letrapeso($C101)+BC132*letrapeso($C117))/(IF(BC20,letrapeso($C5),0)+IF(BC36,letrapeso($C21),0)+IF(BC52,letrapeso($C37),0)+IF(BC68,letrapeso($C53),0)+IF(BC84,letrapeso($C69),0)+IF(BC100,letrapeso($C85),0)+IF(BC116,letrapeso($C101),0)+IF(BC119,letrapeso($C117),0)),0)</f>
        <v>0</v>
      </c>
      <c r="BD136" s="138">
        <f>IF(SUM(BD20+BD36+BD52+BD68+BD84+BD100+BD116+BD132),(BD20*letrapeso($C5)+BD36*letrapeso($C21)+BD52*letrapeso($C37)+BD68*letrapeso($C53)+BD84*letrapeso($C69)+BD100*letrapeso($C85)+BD116*letrapeso($C101)+BD132*letrapeso($C117))/(IF(BD20,letrapeso($C5),0)+IF(BD36,letrapeso($C21),0)+IF(BD52,letrapeso($C37),0)+IF(BD68,letrapeso($C53),0)+IF(BD84,letrapeso($C69),0)+IF(BD100,letrapeso($C85),0)+IF(BD116,letrapeso($C101),0)+IF(BD119,letrapeso($C117),0)),0)</f>
        <v>0</v>
      </c>
      <c r="BE136" s="40"/>
      <c r="BF136" s="138">
        <f>IF(SUM(BF20+BF36+BF52+BF68+BF84+BF100+BF116+BF132),(BF20*letrapeso($C5)+BF36*letrapeso($C21)+BF52*letrapeso($C37)+BF68*letrapeso($C53)+BF84*letrapeso($C69)+BF100*letrapeso($C85)+BF116*letrapeso($C101)+BF132*letrapeso($C117))/(IF(BF20,letrapeso($C5),0)+IF(BF36,letrapeso($C21),0)+IF(BF52,letrapeso($C37),0)+IF(BF68,letrapeso($C53),0)+IF(BF84,letrapeso($C69),0)+IF(BF100,letrapeso($C85),0)+IF(BF116,letrapeso($C101),0)+IF(BF119,letrapeso($C117),0)),0)</f>
        <v>0</v>
      </c>
      <c r="BG136" s="138">
        <f>IF(SUM(BG20+BG36+BG52+BG68+BG84+BG100+BG116+BG132),(BG20*letrapeso($C5)+BG36*letrapeso($C21)+BG52*letrapeso($C37)+BG68*letrapeso($C53)+BG84*letrapeso($C69)+BG100*letrapeso($C85)+BG116*letrapeso($C101)+BG132*letrapeso($C117))/(IF(BG20,letrapeso($C5),0)+IF(BG36,letrapeso($C21),0)+IF(BG52,letrapeso($C37),0)+IF(BG68,letrapeso($C53),0)+IF(BG84,letrapeso($C69),0)+IF(BG100,letrapeso($C85),0)+IF(BG116,letrapeso($C101),0)+IF(BG119,letrapeso($C117),0)),0)</f>
        <v>0</v>
      </c>
      <c r="BH136" s="40"/>
      <c r="BI136" s="138">
        <f>IF(SUM(BI20+BI36+BI52+BI68+BI84+BI100+BI116+BI132),(BI20*letrapeso($C5)+BI36*letrapeso($C21)+BI52*letrapeso($C37)+BI68*letrapeso($C53)+BI84*letrapeso($C69)+BI100*letrapeso($C85)+BI116*letrapeso($C101)+BI132*letrapeso($C117))/(IF(BI20,letrapeso($C5),0)+IF(BI36,letrapeso($C21),0)+IF(BI52,letrapeso($C37),0)+IF(BI68,letrapeso($C53),0)+IF(BI84,letrapeso($C69),0)+IF(BI100,letrapeso($C85),0)+IF(BI116,letrapeso($C101),0)+IF(BI119,letrapeso($C117),0)),0)</f>
        <v>0</v>
      </c>
      <c r="BJ136" s="138">
        <f>IF(SUM(BJ20+BJ36+BJ52+BJ68+BJ84+BJ100+BJ116+BJ132),(BJ20*letrapeso($C5)+BJ36*letrapeso($C21)+BJ52*letrapeso($C37)+BJ68*letrapeso($C53)+BJ84*letrapeso($C69)+BJ100*letrapeso($C85)+BJ116*letrapeso($C101)+BJ132*letrapeso($C117))/(IF(BJ20,letrapeso($C5),0)+IF(BJ36,letrapeso($C21),0)+IF(BJ52,letrapeso($C37),0)+IF(BJ68,letrapeso($C53),0)+IF(BJ84,letrapeso($C69),0)+IF(BJ100,letrapeso($C85),0)+IF(BJ116,letrapeso($C101),0)+IF(BJ119,letrapeso($C117),0)),0)</f>
        <v>0</v>
      </c>
      <c r="BK136" s="131"/>
    </row>
    <row r="137" spans="1:92" x14ac:dyDescent="0.2">
      <c r="A137" s="541">
        <v>0.4</v>
      </c>
      <c r="B137" s="206" t="s">
        <v>13</v>
      </c>
      <c r="C137" s="539">
        <f>F137</f>
        <v>2.1625000000000001</v>
      </c>
      <c r="D137" s="558">
        <f>IF($A137,(G137*letrapeso(G138)+K137*letrapeso(K138)+N137*letrapeso(N138)+Q137*letrapeso(Q138)+T137*letrapeso(T138)+W137*letrapeso(W138)+Z137*letrapeso(Z138)+AC137*letrapeso(AC138)+AF137*letrapeso(AF138))/(letrapeso(G138)+letrapeso(K138)+letrapeso(N138)+letrapeso(Q138)+letrapeso(T138)+letrapeso(W138)+letrapeso(Z138)+letrapeso(AC138)+letrapeso(AF138)),0)</f>
        <v>2.5</v>
      </c>
      <c r="E137" s="559">
        <f>IF($A137,(H137*letrapeso(H138)+L137*letrapeso(L138)+O137*letrapeso(O138)+R137*letrapeso(R138)+U137*letrapeso(U138)+X137*letrapeso(X138)+AA137*letrapeso(AA138)+AD137*letrapeso(AD138)+AG137*letrapeso(AG138))/(letrapeso(H138)+letrapeso(L138)+letrapeso(O138)+letrapeso(R138)+letrapeso(U138)+letrapeso(X138)+letrapeso(AA138)+letrapeso(AD138)+letrapeso(AG138)),0)</f>
        <v>1.75</v>
      </c>
      <c r="F137" s="557">
        <f>IF(D137,(D137*$A$145+E137*$A$146),0)</f>
        <v>2.1625000000000001</v>
      </c>
      <c r="G137" s="267">
        <f>'Digitar aqui Notas e Pesos'!D137</f>
        <v>0</v>
      </c>
      <c r="H137" s="268">
        <f>'Digitar aqui Notas e Pesos'!E137</f>
        <v>0</v>
      </c>
      <c r="I137" s="555">
        <f>IF(AND(G137&lt;&gt;0,H137&lt;&gt;0,$A137&lt;&gt;0),(G137*letrapeso(G138)*$A$145+H137*letrapeso(H138)*$A$146)/(letrapeso(G138)*$A$145+letrapeso(H138)*$A$146),0)</f>
        <v>0</v>
      </c>
      <c r="J137" s="493"/>
      <c r="K137" s="267">
        <f>'Digitar aqui Notas e Pesos'!G137</f>
        <v>0</v>
      </c>
      <c r="L137" s="268">
        <f>'Digitar aqui Notas e Pesos'!H137</f>
        <v>0</v>
      </c>
      <c r="M137" s="555">
        <f>IF(AND(K137&lt;&gt;0,L137&lt;&gt;0,$A137&lt;&gt;0),(K137*letrapeso(K138)*$A$145+L137*letrapeso(L138)*$A$146)/(letrapeso(K138)*$A$145+letrapeso(L138)*$A$146),0)</f>
        <v>0</v>
      </c>
      <c r="N137" s="267">
        <f>'Digitar aqui Notas e Pesos'!J137</f>
        <v>0</v>
      </c>
      <c r="O137" s="268">
        <f>'Digitar aqui Notas e Pesos'!K137</f>
        <v>0</v>
      </c>
      <c r="P137" s="562">
        <f>IF(AND(N137&lt;&gt;0,O137&lt;&gt;0,$A137&lt;&gt;0),(N137*letrapeso(N138)*$A$145+O137*letrapeso(O138)*$A$146)/(letrapeso(N138)*$A$145+letrapeso(O138)*$A$146),0)</f>
        <v>0</v>
      </c>
      <c r="Q137" s="267">
        <f>'Digitar aqui Notas e Pesos'!M137</f>
        <v>0</v>
      </c>
      <c r="R137" s="268">
        <f>'Digitar aqui Notas e Pesos'!N137</f>
        <v>0</v>
      </c>
      <c r="S137" s="562">
        <f>IF(AND(Q137&lt;&gt;0,R137&lt;&gt;0,$A137&lt;&gt;0),(Q137*letrapeso(Q138)*$A$145+R137*letrapeso(R138)*$A$146)/(letrapeso(Q138)*$A$145+letrapeso(R138)*$A$146),0)</f>
        <v>0</v>
      </c>
      <c r="T137" s="267">
        <f>'Digitar aqui Notas e Pesos'!P137</f>
        <v>2</v>
      </c>
      <c r="U137" s="268">
        <f>'Digitar aqui Notas e Pesos'!Q137</f>
        <v>2</v>
      </c>
      <c r="V137" s="562">
        <f>IF(AND(T137&lt;&gt;0,U137&lt;&gt;0,$A137&lt;&gt;0),(T137*letrapeso(T138)*$A$145+U137*letrapeso(U138)*$A$146)/(letrapeso(T138)*$A$145+letrapeso(U138)*$A$146),0)</f>
        <v>2</v>
      </c>
      <c r="W137" s="267">
        <f>'Digitar aqui Notas e Pesos'!S137</f>
        <v>2</v>
      </c>
      <c r="X137" s="268">
        <f>'Digitar aqui Notas e Pesos'!T137</f>
        <v>2</v>
      </c>
      <c r="Y137" s="562">
        <f>IF(AND(W137&lt;&gt;0,X137&lt;&gt;0,$A137&lt;&gt;0),(W137*letrapeso(W138)*$A$145+X137*letrapeso(X138)*$A$146)/(letrapeso(W138)*$A$145+letrapeso(X138)*$A$146),0)</f>
        <v>2</v>
      </c>
      <c r="Z137" s="267">
        <f>'Digitar aqui Notas e Pesos'!V137</f>
        <v>1</v>
      </c>
      <c r="AA137" s="268">
        <f>'Digitar aqui Notas e Pesos'!W137</f>
        <v>2</v>
      </c>
      <c r="AB137" s="562">
        <f>IF(AND(Z137&lt;&gt;0,AA137&lt;&gt;0,$A137&lt;&gt;0),(Z137*letrapeso(Z138)*$A$145+AA137*letrapeso(AA138)*$A$146)/(letrapeso(Z138)*$A$145+letrapeso(AA138)*$A$146),0)</f>
        <v>1.4500000000000002</v>
      </c>
      <c r="AC137" s="267">
        <f>'Digitar aqui Notas e Pesos'!Y137</f>
        <v>4</v>
      </c>
      <c r="AD137" s="268">
        <f>'Digitar aqui Notas e Pesos'!Z137</f>
        <v>1</v>
      </c>
      <c r="AE137" s="562">
        <f>IF(AND(AC137&lt;&gt;0,AD137&lt;&gt;0,$A137&lt;&gt;0),(AC137*letrapeso(AC138)*$A$145+AD137*letrapeso(AD138)*$A$146)/(letrapeso(AC138)*$A$145+letrapeso(AD138)*$A$146),0)</f>
        <v>2.6500000000000004</v>
      </c>
      <c r="AF137" s="267">
        <f>'Digitar aqui Notas e Pesos'!AB137</f>
        <v>4</v>
      </c>
      <c r="AG137" s="268">
        <f>'Digitar aqui Notas e Pesos'!AC137</f>
        <v>2</v>
      </c>
      <c r="AH137" s="562">
        <f>IF(AND(AF137&lt;&gt;0,AG137&lt;&gt;0,$A137&lt;&gt;0),(AF137*letrapeso(AF138)*$A$145+AG137*letrapeso(AG138)*$A$146)/(letrapeso(AF138)*$A$145+letrapeso(AG138)*$A$146),0)</f>
        <v>3.1</v>
      </c>
      <c r="AI137" s="1" t="s">
        <v>10</v>
      </c>
      <c r="AJ137" s="1"/>
      <c r="BL137" s="171">
        <f>letrapeso(G138)</f>
        <v>0</v>
      </c>
      <c r="BM137" s="171">
        <f>letrapeso(H138)</f>
        <v>0</v>
      </c>
      <c r="BN137" s="41"/>
      <c r="BO137" s="171">
        <f>letrapeso(K138)</f>
        <v>0</v>
      </c>
      <c r="BP137" s="171">
        <f>letrapeso(L138)</f>
        <v>0</v>
      </c>
      <c r="BQ137" s="41"/>
      <c r="BR137" s="171">
        <f>letrapeso(N138)</f>
        <v>0</v>
      </c>
      <c r="BS137" s="171">
        <f>letrapeso(O138)</f>
        <v>0</v>
      </c>
      <c r="BT137" s="41"/>
      <c r="BU137" s="171">
        <f>letrapeso(Q138)</f>
        <v>0</v>
      </c>
      <c r="BV137" s="171">
        <f>letrapeso(R138)</f>
        <v>0</v>
      </c>
      <c r="BW137" s="41"/>
      <c r="BX137" s="171">
        <f>letrapeso(T138)</f>
        <v>8</v>
      </c>
      <c r="BY137" s="171">
        <f>letrapeso(U138)</f>
        <v>8</v>
      </c>
      <c r="BZ137" s="41"/>
      <c r="CA137" s="171">
        <f>letrapeso(W138)</f>
        <v>4</v>
      </c>
      <c r="CB137" s="171">
        <f>letrapeso(X138)</f>
        <v>4</v>
      </c>
      <c r="CC137" s="41"/>
      <c r="CD137" s="171">
        <f>letrapeso(Z138)</f>
        <v>8</v>
      </c>
      <c r="CE137" s="171">
        <f>letrapeso(AA138)</f>
        <v>8</v>
      </c>
      <c r="CF137" s="41"/>
      <c r="CG137" s="171">
        <f>letrapeso(AC138)</f>
        <v>8</v>
      </c>
      <c r="CH137" s="171">
        <f>letrapeso(AD138)</f>
        <v>8</v>
      </c>
      <c r="CI137" s="41"/>
      <c r="CJ137" s="171">
        <f>letrapeso(AF138)</f>
        <v>4</v>
      </c>
      <c r="CK137" s="171">
        <f>letrapeso(AG138)</f>
        <v>4</v>
      </c>
      <c r="CL137" s="41"/>
      <c r="CM137" s="41">
        <f>(BL137+BO137+BR137+BU137+BX137+CA137+CD137+CG137+CJ137)</f>
        <v>32</v>
      </c>
      <c r="CN137" s="41">
        <f>(BM137+BP137+BS137+BV137+BY137+CB137+CE137+CH137+CK137)</f>
        <v>32</v>
      </c>
    </row>
    <row r="138" spans="1:92" ht="15.75" thickBot="1" x14ac:dyDescent="0.25">
      <c r="A138" s="542"/>
      <c r="B138" s="207" t="str">
        <f>TEXT(D137,"0,00")&amp;"       "&amp;TEXT(E137,"0,00")&amp;"       "&amp;TEXT(F137,"0,00")</f>
        <v>2,50       1,75       2,16</v>
      </c>
      <c r="C138" s="540"/>
      <c r="D138" s="558">
        <f>IF($A138,(G138*G140+#REF!*#REF!+K138*K140+N138*N140+Q138*Q140+T138*T140+W138*W140+Z138*Z140+AC138*AC140+AF138*AF140)/(G140+#REF!+K140+N140+Q140+T140+W140+Z140+AC140+AF140),0)</f>
        <v>0</v>
      </c>
      <c r="E138" s="559">
        <f>IF($A138,(H138*H140+#REF!*#REF!+L138*L140+O138*O140+R138*R140+U138*U140+X138*X140+AA138*AA140+AD138*AD140+AG138*AG140)/(H140+#REF!+L140+O140+R140+U140+X140+AA140+AD140+AG140),0)</f>
        <v>0</v>
      </c>
      <c r="F138" s="557">
        <f>IF(ISTEXT($C138),(D138*$A$145+E138*$A$146),0)</f>
        <v>0</v>
      </c>
      <c r="G138" s="269" t="str">
        <f>PEsoLetra('Digitar aqui Notas e Pesos'!D138)</f>
        <v/>
      </c>
      <c r="H138" s="270" t="str">
        <f>PEsoLetra('Digitar aqui Notas e Pesos'!E138)</f>
        <v/>
      </c>
      <c r="I138" s="556"/>
      <c r="J138" s="492"/>
      <c r="K138" s="269" t="str">
        <f>PEsoLetra('Digitar aqui Notas e Pesos'!G138)</f>
        <v/>
      </c>
      <c r="L138" s="270" t="str">
        <f>PEsoLetra('Digitar aqui Notas e Pesos'!H138)</f>
        <v/>
      </c>
      <c r="M138" s="556"/>
      <c r="N138" s="269" t="str">
        <f>PEsoLetra('Digitar aqui Notas e Pesos'!J138)</f>
        <v/>
      </c>
      <c r="O138" s="270" t="str">
        <f>PEsoLetra('Digitar aqui Notas e Pesos'!K138)</f>
        <v/>
      </c>
      <c r="P138" s="563"/>
      <c r="Q138" s="269" t="str">
        <f>PEsoLetra('Digitar aqui Notas e Pesos'!M138)</f>
        <v/>
      </c>
      <c r="R138" s="270" t="str">
        <f>PEsoLetra('Digitar aqui Notas e Pesos'!N138)</f>
        <v/>
      </c>
      <c r="S138" s="563"/>
      <c r="T138" s="269" t="str">
        <f>PEsoLetra('Digitar aqui Notas e Pesos'!P138)</f>
        <v>a</v>
      </c>
      <c r="U138" s="270" t="str">
        <f>PEsoLetra('Digitar aqui Notas e Pesos'!Q138)</f>
        <v>a</v>
      </c>
      <c r="V138" s="563"/>
      <c r="W138" s="269" t="str">
        <f>PEsoLetra('Digitar aqui Notas e Pesos'!S138)</f>
        <v>ma</v>
      </c>
      <c r="X138" s="270" t="str">
        <f>PEsoLetra('Digitar aqui Notas e Pesos'!T138)</f>
        <v>ma</v>
      </c>
      <c r="Y138" s="563"/>
      <c r="Z138" s="269" t="str">
        <f>PEsoLetra('Digitar aqui Notas e Pesos'!V138)</f>
        <v>a</v>
      </c>
      <c r="AA138" s="270" t="str">
        <f>PEsoLetra('Digitar aqui Notas e Pesos'!W138)</f>
        <v>a</v>
      </c>
      <c r="AB138" s="563"/>
      <c r="AC138" s="269" t="str">
        <f>PEsoLetra('Digitar aqui Notas e Pesos'!Y138)</f>
        <v>a</v>
      </c>
      <c r="AD138" s="270" t="str">
        <f>PEsoLetra('Digitar aqui Notas e Pesos'!Z138)</f>
        <v>a</v>
      </c>
      <c r="AE138" s="563"/>
      <c r="AF138" s="269" t="str">
        <f>PEsoLetra('Digitar aqui Notas e Pesos'!AB138)</f>
        <v>ma</v>
      </c>
      <c r="AG138" s="270" t="str">
        <f>PEsoLetra('Digitar aqui Notas e Pesos'!AC138)</f>
        <v>ma</v>
      </c>
      <c r="AH138" s="563"/>
      <c r="AI138" s="1" t="s">
        <v>10</v>
      </c>
      <c r="AJ138" s="1"/>
    </row>
    <row r="139" spans="1:92" s="28" customFormat="1" ht="13.5" customHeight="1" thickTop="1" thickBot="1" x14ac:dyDescent="0.25">
      <c r="A139" s="139"/>
      <c r="B139" s="140"/>
      <c r="C139" s="141"/>
      <c r="D139" s="218"/>
      <c r="E139" s="218"/>
      <c r="F139" s="218"/>
      <c r="G139" s="142"/>
      <c r="H139" s="142"/>
      <c r="I139" s="143"/>
      <c r="J139" s="143"/>
      <c r="K139" s="142"/>
      <c r="L139" s="142"/>
      <c r="M139" s="143"/>
      <c r="N139" s="142"/>
      <c r="O139" s="142"/>
      <c r="P139" s="143"/>
      <c r="Q139" s="142"/>
      <c r="R139" s="142"/>
      <c r="S139" s="143"/>
      <c r="T139" s="142"/>
      <c r="U139" s="142"/>
      <c r="V139" s="143"/>
      <c r="W139" s="142"/>
      <c r="X139" s="142"/>
      <c r="Y139" s="143"/>
      <c r="Z139" s="142"/>
      <c r="AA139" s="142"/>
      <c r="AB139" s="143"/>
      <c r="AC139" s="142"/>
      <c r="AD139" s="142"/>
      <c r="AE139" s="143"/>
      <c r="AF139" s="142"/>
      <c r="AG139" s="142"/>
      <c r="AH139" s="143"/>
      <c r="AI139" s="1" t="s">
        <v>10</v>
      </c>
      <c r="AJ139" s="19"/>
    </row>
    <row r="140" spans="1:92" ht="20.25" thickTop="1" x14ac:dyDescent="0.2">
      <c r="A140" s="51"/>
      <c r="B140" s="52" t="s">
        <v>9</v>
      </c>
      <c r="C140" s="53"/>
      <c r="D140" s="5"/>
      <c r="E140" s="5"/>
      <c r="F140" s="6"/>
      <c r="G140" s="10">
        <f>IF(AND(G135,G137),($A135*G135*G136+$A137*G137*letrapeso(G138))/($A135*G136+$A137*letrapeso(G138)),IF(G135,G135,G137))</f>
        <v>2</v>
      </c>
      <c r="H140" s="11">
        <f>IF(AND(H135,H137),($A135*H135*H136+$A137*H137*letrapeso(H138))/($A135*H136+$A137*letrapeso(H138)),IF(H135,H135,H137))</f>
        <v>2.2222222222222223</v>
      </c>
      <c r="I140" s="12"/>
      <c r="J140" s="494"/>
      <c r="K140" s="10">
        <f>IF(AND(K135,K137),($A135*K135*K136+$A137*K137*letrapeso(K138))/($A135*K136+$A137*letrapeso(K138)),IF(K135,K135,K137))</f>
        <v>2</v>
      </c>
      <c r="L140" s="11">
        <f>IF(AND(L135,L137),($A135*L135*L136+$A137*L137*letrapeso(L138))/($A135*L136+$A137*letrapeso(L138)),IF(L135,L135,L137))</f>
        <v>2</v>
      </c>
      <c r="M140" s="12"/>
      <c r="N140" s="10">
        <f>IF(AND(N135,N137),($A135*N135*N136+$A137*N137*letrapeso(N138))/($A135*N136+$A137*letrapeso(N138)),IF(N135,N135,N137))</f>
        <v>1</v>
      </c>
      <c r="O140" s="11">
        <f>IF(AND(O135,O137),($A135*O135*O136+$A137*O137*letrapeso(O138))/($A135*O136+$A137*letrapeso(O138)),IF(O135,O135,O137))</f>
        <v>2</v>
      </c>
      <c r="P140" s="12"/>
      <c r="Q140" s="10">
        <f>IF(AND(Q135,Q137),($A135*Q135*Q136+$A137*Q137*letrapeso(Q138))/($A135*Q136+$A137*letrapeso(Q138)),IF(Q135,Q135,Q137))</f>
        <v>2</v>
      </c>
      <c r="R140" s="11">
        <f>IF(AND(R135,R137),($A135*R135*R136+$A137*R137*letrapeso(R138))/($A135*R136+$A137*letrapeso(R138)),IF(R135,R135,R137))</f>
        <v>1.6666666666666667</v>
      </c>
      <c r="S140" s="12"/>
      <c r="T140" s="10">
        <f>IF(AND(T135,T137),($A135*T135*T136+$A137*T137*letrapeso(T138))/($A135*T136+$A137*letrapeso(T138)),IF(T135,T135,T137))</f>
        <v>2</v>
      </c>
      <c r="U140" s="11">
        <f>IF(AND(U135,U137),($A135*U135*U136+$A137*U137*letrapeso(U138))/($A135*U136+$A137*letrapeso(U138)),IF(U135,U135,U137))</f>
        <v>2</v>
      </c>
      <c r="V140" s="12"/>
      <c r="W140" s="10">
        <f>IF(AND(W135,W137),($A135*W135*W136+$A137*W137*letrapeso(W138))/($A135*W136+$A137*letrapeso(W138)),IF(W135,W135,W137))</f>
        <v>2</v>
      </c>
      <c r="X140" s="11">
        <f>IF(AND(X135,X137),($A135*X135*X136+$A137*X137*letrapeso(X138))/($A135*X136+$A137*letrapeso(X138)),IF(X135,X135,X137))</f>
        <v>2</v>
      </c>
      <c r="Y140" s="12"/>
      <c r="Z140" s="10">
        <f>IF(AND(Z135,Z137),($A135*Z135*Z136+$A137*Z137*letrapeso(Z138))/($A135*Z136+$A137*letrapeso(Z138)),IF(Z135,Z135,Z137))</f>
        <v>1</v>
      </c>
      <c r="AA140" s="11">
        <f>IF(AND(AA135,AA137),($A135*AA135*AA136+$A137*AA137*letrapeso(AA138))/($A135*AA136+$A137*letrapeso(AA138)),IF(AA135,AA135,AA137))</f>
        <v>2</v>
      </c>
      <c r="AB140" s="12"/>
      <c r="AC140" s="10">
        <f>IF(AND(AC135,AC137),($A135*AC135*AC136+$A137*AC137*letrapeso(AC138))/($A135*AC136+$A137*letrapeso(AC138)),IF(AC135,AC135,AC137))</f>
        <v>4</v>
      </c>
      <c r="AD140" s="11">
        <f>IF(AND(AD135,AD137),($A135*AD135*AD136+$A137*AD137*letrapeso(AD138))/($A135*AD136+$A137*letrapeso(AD138)),IF(AD135,AD135,AD137))</f>
        <v>1</v>
      </c>
      <c r="AE140" s="12"/>
      <c r="AF140" s="10">
        <f>IF(AND(AF135,AF137),($A135*AF135*AF136+$A137*AF137*letrapeso(AF138))/($A135*AF136+$A137*letrapeso(AF138)),IF(AF135,AF135,AF137))</f>
        <v>4</v>
      </c>
      <c r="AG140" s="11">
        <f>IF(AND(AG135,AG137),($A135*AG135*AG136+$A137*AG137*letrapeso(AG138))/($A135*AG136+$A137*letrapeso(AG138)),IF(AG135,AG135,AG137))</f>
        <v>2</v>
      </c>
      <c r="AH140" s="12"/>
      <c r="AI140" s="1" t="s">
        <v>10</v>
      </c>
      <c r="AJ140" s="1"/>
      <c r="AK140" s="125"/>
      <c r="AL140" s="125"/>
    </row>
    <row r="141" spans="1:92" ht="23.25" thickBot="1" x14ac:dyDescent="0.25">
      <c r="A141" s="54"/>
      <c r="B141" s="144" t="str">
        <f>TEXT(E141,"#,00")&amp;" =&gt; "&amp;TEXT(ROUND(E141,0),"#,0")</f>
        <v>2,05 =&gt; 2,0</v>
      </c>
      <c r="C141" s="55"/>
      <c r="D141" s="145">
        <f>+A135*C135+A137*C137</f>
        <v>2.0474137931034484</v>
      </c>
      <c r="E141" s="496">
        <f>IF(ROUND(MOD(MOD(D141*100,100),1),10)=0.5,INT(D141)+(EVEN(TRUNC(ROUND(MOD(TRUNC(D141,2),1),10)*100,8))/100),ROUND(D141,2))</f>
        <v>2.0499999999999998</v>
      </c>
      <c r="F141" s="6"/>
      <c r="G141" s="54"/>
      <c r="H141" s="548">
        <f>IF(G140,G140*$A$145+H140*$A$146,0)</f>
        <v>2.1</v>
      </c>
      <c r="I141" s="549"/>
      <c r="J141" s="472"/>
      <c r="K141" s="54"/>
      <c r="L141" s="548">
        <f>IF(K140,K140*$A$145+L140*$A$146,0)</f>
        <v>2</v>
      </c>
      <c r="M141" s="549"/>
      <c r="N141" s="54"/>
      <c r="O141" s="548">
        <f>IF(N140,N140*$A$145+O140*$A$146,0)</f>
        <v>1.4500000000000002</v>
      </c>
      <c r="P141" s="549"/>
      <c r="Q141" s="54"/>
      <c r="R141" s="548">
        <f>IF(Q140,Q140*$A$145+R140*$A$146,0)</f>
        <v>1.85</v>
      </c>
      <c r="S141" s="549"/>
      <c r="T141" s="54"/>
      <c r="U141" s="548">
        <f>IF(T140,T140*$A$145+U140*$A$146,0)</f>
        <v>2</v>
      </c>
      <c r="V141" s="549"/>
      <c r="W141" s="54"/>
      <c r="X141" s="548">
        <f>IF(W140,W140*$A$145+X140*$A$146,0)</f>
        <v>2</v>
      </c>
      <c r="Y141" s="549"/>
      <c r="Z141" s="54"/>
      <c r="AA141" s="548">
        <f>IF(Z140,Z140*$A$145+AA140*$A$146,0)</f>
        <v>1.4500000000000002</v>
      </c>
      <c r="AB141" s="549"/>
      <c r="AC141" s="54"/>
      <c r="AD141" s="548">
        <f>IF(AC140,AC140*$A$145+AD140*$A$146,0)</f>
        <v>2.6500000000000004</v>
      </c>
      <c r="AE141" s="549"/>
      <c r="AF141" s="54"/>
      <c r="AG141" s="548">
        <f>IF(AF140,AF140*$A$145+AG140*$A$146,0)</f>
        <v>3.1</v>
      </c>
      <c r="AH141" s="549"/>
      <c r="AI141" s="1" t="s">
        <v>10</v>
      </c>
      <c r="AJ141" s="1"/>
      <c r="AK141" s="125"/>
      <c r="AL141" s="125"/>
    </row>
    <row r="142" spans="1:92" ht="19.5" thickTop="1" thickBot="1" x14ac:dyDescent="0.25">
      <c r="A142" s="544" t="s">
        <v>35</v>
      </c>
      <c r="B142" s="544"/>
      <c r="C142" s="544"/>
      <c r="D142" s="219"/>
      <c r="E142" s="2"/>
      <c r="F142" s="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146"/>
      <c r="AF142" s="58"/>
      <c r="AG142" s="13"/>
      <c r="AH142" s="13"/>
      <c r="AI142" s="8" t="s">
        <v>10</v>
      </c>
      <c r="AJ142" s="1"/>
      <c r="AK142" s="125"/>
      <c r="AL142" s="125"/>
    </row>
    <row r="143" spans="1:92" ht="21" thickTop="1" thickBot="1" x14ac:dyDescent="0.25">
      <c r="A143" s="545"/>
      <c r="B143" s="545"/>
      <c r="C143" s="545"/>
      <c r="D143" s="59"/>
      <c r="E143" s="2"/>
      <c r="F143" s="7"/>
      <c r="G143" s="147" t="s">
        <v>54</v>
      </c>
      <c r="H143" s="148"/>
      <c r="I143" s="9"/>
      <c r="J143" s="3"/>
      <c r="L143" s="147" t="s">
        <v>57</v>
      </c>
      <c r="M143" s="148"/>
      <c r="N143" s="9"/>
      <c r="O143" s="149"/>
      <c r="P143" s="9"/>
      <c r="Q143" s="150"/>
      <c r="S143" s="147" t="s">
        <v>56</v>
      </c>
      <c r="T143" s="148"/>
      <c r="U143" s="150"/>
      <c r="W143" s="147" t="s">
        <v>55</v>
      </c>
      <c r="X143" s="148"/>
      <c r="Y143" s="9"/>
      <c r="Z143" s="149"/>
      <c r="AA143" s="9"/>
      <c r="AB143" s="150"/>
      <c r="AI143" s="8" t="s">
        <v>10</v>
      </c>
      <c r="AJ143" s="4"/>
      <c r="AK143" s="125"/>
      <c r="AL143" s="125"/>
      <c r="AM143" s="125"/>
      <c r="AN143" s="125"/>
      <c r="AO143" s="125"/>
      <c r="AP143" s="125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</row>
    <row r="144" spans="1:92" ht="24" thickTop="1" x14ac:dyDescent="0.2">
      <c r="A144" s="151" t="s">
        <v>6</v>
      </c>
      <c r="B144" s="152" t="str">
        <f xml:space="preserve"> "= R x "&amp;A145&amp;" + C x "&amp;A146</f>
        <v>= R x 0,55 + C x 0,45</v>
      </c>
      <c r="C144" s="153"/>
      <c r="F144" s="7"/>
      <c r="O144" s="3"/>
      <c r="P144" s="3"/>
      <c r="V144" s="3"/>
      <c r="AF144" s="60"/>
      <c r="AG144" s="3"/>
      <c r="AH144" s="3"/>
      <c r="AI144" s="8" t="s">
        <v>10</v>
      </c>
      <c r="AJ144" s="4"/>
      <c r="AK144" s="125"/>
      <c r="AL144" s="125"/>
      <c r="AM144" s="125"/>
      <c r="AN144" s="125"/>
      <c r="AO144" s="125"/>
      <c r="AP144" s="125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</row>
    <row r="145" spans="1:63" x14ac:dyDescent="0.2">
      <c r="A145" s="543">
        <v>0.55000000000000004</v>
      </c>
      <c r="B145" s="543"/>
      <c r="C145" s="543"/>
      <c r="D145" s="61"/>
      <c r="E145" s="61"/>
      <c r="F145" s="62"/>
      <c r="K145" s="60"/>
      <c r="L145" s="3"/>
      <c r="M145" s="3"/>
      <c r="N145" s="60"/>
      <c r="O145" s="3"/>
      <c r="P145" s="3"/>
      <c r="Q145" s="60"/>
      <c r="R145" s="3"/>
      <c r="S145" s="3"/>
      <c r="T145" s="60"/>
      <c r="U145" s="3"/>
      <c r="V145" s="3"/>
      <c r="W145" s="60"/>
      <c r="AC145" s="60"/>
      <c r="AD145" s="3"/>
      <c r="AE145" s="3"/>
      <c r="AF145" s="60"/>
      <c r="AG145" s="3"/>
      <c r="AH145" s="3"/>
      <c r="AI145" s="8" t="s">
        <v>10</v>
      </c>
      <c r="AJ145" s="4"/>
      <c r="AK145" s="125"/>
      <c r="AL145" s="125"/>
      <c r="AM145" s="125"/>
      <c r="AN145" s="125"/>
      <c r="AO145" s="125"/>
      <c r="AP145" s="125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</row>
    <row r="146" spans="1:63" x14ac:dyDescent="0.2">
      <c r="A146" s="532">
        <v>0.45</v>
      </c>
      <c r="B146" s="532"/>
      <c r="C146" s="532"/>
      <c r="D146" s="63"/>
      <c r="E146" s="63"/>
      <c r="AI146" s="8" t="s">
        <v>10</v>
      </c>
      <c r="AK146" s="125"/>
      <c r="AL146" s="125"/>
    </row>
    <row r="147" spans="1:63" ht="18" x14ac:dyDescent="0.2">
      <c r="A147" s="154" t="s">
        <v>33</v>
      </c>
      <c r="B147" s="155"/>
      <c r="C147" s="156"/>
      <c r="D147" s="157"/>
      <c r="E147" s="157"/>
      <c r="AI147" s="8" t="s">
        <v>10</v>
      </c>
      <c r="AK147" s="125"/>
      <c r="AL147" s="125"/>
    </row>
    <row r="148" spans="1:63" x14ac:dyDescent="0.2">
      <c r="A148" s="158" t="s">
        <v>50</v>
      </c>
      <c r="AI148" s="8" t="s">
        <v>10</v>
      </c>
    </row>
    <row r="149" spans="1:63" x14ac:dyDescent="0.2">
      <c r="A149" s="154"/>
    </row>
    <row r="152" spans="1:63" x14ac:dyDescent="0.2">
      <c r="G152" s="29">
        <f>COUNTBLANK(C123:C129)</f>
        <v>3</v>
      </c>
    </row>
  </sheetData>
  <autoFilter ref="A3:AI149">
    <filterColumn colId="6" showButton="0"/>
    <filterColumn colId="7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1" showButton="0"/>
    <filterColumn colId="32" showButton="0"/>
    <filterColumn colId="34">
      <filters>
        <filter val="Imprime"/>
      </filters>
    </filterColumn>
  </autoFilter>
  <dataConsolidate/>
  <mergeCells count="700">
    <mergeCell ref="J135:J136"/>
    <mergeCell ref="A60:B60"/>
    <mergeCell ref="A62:B62"/>
    <mergeCell ref="A64:B64"/>
    <mergeCell ref="A88:B88"/>
    <mergeCell ref="A84:B84"/>
    <mergeCell ref="A80:B80"/>
    <mergeCell ref="A76:B76"/>
    <mergeCell ref="A77:B77"/>
    <mergeCell ref="A66:B66"/>
    <mergeCell ref="A74:B74"/>
    <mergeCell ref="A103:B103"/>
    <mergeCell ref="A99:B99"/>
    <mergeCell ref="A98:B98"/>
    <mergeCell ref="A96:B96"/>
    <mergeCell ref="A97:B97"/>
    <mergeCell ref="A90:B90"/>
    <mergeCell ref="A92:B92"/>
    <mergeCell ref="A94:B94"/>
    <mergeCell ref="A91:B91"/>
    <mergeCell ref="A93:B93"/>
    <mergeCell ref="I107:I108"/>
    <mergeCell ref="A106:B106"/>
    <mergeCell ref="A108:B108"/>
    <mergeCell ref="A54:B54"/>
    <mergeCell ref="A73:B73"/>
    <mergeCell ref="A75:B75"/>
    <mergeCell ref="A71:B71"/>
    <mergeCell ref="A70:B70"/>
    <mergeCell ref="A67:B67"/>
    <mergeCell ref="A87:B87"/>
    <mergeCell ref="A89:B89"/>
    <mergeCell ref="A82:B82"/>
    <mergeCell ref="A86:B86"/>
    <mergeCell ref="D1:F1"/>
    <mergeCell ref="D2:F2"/>
    <mergeCell ref="A68:B68"/>
    <mergeCell ref="A72:B72"/>
    <mergeCell ref="A57:B57"/>
    <mergeCell ref="A59:B59"/>
    <mergeCell ref="A61:B61"/>
    <mergeCell ref="A56:B56"/>
    <mergeCell ref="A58:B58"/>
    <mergeCell ref="A35:B35"/>
    <mergeCell ref="A38:B38"/>
    <mergeCell ref="A49:B49"/>
    <mergeCell ref="A51:B51"/>
    <mergeCell ref="A40:B40"/>
    <mergeCell ref="A42:B42"/>
    <mergeCell ref="A44:B44"/>
    <mergeCell ref="A41:B41"/>
    <mergeCell ref="A48:B48"/>
    <mergeCell ref="A43:B43"/>
    <mergeCell ref="A52:B52"/>
    <mergeCell ref="A47:B47"/>
    <mergeCell ref="A45:B45"/>
    <mergeCell ref="A50:B50"/>
    <mergeCell ref="A55:B55"/>
    <mergeCell ref="A46:B46"/>
    <mergeCell ref="A32:B32"/>
    <mergeCell ref="A23:B23"/>
    <mergeCell ref="A39:B39"/>
    <mergeCell ref="A25:B25"/>
    <mergeCell ref="A27:B27"/>
    <mergeCell ref="A29:B29"/>
    <mergeCell ref="A31:B31"/>
    <mergeCell ref="A24:B24"/>
    <mergeCell ref="A26:B26"/>
    <mergeCell ref="A34:B34"/>
    <mergeCell ref="A28:B28"/>
    <mergeCell ref="A30:B30"/>
    <mergeCell ref="A33:B33"/>
    <mergeCell ref="A6:B6"/>
    <mergeCell ref="A22:B22"/>
    <mergeCell ref="A14:B14"/>
    <mergeCell ref="A16:B16"/>
    <mergeCell ref="A7:B7"/>
    <mergeCell ref="A9:B9"/>
    <mergeCell ref="A11:B11"/>
    <mergeCell ref="A13:B13"/>
    <mergeCell ref="A8:B8"/>
    <mergeCell ref="A10:B10"/>
    <mergeCell ref="A18:B18"/>
    <mergeCell ref="A20:B20"/>
    <mergeCell ref="A15:B15"/>
    <mergeCell ref="A17:B17"/>
    <mergeCell ref="A19:B19"/>
    <mergeCell ref="AF1:AH1"/>
    <mergeCell ref="AH97:AH98"/>
    <mergeCell ref="AH81:AH82"/>
    <mergeCell ref="AH83:AH84"/>
    <mergeCell ref="AH67:AH68"/>
    <mergeCell ref="AH71:AH72"/>
    <mergeCell ref="AH73:AH74"/>
    <mergeCell ref="AH51:AH52"/>
    <mergeCell ref="AH65:AH66"/>
    <mergeCell ref="AH89:AH90"/>
    <mergeCell ref="G2:AH2"/>
    <mergeCell ref="I17:I18"/>
    <mergeCell ref="I19:I20"/>
    <mergeCell ref="I15:I16"/>
    <mergeCell ref="AH15:AH16"/>
    <mergeCell ref="AH17:AH18"/>
    <mergeCell ref="AH19:AH20"/>
    <mergeCell ref="AE7:AE8"/>
    <mergeCell ref="AE9:AE10"/>
    <mergeCell ref="AE11:AE12"/>
    <mergeCell ref="AH9:AH10"/>
    <mergeCell ref="AH11:AH12"/>
    <mergeCell ref="AH13:AH14"/>
    <mergeCell ref="G1:AE1"/>
    <mergeCell ref="Y81:Y82"/>
    <mergeCell ref="Y83:Y84"/>
    <mergeCell ref="Y97:Y98"/>
    <mergeCell ref="G3:I3"/>
    <mergeCell ref="I95:I96"/>
    <mergeCell ref="AE83:AE84"/>
    <mergeCell ref="AE87:AE88"/>
    <mergeCell ref="I77:I78"/>
    <mergeCell ref="I81:I82"/>
    <mergeCell ref="I49:I50"/>
    <mergeCell ref="K3:M3"/>
    <mergeCell ref="Z3:AB3"/>
    <mergeCell ref="AC3:AE3"/>
    <mergeCell ref="AE67:AE68"/>
    <mergeCell ref="AE71:AE72"/>
    <mergeCell ref="AE73:AE74"/>
    <mergeCell ref="AE75:AE76"/>
    <mergeCell ref="AE79:AE80"/>
    <mergeCell ref="AE81:AE82"/>
    <mergeCell ref="AE89:AE90"/>
    <mergeCell ref="AE47:AE48"/>
    <mergeCell ref="AE49:AE50"/>
    <mergeCell ref="AE51:AE52"/>
    <mergeCell ref="AB131:AB132"/>
    <mergeCell ref="AB115:AB116"/>
    <mergeCell ref="AB119:AB120"/>
    <mergeCell ref="AB121:AB122"/>
    <mergeCell ref="AB123:AB124"/>
    <mergeCell ref="AB127:AB128"/>
    <mergeCell ref="AB129:AB130"/>
    <mergeCell ref="AB125:AB126"/>
    <mergeCell ref="Y113:Y114"/>
    <mergeCell ref="Y119:Y120"/>
    <mergeCell ref="AZ3:BB3"/>
    <mergeCell ref="AK3:AM3"/>
    <mergeCell ref="AN3:AP3"/>
    <mergeCell ref="AF3:AH3"/>
    <mergeCell ref="AB103:AB104"/>
    <mergeCell ref="AB105:AB106"/>
    <mergeCell ref="AB107:AB108"/>
    <mergeCell ref="AB109:AB110"/>
    <mergeCell ref="Y125:Y126"/>
    <mergeCell ref="Y121:Y122"/>
    <mergeCell ref="AB111:AB112"/>
    <mergeCell ref="AB113:AB114"/>
    <mergeCell ref="AH47:AH48"/>
    <mergeCell ref="AH49:AH50"/>
    <mergeCell ref="AH25:AH26"/>
    <mergeCell ref="AH27:AH28"/>
    <mergeCell ref="AH23:AH24"/>
    <mergeCell ref="AH7:AH8"/>
    <mergeCell ref="AQ3:AS3"/>
    <mergeCell ref="AT3:AV3"/>
    <mergeCell ref="AW3:AY3"/>
    <mergeCell ref="AH107:AH108"/>
    <mergeCell ref="I45:I46"/>
    <mergeCell ref="AH137:AH138"/>
    <mergeCell ref="AH125:AH126"/>
    <mergeCell ref="AH127:AH128"/>
    <mergeCell ref="AH129:AH130"/>
    <mergeCell ref="AH131:AH132"/>
    <mergeCell ref="AH115:AH116"/>
    <mergeCell ref="AH119:AH120"/>
    <mergeCell ref="AH121:AH122"/>
    <mergeCell ref="AH109:AH110"/>
    <mergeCell ref="AH111:AH112"/>
    <mergeCell ref="AH113:AH114"/>
    <mergeCell ref="AH103:AH104"/>
    <mergeCell ref="AH105:AH106"/>
    <mergeCell ref="AE119:AE120"/>
    <mergeCell ref="AE109:AE110"/>
    <mergeCell ref="AE111:AE112"/>
    <mergeCell ref="AE113:AE114"/>
    <mergeCell ref="AE115:AE116"/>
    <mergeCell ref="AE99:AE100"/>
    <mergeCell ref="AH123:AH124"/>
    <mergeCell ref="AF134:AH134"/>
    <mergeCell ref="AE125:AE126"/>
    <mergeCell ref="BI3:BK3"/>
    <mergeCell ref="BF3:BH3"/>
    <mergeCell ref="AH99:AH100"/>
    <mergeCell ref="AH87:AH88"/>
    <mergeCell ref="AH59:AH60"/>
    <mergeCell ref="AH79:AH80"/>
    <mergeCell ref="AH75:AH76"/>
    <mergeCell ref="AH91:AH92"/>
    <mergeCell ref="AH93:AH94"/>
    <mergeCell ref="AH77:AH78"/>
    <mergeCell ref="AH95:AH96"/>
    <mergeCell ref="AH55:AH56"/>
    <mergeCell ref="AH57:AH58"/>
    <mergeCell ref="AH61:AH62"/>
    <mergeCell ref="AH39:AH40"/>
    <mergeCell ref="AH41:AH42"/>
    <mergeCell ref="AH63:AH64"/>
    <mergeCell ref="AH35:AH36"/>
    <mergeCell ref="AH29:AH30"/>
    <mergeCell ref="AH31:AH32"/>
    <mergeCell ref="AH33:AH34"/>
    <mergeCell ref="BC3:BE3"/>
    <mergeCell ref="AH43:AH44"/>
    <mergeCell ref="AH45:AH46"/>
    <mergeCell ref="AE127:AE128"/>
    <mergeCell ref="AE129:AE130"/>
    <mergeCell ref="AE131:AE132"/>
    <mergeCell ref="AC134:AE134"/>
    <mergeCell ref="AE91:AE92"/>
    <mergeCell ref="AE93:AE94"/>
    <mergeCell ref="AE97:AE98"/>
    <mergeCell ref="AE95:AE96"/>
    <mergeCell ref="AE103:AE104"/>
    <mergeCell ref="AE123:AE124"/>
    <mergeCell ref="AE121:AE122"/>
    <mergeCell ref="AE105:AE106"/>
    <mergeCell ref="AE107:AE108"/>
    <mergeCell ref="AE55:AE56"/>
    <mergeCell ref="AE57:AE58"/>
    <mergeCell ref="AE77:AE78"/>
    <mergeCell ref="AE59:AE60"/>
    <mergeCell ref="AE61:AE62"/>
    <mergeCell ref="AE63:AE64"/>
    <mergeCell ref="AE65:AE66"/>
    <mergeCell ref="AE33:AE34"/>
    <mergeCell ref="AE35:AE36"/>
    <mergeCell ref="AE39:AE40"/>
    <mergeCell ref="AE41:AE42"/>
    <mergeCell ref="AE43:AE44"/>
    <mergeCell ref="AE45:AE46"/>
    <mergeCell ref="AE23:AE24"/>
    <mergeCell ref="AE25:AE26"/>
    <mergeCell ref="AE27:AE28"/>
    <mergeCell ref="AE29:AE30"/>
    <mergeCell ref="AE13:AE14"/>
    <mergeCell ref="AE15:AE16"/>
    <mergeCell ref="AE17:AE18"/>
    <mergeCell ref="AE19:AE20"/>
    <mergeCell ref="AE31:AE32"/>
    <mergeCell ref="AB93:AB94"/>
    <mergeCell ref="AB95:AB96"/>
    <mergeCell ref="AB75:AB76"/>
    <mergeCell ref="AB77:AB78"/>
    <mergeCell ref="AB79:AB80"/>
    <mergeCell ref="AB81:AB82"/>
    <mergeCell ref="AB55:AB56"/>
    <mergeCell ref="AB57:AB58"/>
    <mergeCell ref="AB45:AB46"/>
    <mergeCell ref="AB83:AB84"/>
    <mergeCell ref="AB87:AB88"/>
    <mergeCell ref="AB89:AB90"/>
    <mergeCell ref="AB91:AB92"/>
    <mergeCell ref="AB63:AB64"/>
    <mergeCell ref="AB65:AB66"/>
    <mergeCell ref="AB67:AB68"/>
    <mergeCell ref="AB71:AB72"/>
    <mergeCell ref="AB73:AB74"/>
    <mergeCell ref="Y95:Y96"/>
    <mergeCell ref="Y107:Y108"/>
    <mergeCell ref="AB41:AB42"/>
    <mergeCell ref="AB43:AB44"/>
    <mergeCell ref="AB59:AB60"/>
    <mergeCell ref="AB61:AB62"/>
    <mergeCell ref="AB47:AB48"/>
    <mergeCell ref="AB49:AB50"/>
    <mergeCell ref="AB51:AB52"/>
    <mergeCell ref="Y57:Y58"/>
    <mergeCell ref="Y59:Y60"/>
    <mergeCell ref="Y61:Y62"/>
    <mergeCell ref="Y99:Y100"/>
    <mergeCell ref="Y65:Y66"/>
    <mergeCell ref="Y67:Y68"/>
    <mergeCell ref="Y91:Y92"/>
    <mergeCell ref="Y89:Y90"/>
    <mergeCell ref="Y63:Y64"/>
    <mergeCell ref="Y43:Y44"/>
    <mergeCell ref="Y45:Y46"/>
    <mergeCell ref="Y47:Y48"/>
    <mergeCell ref="Y49:Y50"/>
    <mergeCell ref="AB97:AB98"/>
    <mergeCell ref="AB99:AB100"/>
    <mergeCell ref="AB27:AB28"/>
    <mergeCell ref="AB29:AB30"/>
    <mergeCell ref="AB31:AB32"/>
    <mergeCell ref="AB33:AB34"/>
    <mergeCell ref="AB35:AB36"/>
    <mergeCell ref="AB39:AB40"/>
    <mergeCell ref="AB7:AB8"/>
    <mergeCell ref="AB9:AB10"/>
    <mergeCell ref="AB11:AB12"/>
    <mergeCell ref="AB25:AB26"/>
    <mergeCell ref="AB13:AB14"/>
    <mergeCell ref="AB15:AB16"/>
    <mergeCell ref="AB17:AB18"/>
    <mergeCell ref="AB19:AB20"/>
    <mergeCell ref="AB23:AB24"/>
    <mergeCell ref="Y15:Y16"/>
    <mergeCell ref="Y17:Y18"/>
    <mergeCell ref="Y19:Y20"/>
    <mergeCell ref="Y23:Y24"/>
    <mergeCell ref="Y25:Y26"/>
    <mergeCell ref="Y27:Y28"/>
    <mergeCell ref="Y51:Y52"/>
    <mergeCell ref="Y55:Y56"/>
    <mergeCell ref="Y71:Y72"/>
    <mergeCell ref="V131:V132"/>
    <mergeCell ref="Y135:Y136"/>
    <mergeCell ref="Y131:Y132"/>
    <mergeCell ref="Y129:Y130"/>
    <mergeCell ref="W134:Y134"/>
    <mergeCell ref="T134:V134"/>
    <mergeCell ref="V129:V130"/>
    <mergeCell ref="Y123:Y124"/>
    <mergeCell ref="Y29:Y30"/>
    <mergeCell ref="Y31:Y32"/>
    <mergeCell ref="Y33:Y34"/>
    <mergeCell ref="Y35:Y36"/>
    <mergeCell ref="Y39:Y40"/>
    <mergeCell ref="Y41:Y42"/>
    <mergeCell ref="Y73:Y74"/>
    <mergeCell ref="Y75:Y76"/>
    <mergeCell ref="Y77:Y78"/>
    <mergeCell ref="Y93:Y94"/>
    <mergeCell ref="Y115:Y116"/>
    <mergeCell ref="Y87:Y88"/>
    <mergeCell ref="Y109:Y110"/>
    <mergeCell ref="Y105:Y106"/>
    <mergeCell ref="Y103:Y104"/>
    <mergeCell ref="Y79:Y80"/>
    <mergeCell ref="Y127:Y128"/>
    <mergeCell ref="V109:V110"/>
    <mergeCell ref="V111:V112"/>
    <mergeCell ref="V113:V114"/>
    <mergeCell ref="V115:V116"/>
    <mergeCell ref="V127:V128"/>
    <mergeCell ref="V119:V120"/>
    <mergeCell ref="V121:V122"/>
    <mergeCell ref="V123:V124"/>
    <mergeCell ref="V125:V126"/>
    <mergeCell ref="Y111:Y112"/>
    <mergeCell ref="V83:V84"/>
    <mergeCell ref="V87:V88"/>
    <mergeCell ref="V89:V90"/>
    <mergeCell ref="V107:V108"/>
    <mergeCell ref="V91:V92"/>
    <mergeCell ref="V93:V94"/>
    <mergeCell ref="V95:V96"/>
    <mergeCell ref="V97:V98"/>
    <mergeCell ref="V99:V100"/>
    <mergeCell ref="V103:V104"/>
    <mergeCell ref="V105:V106"/>
    <mergeCell ref="V71:V72"/>
    <mergeCell ref="V73:V74"/>
    <mergeCell ref="V75:V76"/>
    <mergeCell ref="V77:V78"/>
    <mergeCell ref="V79:V80"/>
    <mergeCell ref="V47:V48"/>
    <mergeCell ref="P137:P138"/>
    <mergeCell ref="V49:V50"/>
    <mergeCell ref="V51:V52"/>
    <mergeCell ref="V55:V56"/>
    <mergeCell ref="V57:V58"/>
    <mergeCell ref="V59:V60"/>
    <mergeCell ref="V61:V62"/>
    <mergeCell ref="V63:V64"/>
    <mergeCell ref="V65:V66"/>
    <mergeCell ref="S127:S128"/>
    <mergeCell ref="S129:S130"/>
    <mergeCell ref="S131:S132"/>
    <mergeCell ref="V135:V136"/>
    <mergeCell ref="S121:S122"/>
    <mergeCell ref="S123:S124"/>
    <mergeCell ref="S125:S126"/>
    <mergeCell ref="S61:S62"/>
    <mergeCell ref="V81:V82"/>
    <mergeCell ref="V43:V44"/>
    <mergeCell ref="V45:V46"/>
    <mergeCell ref="V19:V20"/>
    <mergeCell ref="V23:V24"/>
    <mergeCell ref="V25:V26"/>
    <mergeCell ref="V27:V28"/>
    <mergeCell ref="V29:V30"/>
    <mergeCell ref="V31:V32"/>
    <mergeCell ref="V67:V68"/>
    <mergeCell ref="V15:V16"/>
    <mergeCell ref="V17:V18"/>
    <mergeCell ref="S113:S114"/>
    <mergeCell ref="S115:S116"/>
    <mergeCell ref="S119:S120"/>
    <mergeCell ref="S95:S96"/>
    <mergeCell ref="S97:S98"/>
    <mergeCell ref="S99:S100"/>
    <mergeCell ref="S103:S104"/>
    <mergeCell ref="S105:S106"/>
    <mergeCell ref="S107:S108"/>
    <mergeCell ref="S75:S76"/>
    <mergeCell ref="S89:S90"/>
    <mergeCell ref="S91:S92"/>
    <mergeCell ref="S93:S94"/>
    <mergeCell ref="S77:S78"/>
    <mergeCell ref="S79:S80"/>
    <mergeCell ref="S81:S82"/>
    <mergeCell ref="S83:S84"/>
    <mergeCell ref="S87:S88"/>
    <mergeCell ref="V33:V34"/>
    <mergeCell ref="V35:V36"/>
    <mergeCell ref="V39:V40"/>
    <mergeCell ref="V41:V42"/>
    <mergeCell ref="P113:P114"/>
    <mergeCell ref="P115:P116"/>
    <mergeCell ref="P119:P120"/>
    <mergeCell ref="P121:P122"/>
    <mergeCell ref="P83:P84"/>
    <mergeCell ref="P97:P98"/>
    <mergeCell ref="P99:P100"/>
    <mergeCell ref="S63:S64"/>
    <mergeCell ref="S65:S66"/>
    <mergeCell ref="S67:S68"/>
    <mergeCell ref="S71:S72"/>
    <mergeCell ref="S73:S74"/>
    <mergeCell ref="S109:S110"/>
    <mergeCell ref="S111:S112"/>
    <mergeCell ref="P71:P72"/>
    <mergeCell ref="P73:P74"/>
    <mergeCell ref="P75:P76"/>
    <mergeCell ref="P77:P78"/>
    <mergeCell ref="P79:P80"/>
    <mergeCell ref="P81:P82"/>
    <mergeCell ref="S39:S40"/>
    <mergeCell ref="S41:S42"/>
    <mergeCell ref="S43:S44"/>
    <mergeCell ref="S45:S46"/>
    <mergeCell ref="S59:S60"/>
    <mergeCell ref="S57:S58"/>
    <mergeCell ref="S47:S48"/>
    <mergeCell ref="S49:S50"/>
    <mergeCell ref="S51:S52"/>
    <mergeCell ref="S55:S56"/>
    <mergeCell ref="P47:P48"/>
    <mergeCell ref="P49:P50"/>
    <mergeCell ref="P51:P52"/>
    <mergeCell ref="P55:P56"/>
    <mergeCell ref="P57:P58"/>
    <mergeCell ref="P67:P68"/>
    <mergeCell ref="I103:I104"/>
    <mergeCell ref="I87:I88"/>
    <mergeCell ref="I89:I90"/>
    <mergeCell ref="I91:I92"/>
    <mergeCell ref="I93:I94"/>
    <mergeCell ref="I97:I98"/>
    <mergeCell ref="M65:M66"/>
    <mergeCell ref="P65:P66"/>
    <mergeCell ref="P61:P62"/>
    <mergeCell ref="P63:P64"/>
    <mergeCell ref="M71:M72"/>
    <mergeCell ref="M67:M68"/>
    <mergeCell ref="I65:I66"/>
    <mergeCell ref="M61:M62"/>
    <mergeCell ref="M63:M64"/>
    <mergeCell ref="I71:I72"/>
    <mergeCell ref="I73:I74"/>
    <mergeCell ref="P103:P104"/>
    <mergeCell ref="I23:I24"/>
    <mergeCell ref="I55:I56"/>
    <mergeCell ref="S29:S30"/>
    <mergeCell ref="S31:S32"/>
    <mergeCell ref="I59:I60"/>
    <mergeCell ref="I57:I58"/>
    <mergeCell ref="P41:P42"/>
    <mergeCell ref="M41:M42"/>
    <mergeCell ref="I47:I48"/>
    <mergeCell ref="P59:P60"/>
    <mergeCell ref="M39:M40"/>
    <mergeCell ref="M27:M28"/>
    <mergeCell ref="M59:M60"/>
    <mergeCell ref="P43:P44"/>
    <mergeCell ref="M49:M50"/>
    <mergeCell ref="M55:M56"/>
    <mergeCell ref="M57:M58"/>
    <mergeCell ref="M45:M46"/>
    <mergeCell ref="I35:I36"/>
    <mergeCell ref="I39:I40"/>
    <mergeCell ref="I41:I42"/>
    <mergeCell ref="I43:I44"/>
    <mergeCell ref="I51:I52"/>
    <mergeCell ref="I33:I34"/>
    <mergeCell ref="I11:I12"/>
    <mergeCell ref="I13:I14"/>
    <mergeCell ref="Y13:Y14"/>
    <mergeCell ref="P9:P10"/>
    <mergeCell ref="P11:P12"/>
    <mergeCell ref="M13:M14"/>
    <mergeCell ref="S13:S14"/>
    <mergeCell ref="Y11:Y12"/>
    <mergeCell ref="Y7:Y8"/>
    <mergeCell ref="Y9:Y10"/>
    <mergeCell ref="I7:I8"/>
    <mergeCell ref="I9:I10"/>
    <mergeCell ref="V7:V8"/>
    <mergeCell ref="V9:V10"/>
    <mergeCell ref="V11:V12"/>
    <mergeCell ref="V13:V14"/>
    <mergeCell ref="N3:P3"/>
    <mergeCell ref="Q3:S3"/>
    <mergeCell ref="T3:V3"/>
    <mergeCell ref="W3:Y3"/>
    <mergeCell ref="M11:M12"/>
    <mergeCell ref="P23:P24"/>
    <mergeCell ref="M51:M52"/>
    <mergeCell ref="M47:M48"/>
    <mergeCell ref="P45:P46"/>
    <mergeCell ref="M43:M44"/>
    <mergeCell ref="P15:P16"/>
    <mergeCell ref="P17:P18"/>
    <mergeCell ref="P19:P20"/>
    <mergeCell ref="M15:M16"/>
    <mergeCell ref="M23:M24"/>
    <mergeCell ref="M25:M26"/>
    <mergeCell ref="M35:M36"/>
    <mergeCell ref="S7:S8"/>
    <mergeCell ref="S9:S10"/>
    <mergeCell ref="S11:S12"/>
    <mergeCell ref="P13:P14"/>
    <mergeCell ref="M7:M8"/>
    <mergeCell ref="M9:M10"/>
    <mergeCell ref="M17:M18"/>
    <mergeCell ref="M19:M20"/>
    <mergeCell ref="S17:S18"/>
    <mergeCell ref="S15:S16"/>
    <mergeCell ref="S25:S26"/>
    <mergeCell ref="S27:S28"/>
    <mergeCell ref="P35:P36"/>
    <mergeCell ref="P39:P40"/>
    <mergeCell ref="S33:S34"/>
    <mergeCell ref="S35:S36"/>
    <mergeCell ref="S23:S24"/>
    <mergeCell ref="S19:S20"/>
    <mergeCell ref="F3:F4"/>
    <mergeCell ref="P33:P34"/>
    <mergeCell ref="P25:P26"/>
    <mergeCell ref="P27:P28"/>
    <mergeCell ref="P29:P30"/>
    <mergeCell ref="P31:P32"/>
    <mergeCell ref="P7:P8"/>
    <mergeCell ref="A83:B83"/>
    <mergeCell ref="A79:B79"/>
    <mergeCell ref="I25:I26"/>
    <mergeCell ref="E3:E4"/>
    <mergeCell ref="D3:D4"/>
    <mergeCell ref="I83:I84"/>
    <mergeCell ref="I61:I62"/>
    <mergeCell ref="I79:I80"/>
    <mergeCell ref="I63:I64"/>
    <mergeCell ref="I67:I68"/>
    <mergeCell ref="M29:M30"/>
    <mergeCell ref="M31:M32"/>
    <mergeCell ref="M33:M34"/>
    <mergeCell ref="A12:B12"/>
    <mergeCell ref="I27:I28"/>
    <mergeCell ref="I29:I30"/>
    <mergeCell ref="I31:I32"/>
    <mergeCell ref="A115:B115"/>
    <mergeCell ref="A118:B118"/>
    <mergeCell ref="A114:B114"/>
    <mergeCell ref="A107:B107"/>
    <mergeCell ref="A95:B95"/>
    <mergeCell ref="I75:I76"/>
    <mergeCell ref="A105:B105"/>
    <mergeCell ref="A78:B78"/>
    <mergeCell ref="A81:B81"/>
    <mergeCell ref="A109:B109"/>
    <mergeCell ref="A104:B104"/>
    <mergeCell ref="A100:B100"/>
    <mergeCell ref="A102:B102"/>
    <mergeCell ref="A123:B123"/>
    <mergeCell ref="M105:M106"/>
    <mergeCell ref="M107:M108"/>
    <mergeCell ref="M109:M110"/>
    <mergeCell ref="I129:I130"/>
    <mergeCell ref="I111:I112"/>
    <mergeCell ref="I123:I124"/>
    <mergeCell ref="I109:I110"/>
    <mergeCell ref="M127:M128"/>
    <mergeCell ref="M129:M130"/>
    <mergeCell ref="M123:M124"/>
    <mergeCell ref="A124:B124"/>
    <mergeCell ref="A121:B121"/>
    <mergeCell ref="A110:B110"/>
    <mergeCell ref="A112:B112"/>
    <mergeCell ref="A111:B111"/>
    <mergeCell ref="A116:B116"/>
    <mergeCell ref="A120:B120"/>
    <mergeCell ref="A119:B119"/>
    <mergeCell ref="M115:M116"/>
    <mergeCell ref="M113:M114"/>
    <mergeCell ref="I113:I114"/>
    <mergeCell ref="I105:I106"/>
    <mergeCell ref="A113:B113"/>
    <mergeCell ref="I131:I132"/>
    <mergeCell ref="M119:M120"/>
    <mergeCell ref="M121:M122"/>
    <mergeCell ref="I119:I120"/>
    <mergeCell ref="I127:I128"/>
    <mergeCell ref="I121:I122"/>
    <mergeCell ref="M131:M132"/>
    <mergeCell ref="M79:M80"/>
    <mergeCell ref="M81:M82"/>
    <mergeCell ref="M83:M84"/>
    <mergeCell ref="M87:M88"/>
    <mergeCell ref="M89:M90"/>
    <mergeCell ref="M125:M126"/>
    <mergeCell ref="M91:M92"/>
    <mergeCell ref="M111:M112"/>
    <mergeCell ref="M97:M98"/>
    <mergeCell ref="M99:M100"/>
    <mergeCell ref="I125:I126"/>
    <mergeCell ref="I115:I116"/>
    <mergeCell ref="M103:M104"/>
    <mergeCell ref="I99:I100"/>
    <mergeCell ref="M135:M136"/>
    <mergeCell ref="AB137:AB138"/>
    <mergeCell ref="P135:P136"/>
    <mergeCell ref="Y137:Y138"/>
    <mergeCell ref="S137:S138"/>
    <mergeCell ref="AB135:AB136"/>
    <mergeCell ref="V137:V138"/>
    <mergeCell ref="M73:M74"/>
    <mergeCell ref="Q134:S134"/>
    <mergeCell ref="P87:P88"/>
    <mergeCell ref="P89:P90"/>
    <mergeCell ref="P91:P92"/>
    <mergeCell ref="P93:P94"/>
    <mergeCell ref="P95:P96"/>
    <mergeCell ref="P131:P132"/>
    <mergeCell ref="S135:S136"/>
    <mergeCell ref="P105:P106"/>
    <mergeCell ref="P107:P108"/>
    <mergeCell ref="P109:P110"/>
    <mergeCell ref="P111:P112"/>
    <mergeCell ref="P127:P128"/>
    <mergeCell ref="P129:P130"/>
    <mergeCell ref="P123:P124"/>
    <mergeCell ref="P125:P126"/>
    <mergeCell ref="O141:P141"/>
    <mergeCell ref="G134:I134"/>
    <mergeCell ref="K134:M134"/>
    <mergeCell ref="N134:P134"/>
    <mergeCell ref="H141:I141"/>
    <mergeCell ref="A36:B36"/>
    <mergeCell ref="M75:M76"/>
    <mergeCell ref="M93:M94"/>
    <mergeCell ref="M77:M78"/>
    <mergeCell ref="M95:M96"/>
    <mergeCell ref="M137:M138"/>
    <mergeCell ref="L141:M141"/>
    <mergeCell ref="A125:B125"/>
    <mergeCell ref="A122:B122"/>
    <mergeCell ref="F135:F136"/>
    <mergeCell ref="I137:I138"/>
    <mergeCell ref="D135:D136"/>
    <mergeCell ref="E135:E136"/>
    <mergeCell ref="I135:I136"/>
    <mergeCell ref="D137:D138"/>
    <mergeCell ref="E137:E138"/>
    <mergeCell ref="F137:F138"/>
    <mergeCell ref="A63:B63"/>
    <mergeCell ref="A65:B65"/>
    <mergeCell ref="AG141:AH141"/>
    <mergeCell ref="R141:S141"/>
    <mergeCell ref="U141:V141"/>
    <mergeCell ref="X141:Y141"/>
    <mergeCell ref="AA141:AB141"/>
    <mergeCell ref="AD141:AE141"/>
    <mergeCell ref="AH135:AH136"/>
    <mergeCell ref="AE135:AE136"/>
    <mergeCell ref="Z134:AB134"/>
    <mergeCell ref="AE137:AE138"/>
    <mergeCell ref="A146:C146"/>
    <mergeCell ref="A135:A136"/>
    <mergeCell ref="C135:C136"/>
    <mergeCell ref="A126:B126"/>
    <mergeCell ref="C137:C138"/>
    <mergeCell ref="A137:A138"/>
    <mergeCell ref="A145:C145"/>
    <mergeCell ref="A142:C143"/>
    <mergeCell ref="A127:B127"/>
    <mergeCell ref="A132:B132"/>
    <mergeCell ref="A131:B131"/>
    <mergeCell ref="A128:B128"/>
    <mergeCell ref="A130:B130"/>
    <mergeCell ref="A129:B129"/>
  </mergeCells>
  <phoneticPr fontId="0" type="noConversion"/>
  <conditionalFormatting sqref="AF133:AG133 AC133:AD133 Z133:AA133 W133:X133 T133:U133 W139:X139 Z139:AA139 T139:U139 AC139:AD139 AF139:AG139 Q133:R133 N139:O139 K139:L139 Q139:R139 K133:L133 N133:O133 G139:H139 G133:H133">
    <cfRule type="cellIs" dxfId="161" priority="84" stopIfTrue="1" operator="equal">
      <formula>"a"</formula>
    </cfRule>
    <cfRule type="cellIs" dxfId="160" priority="85" stopIfTrue="1" operator="equal">
      <formula>"b"</formula>
    </cfRule>
    <cfRule type="cellIs" dxfId="159" priority="86" stopIfTrue="1" operator="equal">
      <formula>"m"</formula>
    </cfRule>
  </conditionalFormatting>
  <conditionalFormatting sqref="AC8:AD8 AF116:AG116 T138:U138 W138:X138 AC10:AD10 AC12:AD12 AC138:AD138 AF138:AG138 AC14:AD14 AC18:AD18 Z8:AA8 Z10:AA10 Z12:AA12 Z14:AA14 T8:U8 Z18:AA18 AC16:AD16 W8:X8 Z16:AA16 T10:U10 T12:U12 T14:U14 T18:U18 AC20:AD20 W10:X10 W12:X12 W14:X14 T16:U16 W18:X18 W16:X16 Z20:AA20 T20:U20 W20:X20 AF96:AG96 AF100:AG100 AF110:AG110 AF114:AG114 AF132:AG132 Z138:AA138 AF112:AG112 K8:L8 K10:L10 K12:L12 K14:L14 K18:L18 Q8:R8 Q10:R10 Q12:R12 Q14:R14 Q18:R18 N138:O138 K138:L138 Q138:R138 K16:L16 K20:L20 Q16:R16 N8:O8 N10:O10 N12:O12 N14:O14 N18:O18 N16:O16 Q20:R20 N20:O20 AC24:AD24 AC26:AD26 AC28:AD28 AC30:AD30 AC34:AD34 Z24:AA24 Z26:AA26 Z28:AA28 Z30:AA30 T24:U24 Z34:AA34 AC32:AD32 W24:X24 Z32:AA32 T26:U26 T28:U28 T30:U30 T34:U34 AC36:AD36 W26:X26 W28:X28 W30:X30 T32:U32 W34:X34 W32:X32 Z36:AA36 T36:U36 W36:X36 K24:L24 K26:L26 K28:L28 K30:L30 K34:L34 Q24:R24 Q26:R26 Q28:R28 Q30:R30 Q34:R34 K32:L32 K36:L36 Q32:R32 N24:O24 N26:O26 N28:O28 N30:O30 N34:O34 N32:O32 Q36:R36 N36:O36 AC40:AD40 AC42:AD42 AC44:AD44 AC46:AD46 AC50:AD50 Z40:AA40 Z42:AA42 Z44:AA44 Z46:AA46 T40:U40 Z50:AA50 AC48:AD48 W40:X40 Z48:AA48 T42:U42 T44:U44 T46:U46 T50:U50 AC52:AD52 W42:X42 W44:X44 W46:X46 T48:U48 W50:X50 W48:X48 Z52:AA52 T52:U52 W52:X52 K40:L40 K42:L42 K44:L44 K46:L46 K50:L50 Q40:R40 Q42:R42 Q44:R44 Q46:R46 Q50:R50 K48:L48 K52:L52 Q48:R48 N40:O40 N42:O42 N44:O44 N46:O46 N50:O50 N48:O48 Q52:R52 N52:O52 AC56:AD56 AC58:AD58 AC60:AD60 AC62:AD62 AC66:AD66 Z56:AA56 Z58:AA58 Z60:AA60 Z62:AA62 T56:U56 Z66:AA66 AC64:AD64 W56:X56 Z64:AA64 T58:U58 T60:U60 T62:U62 T66:U66 AC68:AD68 W58:X58 W60:X60 W62:X62 T64:U64 W66:X66 W64:X64 Z68:AA68 T68:U68 W68:X68 K56:L56 K58:L58 K60:L60 K62:L62 K66:L66 Q56:R56 Q58:R58 Q60:R60 Q62:R62 Q66:R66 K64:L64 K68:L68 Q64:R64 N56:O56 N58:O58 N60:O60 N62:O62 N66:O66 N64:O64 Q68:R68 N68:O68 AC72:AD72 AC74:AD74 AC76:AD76 AC78:AD78 AC82:AD82 Z72:AA72 Z74:AA74 Z76:AA76 Z78:AA78 T72:U72 Z82:AA82 AC80:AD80 W72:X72 Z80:AA80 T74:U74 T76:U76 T78:U78 T82:U82 AC84:AD84 W74:X74 W76:X76 W78:X78 T80:U80 W82:X82 W80:X80 Z84:AA84 T84:U84 W84:X84 K72:L72 K74:L74 K76:L76 K78:L78 K82:L82 Q72:R72 Q74:R74 Q76:R76 Q78:R78 Q82:R82 K80:L80 K84:L84 Q80:R80 N72:O72 N74:O74 N76:O76 N78:O78 N82:O82 N80:O80 Q84:R84 N84:O84 AC88:AD88 AC90:AD90 AC92:AD92 AC94:AD94 AC98:AD98 Z88:AA88 Z90:AA90 Z92:AA92 Z94:AA94 T88:U88 Z98:AA98 AC96:AD96 W88:X88 Z96:AA96 T90:U90 T92:U92 T94:U94 T98:U98 AC100:AD100 W90:X90 W92:X92 W94:X94 T96:U96 W98:X98 W96:X96 Z100:AA100 T100:U100 W100:X100 K88:L88 K90:L90 K92:L92 K94:L94 K98:L98 Q88:R88 Q90:R90 Q92:R92 Q94:R94 Q98:R98 K96:L96 K100:L100 Q96:R96 N88:O88 N90:O90 N92:O92 N94:O94 N98:O98 N96:O96 Q100:R100 N100:O100 AC104:AD104 AC106:AD106 AC108:AD108 AC110:AD110 AC114:AD114 Z104:AA104 Z106:AA106 Z108:AA108 Z110:AA110 T104:U104 Z114:AA114 AC112:AD112 W104:X104 Z112:AA112 T106:U106 T108:U108 T110:U110 T114:U114 AC116:AD116 W106:X106 W108:X108 W110:X110 T112:U112 W114:X114 W112:X112 Z116:AA116 T116:U116 W116:X116 K104:L104 K106:L106 K108:L108 K110:L110 K114:L114 Q104:R104 Q106:R106 Q108:R108 Q110:R110 Q114:R114 K112:L112 K116:L116 Q112:R112 N104:O104 N106:O106 N108:O108 N110:O110 N114:O114 N112:O112 Q116:R116 N116:O116 AC120:AD120 AC122:AD122 AC124:AD124 AC126:AD126 AC130:AD130 Z120:AA120 Z122:AA122 Z124:AA124 Z126:AA126 T120:U120 Z130:AA130 AC128:AD128 W120:X120 Z128:AA128 T122:U122 T124:U124 T126:U126 T130:U130 AC132:AD132 W122:X122 W124:X124 W126:X126 T128:U128 W130:X130 W128:X128 Z132:AA132 T132:U132 W132:X132 K120:L120 K122:L122 K124:L124 K126:L126 K130:L130 Q120:R120 Q122:R122 Q124:R124 Q126:R126 Q130:R130 K128:L128 K132:L132 Q128:R128 N120:O120 N122:O122 N124:O124 N126:O126 N130:O130 N128:O128 Q132:R132 N132:O132 G8:H8 G10:H10 G12:H12 G14:H14 G18:H18 G138:H138 C7 C9 C11 G16:H16 C13 C15 C17 G24:H24 G26:H26 G28:H28 G30:H30 G34:H34 C23 C25 C27 G32:H32 C29 C31 C33 G40:H40 G42:H42 G44:H44 G46:H46 G50:H50 C39 C41 C43 G48:H48 C45 C47 C49 G56:H56 G58:H58 G60:H60 G62:H62 G66:H66 C55 C57 C59 G64:H64 C61 C63 C65 G72:H72 G74:H74 G76:H76 G78:H78 G82:H82 C71 C73 C75 G80:H80 C77 C79 C81 G88:H88 G90:H90 G92:H92 G94:H94 G98:H98 C87 C89 C91 G96:H96 C93 C95 C97 G104:H104 G106:H106 G108:H108 G110:H110 G114:H114 C103 C105 C107 G112:H112 C109 C111 C113 G120:H120 G122:H122 G124:H124 G126:H126 G130:H130 C119 C121 C123 G128:H128 C125 C127 C129 C19 C35 C51 C67 C83 C99 C115 C131">
    <cfRule type="expression" dxfId="158" priority="87" stopIfTrue="1">
      <formula>OR(C7="a",C7="ma",C7="mb",C7="b")</formula>
    </cfRule>
  </conditionalFormatting>
  <conditionalFormatting sqref="W137:X137 AG115 T137:U137 AA11 AA9 AA13 AA17 AA15 AC137:AD137 Z137:AA137 N137:O137 K137:L137 Q137:R137 K7:L7 N7:O7 Q7:R7 K19:L19 N19:O19 Q19:R19 K9:L9 K11:L11 K13:L13 K15:L15 K17:L17 N9:O9 N11:O11 N13:O13 N15:O15 N17:O17 Q9:R9 Q11:R11 Q13:R13 Q15:R15 Q17:R17 AC7:AD7 W7:X7 T7:U7 Z7:AA7 AC19:AD19 W19:X19 T19:U19 Z19:AA19 AC9:AD9 AC11:AD11 AC13:AD13 AC15:AD15 AC17:AD17 T9:U9 T11:U11 T13:U13 T15:U15 T17:U17 W9:X9 W11:X11 W13:X13 W15:X15 W17:X17 AA27 AA25 AA29 AA33 AA31 K23:L23 N23:O23 Q23:R23 K35:L35 N35:O35 Q35:R35 K25:L25 K27:L27 K29:L29 K31:L31 K33:L33 N25:O25 N27:O27 N29:O29 N31:O31 N33:O33 Q25:R25 Q27:R27 Q29:R29 Q31:R31 Q33:R33 AC23:AD23 W23:X23 T23:U23 Z23:AA23 AC35:AD35 W35:X35 T35:U35 Z35:AA35 AC25:AD25 AC27:AD27 AC29:AD29 AC31:AD31 AC33:AD33 T25:U25 T27:U27 T29:U29 T31:U31 T33:U33 W25:X25 W27:X27 W29:X29 W31:X31 W33:X33 AA43 AA41 AA45 AA49 AA47 K39:L39 N39:O39 Q39:R39 K51:L51 N51:O51 Q51:R51 K41:L41 K43:L43 K45:L45 K47:L47 K49:L49 N41:O41 N43:O43 N45:O45 N47:O47 N49:O49 Q41:R41 Q43:R43 Q45:R45 Q47:R47 Q49:R49 AC39:AD39 W39:X39 T39:U39 Z39:AA39 AC51:AD51 W51:X51 T51:U51 Z51:AA51 AC41:AD41 AC43:AD43 AC45:AD45 AC47:AD47 AC49:AD49 T41:U41 T43:U43 T45:U45 T47:U47 T49:U49 W41:X41 W43:X43 W45:X45 W47:X47 W49:X49 AA59 AA57 AA61 AA65 AA63 K55:L55 N55:O55 Q55:R55 K67:L67 N67:O67 Q67:R67 K57:L57 K59:L59 K61:L61 K63:L63 K65:L65 N57:O57 N59:O59 N61:O61 N63:O63 N65:O65 Q57:R57 Q59:R59 Q61:R61 Q63:R63 Q65:R65 AC55:AD55 W55:X55 T55:U55 Z55:AA55 AC67:AD67 W67:X67 T67:U67 Z67:AA67 AC57:AD57 AC59:AD59 AC61:AD61 AC63:AD63 AC65:AD65 T57:U57 T59:U59 T61:U61 T63:U63 T65:U65 W57:X57 W59:X59 W61:X61 W63:X63 W65:X65 AA75 AA73 AA77 AA81 AA79 K71:L71 N71:O71 Q71:R71 K83:L83 N83:O83 Q83:R83 K73:L73 K75:L75 K77:L77 K79:L79 K81:L81 N73:O73 N75:O75 N77:O77 N79:O79 N81:O81 Q73:R73 Q75:R75 Q77:R77 Q79:R79 Q81:R81 AC71:AD71 W71:X71 T71:U71 Z71:AA71 AC83:AD83 W83:X83 T83:U83 Z83:AA83 AC73:AD73 AC75:AD75 AC77:AD77 AC79:AD79 AC81:AD81 T73:U73 T75:U75 T77:U77 T79:U79 T81:U81 W73:X73 W75:X75 W77:X77 W79:X79 W81:X81 AA91 AA89 AA93 AA97 AA95 K87:L87 N87:O87 Q87:R87 K99:L99 N99:O99 Q99:R99 K89:L89 K91:L91 K93:L93 K95:L95 K97:L97 N89:O89 N91:O91 N93:O93 N95:O95 N97:O97 Q89:R89 Q91:R91 Q93:R93 Q95:R95 Q97:R97 AC87:AD87 W87:X87 T87:U87 Z87:AA87 AC99:AD99 W99:X99 T99:U99 Z99:AA99 AC89:AD89 AC91:AD91 AC93:AD93 AC95:AD95 AC97:AD97 T89:U89 T91:U91 T93:U93 T95:U95 T97:U97 W89:X89 W91:X91 W93:X93 W95:X95 W97:X97 AA107 AA105 AA109 AA113 AA111 K103:L103 N103:O103 Q103:R103 K115:L115 N115:O115 Q115:R115 K105:L105 K107:L107 K109:L109 K111:L111 K113:L113 N105:O105 N107:O107 N109:O109 N111:O111 N113:O113 Q105:R105 Q107:R107 Q109:R109 Q111:R111 Q113:R113 AC103:AD103 W103:X103 T103:U103 Z103:AA103 AC115:AD115 W115:X115 T115:U115 Z115:AA115 AC105:AD105 AC107:AD107 AC109:AD109 AC111:AD111 AC113:AD113 T105:U105 T107:U107 T109:U109 T111:U111 T113:U113 W105:X105 W107:X107 W109:X109 W111:X111 W113:X113 AA123 AA121 AA125 AA129 AA127 K119:L119 N119:O119 Q119:R119 K131:L131 N131:O131 Q131:R131 K121:L121 K123:L123 K125:L125 K127:L127 K129:L129 N121:O121 N123:O123 N125:O125 N127:O127 N129:O129 Q121:R121 Q123:R123 Q125:R125 Q127:R127 Q129:R129 AC119:AD119 W119:X119 T119:U119 Z119:AA119 AC131:AD131 W131:X131 T131:U131 Z131:AA131 AC121:AD121 AC123:AD123 AC125:AD125 AC127:AD127 AC129:AD129 T121:U121 T123:U123 T125:U125 T127:U127 T129:U129 W121:X121 W123:X123 W125:X125 W127:X127 W129:X129 G137:H137 G7:H7 G19:H19 G9:H9 G11:H11 G13:H13 G15:H15 G17:H17 G23:H23 G35:H35 G25:H25 G27:H27 G29:H29 G31:H31 G33:H33 G39:H39 G51:H51 G41:H41 G43:H43 G45:H45 G47:H47 G49:H49 G55:H55 G67:H67 G57:H57 G59:H59 G61:H61 G63:H63 G65:H65 G71:H71 G83:H83 G73:H73 G75:H75 G77:H77 G79:H79 G81:H81 G87:H87 G99:H99 G89:H89 G91:H91 G93:H93 G95:H95 G97:H97 G103:H103 G115:H115 G105:H105 G107:H107 G109:H109 G111:H111 G113:H113 G119:H119 G131:H131 G121:H121 G123:H123 G125:H125 G127:H127 G129:H129">
    <cfRule type="expression" dxfId="157" priority="88" stopIfTrue="1">
      <formula>OR(G7=4,G7=3,G7=2,G7=1)</formula>
    </cfRule>
  </conditionalFormatting>
  <conditionalFormatting sqref="C5 C21 C37 C53 C69 C85 C101 C117">
    <cfRule type="expression" dxfId="156" priority="89" stopIfTrue="1">
      <formula>OR(C5="a",C5="ma",C5="mb",C5="b")</formula>
    </cfRule>
  </conditionalFormatting>
  <conditionalFormatting sqref="AF8:AG8 AF10:AG10 AF12:AG12 AF14:AG14 AF18:AG18 AF16:AG16 AF20:AG20">
    <cfRule type="expression" dxfId="155" priority="82" stopIfTrue="1">
      <formula>OR(AF8="a",AF8="ma",AF8="mb",AF8="b")</formula>
    </cfRule>
  </conditionalFormatting>
  <conditionalFormatting sqref="AF7:AG7 AF19:AG19 AF9:AG9 AF11:AG11 AF13:AG13 AF15:AG15 AF17:AG17">
    <cfRule type="expression" dxfId="154" priority="81" stopIfTrue="1">
      <formula>OR(AF7=4,AF7=3,AF7=2,AF7=1)</formula>
    </cfRule>
  </conditionalFormatting>
  <conditionalFormatting sqref="AF24:AG24 AF26:AG26 AF28:AG28 AF30:AG30 AF34:AG34 AF32:AG32 AF36:AG36">
    <cfRule type="expression" dxfId="153" priority="79" stopIfTrue="1">
      <formula>OR(AF24="a",AF24="ma",AF24="mb",AF24="b")</formula>
    </cfRule>
  </conditionalFormatting>
  <conditionalFormatting sqref="AF23:AG23 AF35:AG35 AF25:AG25 AF27:AG27 AF29:AG29 AF31:AG31 AF33:AG33">
    <cfRule type="expression" dxfId="152" priority="78" stopIfTrue="1">
      <formula>OR(AF23=4,AF23=3,AF23=2,AF23=1)</formula>
    </cfRule>
  </conditionalFormatting>
  <conditionalFormatting sqref="AF40:AG40 AF42:AG42 AF44:AG44 AF46:AG46 AF50:AG50 AF48:AG48 AF52:AG52">
    <cfRule type="expression" dxfId="151" priority="76" stopIfTrue="1">
      <formula>OR(AF40="a",AF40="ma",AF40="mb",AF40="b")</formula>
    </cfRule>
  </conditionalFormatting>
  <conditionalFormatting sqref="AF39:AG39 AF51:AG51 AF41:AG41 AF43:AG43 AF45:AG45 AF47:AG47 AF49:AG49">
    <cfRule type="expression" dxfId="150" priority="75" stopIfTrue="1">
      <formula>OR(AF39=4,AF39=3,AF39=2,AF39=1)</formula>
    </cfRule>
  </conditionalFormatting>
  <conditionalFormatting sqref="AF56:AG56 AF58:AG58 AF60:AG60 AF62:AG62 AF66:AG66 AF64:AG64 AF68:AG68">
    <cfRule type="expression" dxfId="149" priority="73" stopIfTrue="1">
      <formula>OR(AF56="a",AF56="ma",AF56="mb",AF56="b")</formula>
    </cfRule>
  </conditionalFormatting>
  <conditionalFormatting sqref="AF55:AG55 AF67:AG67 AF57:AG57 AF59:AG59 AF61:AG61 AF63:AG63 AF65:AG65">
    <cfRule type="expression" dxfId="148" priority="72" stopIfTrue="1">
      <formula>OR(AF55=4,AF55=3,AF55=2,AF55=1)</formula>
    </cfRule>
  </conditionalFormatting>
  <conditionalFormatting sqref="AF72:AG72 AF74:AG74 AF76:AG76 AF78:AG78 AF82:AG82 AF80:AG80 AF84:AG84">
    <cfRule type="expression" dxfId="147" priority="70" stopIfTrue="1">
      <formula>OR(AF72="a",AF72="ma",AF72="mb",AF72="b")</formula>
    </cfRule>
  </conditionalFormatting>
  <conditionalFormatting sqref="AF71:AG71 AF83:AG83 AF73:AG73 AF75:AG75 AF77:AG77 AF79:AG79 AF81:AG81">
    <cfRule type="expression" dxfId="146" priority="69" stopIfTrue="1">
      <formula>OR(AF71=4,AF71=3,AF71=2,AF71=1)</formula>
    </cfRule>
  </conditionalFormatting>
  <conditionalFormatting sqref="AF88:AG88 AF90:AG90 AF92:AG92 AF94:AG94 AF98:AG98 AF96:AG96 AF100:AG100">
    <cfRule type="expression" dxfId="145" priority="67" stopIfTrue="1">
      <formula>OR(AF88="a",AF88="ma",AF88="mb",AF88="b")</formula>
    </cfRule>
  </conditionalFormatting>
  <conditionalFormatting sqref="AF87:AG87 AF99:AG99 AF89:AG89 AF91:AG91 AF93:AG93 AF95:AG95 AF97:AG97">
    <cfRule type="expression" dxfId="144" priority="66" stopIfTrue="1">
      <formula>OR(AF87=4,AF87=3,AF87=2,AF87=1)</formula>
    </cfRule>
  </conditionalFormatting>
  <conditionalFormatting sqref="AF104:AG104 AF106:AG106 AF108:AG108 AF110:AG110 AF114:AG114 AF112:AG112 AF116:AG116">
    <cfRule type="expression" dxfId="143" priority="64" stopIfTrue="1">
      <formula>OR(AF104="a",AF104="ma",AF104="mb",AF104="b")</formula>
    </cfRule>
  </conditionalFormatting>
  <conditionalFormatting sqref="AF103:AG103 AF115:AG115 AF105:AG105 AF107:AG107 AF109:AG109 AF111:AG111 AF113:AG113">
    <cfRule type="expression" dxfId="142" priority="63" stopIfTrue="1">
      <formula>OR(AF103=4,AF103=3,AF103=2,AF103=1)</formula>
    </cfRule>
  </conditionalFormatting>
  <conditionalFormatting sqref="AF120:AG120 AF122:AG122 AF124:AG124 AF126:AG126 AF130:AG130 AF128:AG128 AF132:AG132">
    <cfRule type="expression" dxfId="141" priority="61" stopIfTrue="1">
      <formula>OR(AF120="a",AF120="ma",AF120="mb",AF120="b")</formula>
    </cfRule>
  </conditionalFormatting>
  <conditionalFormatting sqref="AF119:AG119 AF131:AG131 AF121:AG121 AF123:AG123 AF125:AG125 AF127:AG127 AF129:AG129">
    <cfRule type="expression" dxfId="140" priority="60" stopIfTrue="1">
      <formula>OR(AF119=4,AF119=3,AF119=2,AF119=1)</formula>
    </cfRule>
  </conditionalFormatting>
  <conditionalFormatting sqref="J7">
    <cfRule type="expression" dxfId="139" priority="59" stopIfTrue="1">
      <formula>OR(J7=4,J7=3,J7=2,J7=1)</formula>
    </cfRule>
  </conditionalFormatting>
  <conditionalFormatting sqref="J9">
    <cfRule type="expression" dxfId="138" priority="58" stopIfTrue="1">
      <formula>OR(J9=4,J9=3,J9=2,J9=1)</formula>
    </cfRule>
  </conditionalFormatting>
  <conditionalFormatting sqref="J11">
    <cfRule type="expression" dxfId="137" priority="57" stopIfTrue="1">
      <formula>OR(J11=4,J11=3,J11=2,J11=1)</formula>
    </cfRule>
  </conditionalFormatting>
  <conditionalFormatting sqref="J13">
    <cfRule type="expression" dxfId="136" priority="56" stopIfTrue="1">
      <formula>OR(J13=4,J13=3,J13=2,J13=1)</formula>
    </cfRule>
  </conditionalFormatting>
  <conditionalFormatting sqref="J15">
    <cfRule type="expression" dxfId="135" priority="55" stopIfTrue="1">
      <formula>OR(J15=4,J15=3,J15=2,J15=1)</formula>
    </cfRule>
  </conditionalFormatting>
  <conditionalFormatting sqref="J17">
    <cfRule type="expression" dxfId="134" priority="54" stopIfTrue="1">
      <formula>OR(J17=4,J17=3,J17=2,J17=1)</formula>
    </cfRule>
  </conditionalFormatting>
  <conditionalFormatting sqref="J19">
    <cfRule type="expression" dxfId="133" priority="53" stopIfTrue="1">
      <formula>OR(J19=4,J19=3,J19=2,J19=1)</formula>
    </cfRule>
  </conditionalFormatting>
  <conditionalFormatting sqref="J21">
    <cfRule type="expression" dxfId="132" priority="52" stopIfTrue="1">
      <formula>OR(J21=4,J21=3,J21=2,J21=1)</formula>
    </cfRule>
  </conditionalFormatting>
  <conditionalFormatting sqref="J23">
    <cfRule type="expression" dxfId="131" priority="51" stopIfTrue="1">
      <formula>OR(J23=4,J23=3,J23=2,J23=1)</formula>
    </cfRule>
  </conditionalFormatting>
  <conditionalFormatting sqref="J25">
    <cfRule type="expression" dxfId="130" priority="50" stopIfTrue="1">
      <formula>OR(J25=4,J25=3,J25=2,J25=1)</formula>
    </cfRule>
  </conditionalFormatting>
  <conditionalFormatting sqref="J27">
    <cfRule type="expression" dxfId="129" priority="49" stopIfTrue="1">
      <formula>OR(J27=4,J27=3,J27=2,J27=1)</formula>
    </cfRule>
  </conditionalFormatting>
  <conditionalFormatting sqref="J29">
    <cfRule type="expression" dxfId="128" priority="48" stopIfTrue="1">
      <formula>OR(J29=4,J29=3,J29=2,J29=1)</formula>
    </cfRule>
  </conditionalFormatting>
  <conditionalFormatting sqref="J31">
    <cfRule type="expression" dxfId="127" priority="47" stopIfTrue="1">
      <formula>OR(J31=4,J31=3,J31=2,J31=1)</formula>
    </cfRule>
  </conditionalFormatting>
  <conditionalFormatting sqref="J33">
    <cfRule type="expression" dxfId="126" priority="46" stopIfTrue="1">
      <formula>OR(J33=4,J33=3,J33=2,J33=1)</formula>
    </cfRule>
  </conditionalFormatting>
  <conditionalFormatting sqref="J35">
    <cfRule type="expression" dxfId="125" priority="45" stopIfTrue="1">
      <formula>OR(J35=4,J35=3,J35=2,J35=1)</formula>
    </cfRule>
  </conditionalFormatting>
  <conditionalFormatting sqref="J39">
    <cfRule type="expression" dxfId="124" priority="44" stopIfTrue="1">
      <formula>OR(J39=4,J39=3,J39=2,J39=1)</formula>
    </cfRule>
  </conditionalFormatting>
  <conditionalFormatting sqref="J41">
    <cfRule type="expression" dxfId="123" priority="43" stopIfTrue="1">
      <formula>OR(J41=4,J41=3,J41=2,J41=1)</formula>
    </cfRule>
  </conditionalFormatting>
  <conditionalFormatting sqref="J43">
    <cfRule type="expression" dxfId="122" priority="42" stopIfTrue="1">
      <formula>OR(J43=4,J43=3,J43=2,J43=1)</formula>
    </cfRule>
  </conditionalFormatting>
  <conditionalFormatting sqref="J45">
    <cfRule type="expression" dxfId="121" priority="41" stopIfTrue="1">
      <formula>OR(J45=4,J45=3,J45=2,J45=1)</formula>
    </cfRule>
  </conditionalFormatting>
  <conditionalFormatting sqref="J47">
    <cfRule type="expression" dxfId="120" priority="40" stopIfTrue="1">
      <formula>OR(J47=4,J47=3,J47=2,J47=1)</formula>
    </cfRule>
  </conditionalFormatting>
  <conditionalFormatting sqref="J49">
    <cfRule type="expression" dxfId="119" priority="39" stopIfTrue="1">
      <formula>OR(J49=4,J49=3,J49=2,J49=1)</formula>
    </cfRule>
  </conditionalFormatting>
  <conditionalFormatting sqref="J51">
    <cfRule type="expression" dxfId="118" priority="38" stopIfTrue="1">
      <formula>OR(J51=4,J51=3,J51=2,J51=1)</formula>
    </cfRule>
  </conditionalFormatting>
  <conditionalFormatting sqref="J55">
    <cfRule type="expression" dxfId="117" priority="37" stopIfTrue="1">
      <formula>OR(J55=4,J55=3,J55=2,J55=1)</formula>
    </cfRule>
  </conditionalFormatting>
  <conditionalFormatting sqref="J57">
    <cfRule type="expression" dxfId="116" priority="36" stopIfTrue="1">
      <formula>OR(J57=4,J57=3,J57=2,J57=1)</formula>
    </cfRule>
  </conditionalFormatting>
  <conditionalFormatting sqref="J59">
    <cfRule type="expression" dxfId="115" priority="35" stopIfTrue="1">
      <formula>OR(J59=4,J59=3,J59=2,J59=1)</formula>
    </cfRule>
  </conditionalFormatting>
  <conditionalFormatting sqref="J61">
    <cfRule type="expression" dxfId="114" priority="34" stopIfTrue="1">
      <formula>OR(J61=4,J61=3,J61=2,J61=1)</formula>
    </cfRule>
  </conditionalFormatting>
  <conditionalFormatting sqref="J63">
    <cfRule type="expression" dxfId="113" priority="33" stopIfTrue="1">
      <formula>OR(J63=4,J63=3,J63=2,J63=1)</formula>
    </cfRule>
  </conditionalFormatting>
  <conditionalFormatting sqref="J65">
    <cfRule type="expression" dxfId="112" priority="32" stopIfTrue="1">
      <formula>OR(J65=4,J65=3,J65=2,J65=1)</formula>
    </cfRule>
  </conditionalFormatting>
  <conditionalFormatting sqref="J67">
    <cfRule type="expression" dxfId="111" priority="31" stopIfTrue="1">
      <formula>OR(J67=4,J67=3,J67=2,J67=1)</formula>
    </cfRule>
  </conditionalFormatting>
  <conditionalFormatting sqref="J71">
    <cfRule type="expression" dxfId="110" priority="30" stopIfTrue="1">
      <formula>OR(J71=4,J71=3,J71=2,J71=1)</formula>
    </cfRule>
  </conditionalFormatting>
  <conditionalFormatting sqref="J73">
    <cfRule type="expression" dxfId="109" priority="29" stopIfTrue="1">
      <formula>OR(J73=4,J73=3,J73=2,J73=1)</formula>
    </cfRule>
  </conditionalFormatting>
  <conditionalFormatting sqref="J75">
    <cfRule type="expression" dxfId="108" priority="28" stopIfTrue="1">
      <formula>OR(J75=4,J75=3,J75=2,J75=1)</formula>
    </cfRule>
  </conditionalFormatting>
  <conditionalFormatting sqref="J77">
    <cfRule type="expression" dxfId="107" priority="27" stopIfTrue="1">
      <formula>OR(J77=4,J77=3,J77=2,J77=1)</formula>
    </cfRule>
  </conditionalFormatting>
  <conditionalFormatting sqref="J79">
    <cfRule type="expression" dxfId="106" priority="26" stopIfTrue="1">
      <formula>OR(J79=4,J79=3,J79=2,J79=1)</formula>
    </cfRule>
  </conditionalFormatting>
  <conditionalFormatting sqref="J81">
    <cfRule type="expression" dxfId="105" priority="25" stopIfTrue="1">
      <formula>OR(J81=4,J81=3,J81=2,J81=1)</formula>
    </cfRule>
  </conditionalFormatting>
  <conditionalFormatting sqref="J83">
    <cfRule type="expression" dxfId="104" priority="24" stopIfTrue="1">
      <formula>OR(J83=4,J83=3,J83=2,J83=1)</formula>
    </cfRule>
  </conditionalFormatting>
  <conditionalFormatting sqref="J87">
    <cfRule type="expression" dxfId="103" priority="23" stopIfTrue="1">
      <formula>OR(J87=4,J87=3,J87=2,J87=1)</formula>
    </cfRule>
  </conditionalFormatting>
  <conditionalFormatting sqref="J89">
    <cfRule type="expression" dxfId="102" priority="22" stopIfTrue="1">
      <formula>OR(J89=4,J89=3,J89=2,J89=1)</formula>
    </cfRule>
  </conditionalFormatting>
  <conditionalFormatting sqref="J91">
    <cfRule type="expression" dxfId="101" priority="21" stopIfTrue="1">
      <formula>OR(J91=4,J91=3,J91=2,J91=1)</formula>
    </cfRule>
  </conditionalFormatting>
  <conditionalFormatting sqref="J93">
    <cfRule type="expression" dxfId="100" priority="20" stopIfTrue="1">
      <formula>OR(J93=4,J93=3,J93=2,J93=1)</formula>
    </cfRule>
  </conditionalFormatting>
  <conditionalFormatting sqref="J95">
    <cfRule type="expression" dxfId="99" priority="19" stopIfTrue="1">
      <formula>OR(J95=4,J95=3,J95=2,J95=1)</formula>
    </cfRule>
  </conditionalFormatting>
  <conditionalFormatting sqref="J97">
    <cfRule type="expression" dxfId="98" priority="18" stopIfTrue="1">
      <formula>OR(J97=4,J97=3,J97=2,J97=1)</formula>
    </cfRule>
  </conditionalFormatting>
  <conditionalFormatting sqref="J99">
    <cfRule type="expression" dxfId="97" priority="17" stopIfTrue="1">
      <formula>OR(J99=4,J99=3,J99=2,J99=1)</formula>
    </cfRule>
  </conditionalFormatting>
  <conditionalFormatting sqref="J103">
    <cfRule type="expression" dxfId="96" priority="16" stopIfTrue="1">
      <formula>OR(J103=4,J103=3,J103=2,J103=1)</formula>
    </cfRule>
  </conditionalFormatting>
  <conditionalFormatting sqref="J105">
    <cfRule type="expression" dxfId="95" priority="15" stopIfTrue="1">
      <formula>OR(J105=4,J105=3,J105=2,J105=1)</formula>
    </cfRule>
  </conditionalFormatting>
  <conditionalFormatting sqref="J107">
    <cfRule type="expression" dxfId="94" priority="14" stopIfTrue="1">
      <formula>OR(J107=4,J107=3,J107=2,J107=1)</formula>
    </cfRule>
  </conditionalFormatting>
  <conditionalFormatting sqref="J109">
    <cfRule type="expression" dxfId="93" priority="13" stopIfTrue="1">
      <formula>OR(J109=4,J109=3,J109=2,J109=1)</formula>
    </cfRule>
  </conditionalFormatting>
  <conditionalFormatting sqref="J111">
    <cfRule type="expression" dxfId="92" priority="12" stopIfTrue="1">
      <formula>OR(J111=4,J111=3,J111=2,J111=1)</formula>
    </cfRule>
  </conditionalFormatting>
  <conditionalFormatting sqref="J113">
    <cfRule type="expression" dxfId="91" priority="11" stopIfTrue="1">
      <formula>OR(J113=4,J113=3,J113=2,J113=1)</formula>
    </cfRule>
  </conditionalFormatting>
  <conditionalFormatting sqref="J115">
    <cfRule type="expression" dxfId="90" priority="10" stopIfTrue="1">
      <formula>OR(J115=4,J115=3,J115=2,J115=1)</formula>
    </cfRule>
  </conditionalFormatting>
  <conditionalFormatting sqref="J119">
    <cfRule type="expression" dxfId="89" priority="9" stopIfTrue="1">
      <formula>OR(J119=4,J119=3,J119=2,J119=1)</formula>
    </cfRule>
  </conditionalFormatting>
  <conditionalFormatting sqref="J121">
    <cfRule type="expression" dxfId="88" priority="8" stopIfTrue="1">
      <formula>OR(J121=4,J121=3,J121=2,J121=1)</formula>
    </cfRule>
  </conditionalFormatting>
  <conditionalFormatting sqref="J123">
    <cfRule type="expression" dxfId="87" priority="7" stopIfTrue="1">
      <formula>OR(J123=4,J123=3,J123=2,J123=1)</formula>
    </cfRule>
  </conditionalFormatting>
  <conditionalFormatting sqref="J125">
    <cfRule type="expression" dxfId="86" priority="6" stopIfTrue="1">
      <formula>OR(J125=4,J125=3,J125=2,J125=1)</formula>
    </cfRule>
  </conditionalFormatting>
  <conditionalFormatting sqref="J127">
    <cfRule type="expression" dxfId="85" priority="5" stopIfTrue="1">
      <formula>OR(J127=4,J127=3,J127=2,J127=1)</formula>
    </cfRule>
  </conditionalFormatting>
  <conditionalFormatting sqref="J129">
    <cfRule type="expression" dxfId="84" priority="4" stopIfTrue="1">
      <formula>OR(J129=4,J129=3,J129=2,J129=1)</formula>
    </cfRule>
  </conditionalFormatting>
  <conditionalFormatting sqref="J131">
    <cfRule type="expression" dxfId="83" priority="3" stopIfTrue="1">
      <formula>OR(J131=4,J131=3,J131=2,J131=1)</formula>
    </cfRule>
  </conditionalFormatting>
  <conditionalFormatting sqref="J7">
    <cfRule type="expression" dxfId="82" priority="2" stopIfTrue="1">
      <formula>OR(J7=4,J7=3,J7=2,J7=1)</formula>
    </cfRule>
  </conditionalFormatting>
  <conditionalFormatting sqref="J39">
    <cfRule type="expression" dxfId="81" priority="1" stopIfTrue="1">
      <formula>OR(J39=4,J39=3,J39=2,J39=1)</formula>
    </cfRule>
  </conditionalFormatting>
  <printOptions horizontalCentered="1"/>
  <pageMargins left="0.39370078740157483" right="0.39370078740157483" top="0.59055118110236227" bottom="0.39370078740157483" header="0.11811023622047245" footer="0.11811023622047245"/>
  <pageSetup paperSize="9" scale="23" orientation="landscape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EsconderLinhas">
                <anchor>
                  <from>
                    <xdr:col>1</xdr:col>
                    <xdr:colOff>1609725</xdr:colOff>
                    <xdr:row>0</xdr:row>
                    <xdr:rowOff>38100</xdr:rowOff>
                  </from>
                  <to>
                    <xdr:col>2</xdr:col>
                    <xdr:colOff>628650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MostrarLinhas">
                <anchor>
                  <from>
                    <xdr:col>1</xdr:col>
                    <xdr:colOff>1600200</xdr:colOff>
                    <xdr:row>0</xdr:row>
                    <xdr:rowOff>266700</xdr:rowOff>
                  </from>
                  <to>
                    <xdr:col>2</xdr:col>
                    <xdr:colOff>638175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" name="Button 88">
              <controlPr defaultSize="0" print="0" autoFill="0" autoPict="0" macro="[0]!Imprimir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1</xdr:col>
                    <xdr:colOff>628650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C17"/>
  <sheetViews>
    <sheetView showGridLines="0" workbookViewId="0">
      <selection activeCell="C2" sqref="C2:C3"/>
    </sheetView>
  </sheetViews>
  <sheetFormatPr defaultRowHeight="12.75" x14ac:dyDescent="0.2"/>
  <cols>
    <col min="1" max="1" width="39.7109375" customWidth="1"/>
    <col min="2" max="3" width="16.7109375" customWidth="1"/>
  </cols>
  <sheetData>
    <row r="1" spans="1:3" ht="30.75" customHeight="1" x14ac:dyDescent="0.2">
      <c r="A1" s="278" t="s">
        <v>88</v>
      </c>
      <c r="B1" s="278" t="s">
        <v>90</v>
      </c>
      <c r="C1" s="278" t="s">
        <v>183</v>
      </c>
    </row>
    <row r="2" spans="1:3" ht="12.75" customHeight="1" x14ac:dyDescent="0.2">
      <c r="A2" s="589" t="s">
        <v>91</v>
      </c>
      <c r="B2" s="590">
        <v>1.7</v>
      </c>
      <c r="C2" s="590">
        <v>3.8</v>
      </c>
    </row>
    <row r="3" spans="1:3" ht="12.75" customHeight="1" x14ac:dyDescent="0.2">
      <c r="A3" s="589"/>
      <c r="B3" s="591"/>
      <c r="C3" s="591"/>
    </row>
    <row r="4" spans="1:3" ht="12.75" customHeight="1" x14ac:dyDescent="0.2">
      <c r="A4" s="589" t="s">
        <v>94</v>
      </c>
      <c r="B4" s="590">
        <v>1.8</v>
      </c>
      <c r="C4" s="590">
        <v>3.5</v>
      </c>
    </row>
    <row r="5" spans="1:3" ht="12.75" customHeight="1" x14ac:dyDescent="0.2">
      <c r="A5" s="589"/>
      <c r="B5" s="591"/>
      <c r="C5" s="591"/>
    </row>
    <row r="6" spans="1:3" ht="12.75" customHeight="1" x14ac:dyDescent="0.2">
      <c r="A6" s="589" t="s">
        <v>97</v>
      </c>
      <c r="B6" s="590">
        <v>1.7</v>
      </c>
      <c r="C6" s="590">
        <v>3</v>
      </c>
    </row>
    <row r="7" spans="1:3" ht="12.75" customHeight="1" x14ac:dyDescent="0.2">
      <c r="A7" s="589"/>
      <c r="B7" s="591"/>
      <c r="C7" s="591"/>
    </row>
    <row r="8" spans="1:3" ht="12.75" customHeight="1" x14ac:dyDescent="0.2">
      <c r="A8" s="589" t="s">
        <v>100</v>
      </c>
      <c r="B8" s="590">
        <v>4</v>
      </c>
      <c r="C8" s="590">
        <v>4</v>
      </c>
    </row>
    <row r="9" spans="1:3" ht="12.75" customHeight="1" x14ac:dyDescent="0.2">
      <c r="A9" s="589"/>
      <c r="B9" s="591"/>
      <c r="C9" s="591"/>
    </row>
    <row r="10" spans="1:3" ht="10.5" customHeight="1" x14ac:dyDescent="0.2">
      <c r="A10" s="279"/>
      <c r="B10" s="404"/>
      <c r="C10" s="404"/>
    </row>
    <row r="11" spans="1:3" ht="15" x14ac:dyDescent="0.2">
      <c r="A11" s="281" t="s">
        <v>103</v>
      </c>
      <c r="B11" s="405">
        <v>1.9</v>
      </c>
      <c r="C11" s="470">
        <v>3.6</v>
      </c>
    </row>
    <row r="12" spans="1:3" ht="10.5" customHeight="1" x14ac:dyDescent="0.2">
      <c r="A12" s="279"/>
      <c r="B12" s="280"/>
      <c r="C12" s="280"/>
    </row>
    <row r="13" spans="1:3" ht="15" x14ac:dyDescent="0.2">
      <c r="A13" s="281" t="s">
        <v>138</v>
      </c>
      <c r="B13" s="592">
        <v>4</v>
      </c>
      <c r="C13" s="592"/>
    </row>
    <row r="14" spans="1:3" x14ac:dyDescent="0.2">
      <c r="A14" s="280"/>
      <c r="B14" s="280"/>
      <c r="C14" s="280"/>
    </row>
    <row r="15" spans="1:3" x14ac:dyDescent="0.2">
      <c r="A15" s="282" t="s">
        <v>104</v>
      </c>
      <c r="B15" s="280"/>
      <c r="C15" s="280"/>
    </row>
    <row r="16" spans="1:3" x14ac:dyDescent="0.2">
      <c r="A16" s="280"/>
      <c r="B16" s="280"/>
      <c r="C16" s="280"/>
    </row>
    <row r="17" spans="1:3" x14ac:dyDescent="0.2">
      <c r="A17" s="283" t="s">
        <v>201</v>
      </c>
      <c r="B17" s="280"/>
      <c r="C17" s="280"/>
    </row>
  </sheetData>
  <mergeCells count="13">
    <mergeCell ref="B13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F15"/>
  <sheetViews>
    <sheetView showGridLines="0" workbookViewId="0"/>
  </sheetViews>
  <sheetFormatPr defaultRowHeight="12.75" x14ac:dyDescent="0.2"/>
  <cols>
    <col min="1" max="1" width="21.85546875" customWidth="1"/>
    <col min="2" max="2" width="51.42578125" customWidth="1"/>
    <col min="3" max="4" width="14.7109375" customWidth="1"/>
  </cols>
  <sheetData>
    <row r="1" spans="1:6" ht="25.5" x14ac:dyDescent="0.2">
      <c r="A1" s="271" t="s">
        <v>88</v>
      </c>
      <c r="B1" s="271" t="s">
        <v>89</v>
      </c>
      <c r="C1" s="271" t="s">
        <v>90</v>
      </c>
      <c r="D1" s="271" t="s">
        <v>184</v>
      </c>
    </row>
    <row r="2" spans="1:6" ht="24.95" customHeight="1" x14ac:dyDescent="0.2">
      <c r="A2" s="593" t="s">
        <v>91</v>
      </c>
      <c r="B2" s="272" t="s">
        <v>92</v>
      </c>
      <c r="C2" s="590">
        <f>Quanti_Apres!B2</f>
        <v>1.7</v>
      </c>
      <c r="D2" s="590">
        <f>Quanti_Apres!C2</f>
        <v>3.8</v>
      </c>
      <c r="F2" t="s">
        <v>139</v>
      </c>
    </row>
    <row r="3" spans="1:6" ht="24.95" customHeight="1" x14ac:dyDescent="0.2">
      <c r="A3" s="593"/>
      <c r="B3" s="273" t="s">
        <v>93</v>
      </c>
      <c r="C3" s="591"/>
      <c r="D3" s="591"/>
    </row>
    <row r="4" spans="1:6" ht="24.95" customHeight="1" x14ac:dyDescent="0.2">
      <c r="A4" s="593" t="s">
        <v>94</v>
      </c>
      <c r="B4" s="273" t="s">
        <v>95</v>
      </c>
      <c r="C4" s="590">
        <f>Quanti_Apres!B4</f>
        <v>1.8</v>
      </c>
      <c r="D4" s="590">
        <f>Quanti_Apres!C4</f>
        <v>3.5</v>
      </c>
      <c r="F4" t="s">
        <v>139</v>
      </c>
    </row>
    <row r="5" spans="1:6" ht="24.95" customHeight="1" x14ac:dyDescent="0.2">
      <c r="A5" s="593"/>
      <c r="B5" s="273" t="s">
        <v>96</v>
      </c>
      <c r="C5" s="591"/>
      <c r="D5" s="591"/>
    </row>
    <row r="6" spans="1:6" ht="24.95" customHeight="1" x14ac:dyDescent="0.2">
      <c r="A6" s="593" t="s">
        <v>97</v>
      </c>
      <c r="B6" s="273" t="s">
        <v>98</v>
      </c>
      <c r="C6" s="590">
        <f>Quanti_Apres!B6</f>
        <v>1.7</v>
      </c>
      <c r="D6" s="590">
        <f>Quanti_Apres!C6</f>
        <v>3</v>
      </c>
      <c r="F6" t="s">
        <v>139</v>
      </c>
    </row>
    <row r="7" spans="1:6" ht="24.95" customHeight="1" x14ac:dyDescent="0.2">
      <c r="A7" s="593"/>
      <c r="B7" s="273" t="s">
        <v>99</v>
      </c>
      <c r="C7" s="591"/>
      <c r="D7" s="591"/>
    </row>
    <row r="8" spans="1:6" ht="24.95" customHeight="1" x14ac:dyDescent="0.2">
      <c r="A8" s="593" t="s">
        <v>100</v>
      </c>
      <c r="B8" s="273" t="s">
        <v>101</v>
      </c>
      <c r="C8" s="590">
        <f>Quanti_Apres!B8</f>
        <v>4</v>
      </c>
      <c r="D8" s="590">
        <f>Quanti_Apres!C8</f>
        <v>4</v>
      </c>
      <c r="F8" t="s">
        <v>139</v>
      </c>
    </row>
    <row r="9" spans="1:6" ht="24.95" customHeight="1" x14ac:dyDescent="0.2">
      <c r="A9" s="593"/>
      <c r="B9" s="273" t="s">
        <v>102</v>
      </c>
      <c r="C9" s="591"/>
      <c r="D9" s="591"/>
    </row>
    <row r="10" spans="1:6" ht="12.75" customHeight="1" x14ac:dyDescent="0.25">
      <c r="A10" s="274"/>
      <c r="B10" s="274"/>
      <c r="C10" s="274"/>
      <c r="D10" s="274"/>
    </row>
    <row r="11" spans="1:6" ht="12.75" customHeight="1" x14ac:dyDescent="0.2">
      <c r="A11" s="594" t="s">
        <v>103</v>
      </c>
      <c r="B11" s="594"/>
      <c r="C11" s="594">
        <f>Quanti_Apres!B13</f>
        <v>4</v>
      </c>
      <c r="D11" s="594"/>
      <c r="F11" t="s">
        <v>139</v>
      </c>
    </row>
    <row r="12" spans="1:6" ht="12.75" customHeight="1" x14ac:dyDescent="0.25">
      <c r="A12" s="454"/>
      <c r="B12" s="454"/>
      <c r="C12" s="454"/>
      <c r="D12" s="454"/>
    </row>
    <row r="13" spans="1:6" ht="12.75" customHeight="1" x14ac:dyDescent="0.2">
      <c r="A13" s="455" t="s">
        <v>104</v>
      </c>
      <c r="B13" s="456"/>
      <c r="C13" s="456"/>
      <c r="D13" s="456"/>
    </row>
    <row r="14" spans="1:6" ht="12.75" customHeight="1" x14ac:dyDescent="0.2"/>
    <row r="15" spans="1:6" ht="12.75" customHeight="1" x14ac:dyDescent="0.2"/>
  </sheetData>
  <mergeCells count="14">
    <mergeCell ref="A11:B11"/>
    <mergeCell ref="C11:D11"/>
    <mergeCell ref="A6:A7"/>
    <mergeCell ref="C6:C7"/>
    <mergeCell ref="D6:D7"/>
    <mergeCell ref="A8:A9"/>
    <mergeCell ref="C8:C9"/>
    <mergeCell ref="D8:D9"/>
    <mergeCell ref="A2:A3"/>
    <mergeCell ref="C2:C3"/>
    <mergeCell ref="D2:D3"/>
    <mergeCell ref="A4:A5"/>
    <mergeCell ref="C4:C5"/>
    <mergeCell ref="D4:D5"/>
  </mergeCells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1:R21"/>
  <sheetViews>
    <sheetView topLeftCell="A13" workbookViewId="0">
      <selection activeCell="C3" sqref="C3"/>
    </sheetView>
  </sheetViews>
  <sheetFormatPr defaultRowHeight="12.75" x14ac:dyDescent="0.2"/>
  <cols>
    <col min="1" max="1" width="10" customWidth="1"/>
    <col min="2" max="2" width="21.28515625" customWidth="1"/>
    <col min="3" max="5" width="5.5703125" bestFit="1" customWidth="1"/>
  </cols>
  <sheetData>
    <row r="1" spans="2:18" x14ac:dyDescent="0.2">
      <c r="B1" s="299" t="s">
        <v>159</v>
      </c>
    </row>
    <row r="3" spans="2:18" x14ac:dyDescent="0.2">
      <c r="B3" s="300"/>
      <c r="C3" s="301">
        <v>2006</v>
      </c>
      <c r="D3" s="301">
        <v>2009</v>
      </c>
      <c r="E3" s="301">
        <v>2011</v>
      </c>
      <c r="G3" s="595" t="s">
        <v>160</v>
      </c>
      <c r="H3" s="595"/>
      <c r="I3" s="595"/>
      <c r="J3" s="595"/>
      <c r="K3" s="595"/>
      <c r="L3" s="595"/>
      <c r="M3" s="595"/>
      <c r="N3" s="595"/>
      <c r="O3" s="595"/>
    </row>
    <row r="4" spans="2:18" x14ac:dyDescent="0.2">
      <c r="B4" s="300" t="s">
        <v>9</v>
      </c>
      <c r="C4" s="348">
        <v>4</v>
      </c>
      <c r="D4" s="348">
        <v>3.9</v>
      </c>
      <c r="E4" s="348">
        <f>Quanti_Apres!C11</f>
        <v>3.6</v>
      </c>
      <c r="G4" s="595" t="s">
        <v>161</v>
      </c>
      <c r="H4" s="595"/>
      <c r="I4" s="595"/>
      <c r="J4" s="595"/>
      <c r="K4" s="595"/>
      <c r="L4" s="595"/>
      <c r="M4" s="595"/>
      <c r="N4" s="595"/>
      <c r="O4" s="595"/>
    </row>
    <row r="5" spans="2:18" x14ac:dyDescent="0.2">
      <c r="B5" s="300"/>
      <c r="C5" s="348"/>
      <c r="D5" s="348"/>
      <c r="E5" s="348"/>
    </row>
    <row r="6" spans="2:18" x14ac:dyDescent="0.2">
      <c r="B6" s="300" t="s">
        <v>91</v>
      </c>
      <c r="C6" s="348">
        <v>2.9</v>
      </c>
      <c r="D6" s="348">
        <v>3.4</v>
      </c>
      <c r="E6" s="348">
        <f>Quanti_Apres!C2</f>
        <v>3.8</v>
      </c>
      <c r="G6" s="596" t="s">
        <v>197</v>
      </c>
      <c r="H6" s="597"/>
      <c r="I6" s="597"/>
      <c r="J6" s="597"/>
      <c r="K6" s="597"/>
      <c r="L6" s="597"/>
      <c r="M6" s="597"/>
      <c r="N6" s="597"/>
      <c r="O6" s="597"/>
      <c r="P6" s="597"/>
    </row>
    <row r="7" spans="2:18" x14ac:dyDescent="0.2">
      <c r="B7" s="300" t="s">
        <v>94</v>
      </c>
      <c r="C7" s="348">
        <v>3.5</v>
      </c>
      <c r="D7" s="348">
        <v>3.3</v>
      </c>
      <c r="E7" s="348">
        <f>Quanti_Apres!C4</f>
        <v>3.5</v>
      </c>
      <c r="G7" s="597"/>
      <c r="H7" s="597"/>
      <c r="I7" s="597"/>
      <c r="J7" s="597"/>
      <c r="K7" s="597"/>
      <c r="L7" s="597"/>
      <c r="M7" s="597"/>
      <c r="N7" s="597"/>
      <c r="O7" s="597"/>
      <c r="P7" s="597"/>
    </row>
    <row r="8" spans="2:18" x14ac:dyDescent="0.2">
      <c r="B8" s="302" t="s">
        <v>148</v>
      </c>
      <c r="C8" s="348">
        <v>3</v>
      </c>
      <c r="D8" s="348">
        <v>3</v>
      </c>
      <c r="E8" s="348">
        <f>Quanti_Apres!C6</f>
        <v>3</v>
      </c>
    </row>
    <row r="9" spans="2:18" x14ac:dyDescent="0.2">
      <c r="B9" s="300" t="s">
        <v>100</v>
      </c>
      <c r="C9" s="348">
        <v>4</v>
      </c>
      <c r="D9" s="348">
        <v>3.9</v>
      </c>
      <c r="E9" s="348">
        <f>Quanti_Apres!C8</f>
        <v>4</v>
      </c>
    </row>
    <row r="13" spans="2:18" x14ac:dyDescent="0.2">
      <c r="R13" s="351"/>
    </row>
    <row r="14" spans="2:18" x14ac:dyDescent="0.2">
      <c r="R14" s="351"/>
    </row>
    <row r="15" spans="2:18" x14ac:dyDescent="0.2">
      <c r="R15" s="351"/>
    </row>
    <row r="16" spans="2:18" x14ac:dyDescent="0.2">
      <c r="R16" s="351"/>
    </row>
    <row r="17" spans="18:18" x14ac:dyDescent="0.2">
      <c r="R17" s="351"/>
    </row>
    <row r="18" spans="18:18" x14ac:dyDescent="0.2">
      <c r="R18" s="351"/>
    </row>
    <row r="19" spans="18:18" x14ac:dyDescent="0.2">
      <c r="R19" s="351"/>
    </row>
    <row r="20" spans="18:18" x14ac:dyDescent="0.2">
      <c r="R20" s="351"/>
    </row>
    <row r="21" spans="18:18" x14ac:dyDescent="0.2">
      <c r="R21" s="351"/>
    </row>
  </sheetData>
  <mergeCells count="3">
    <mergeCell ref="G3:O3"/>
    <mergeCell ref="G4:O4"/>
    <mergeCell ref="G6:P7"/>
  </mergeCells>
  <pageMargins left="0.78740157499999996" right="0.78740157499999996" top="0.984251969" bottom="0.984251969" header="0.49212598499999999" footer="0.49212598499999999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G37"/>
  <sheetViews>
    <sheetView workbookViewId="0"/>
  </sheetViews>
  <sheetFormatPr defaultRowHeight="12.75" x14ac:dyDescent="0.2"/>
  <cols>
    <col min="1" max="1" width="2.85546875" style="284" customWidth="1"/>
    <col min="2" max="2" width="47.85546875" style="284" customWidth="1"/>
    <col min="3" max="3" width="15.5703125" style="284" customWidth="1"/>
    <col min="4" max="4" width="3" style="284" customWidth="1"/>
    <col min="5" max="5" width="47.85546875" style="284" customWidth="1"/>
    <col min="6" max="6" width="15.5703125" style="284" customWidth="1"/>
    <col min="7" max="7" width="3" style="284" customWidth="1"/>
    <col min="8" max="16384" width="9.140625" style="284"/>
  </cols>
  <sheetData>
    <row r="1" spans="1:7" ht="19.5" x14ac:dyDescent="0.25">
      <c r="A1" s="287"/>
      <c r="B1" s="288"/>
      <c r="C1" s="288"/>
      <c r="D1" s="289"/>
      <c r="E1" s="289"/>
      <c r="F1" s="289"/>
      <c r="G1" s="289"/>
    </row>
    <row r="2" spans="1:7" ht="19.5" x14ac:dyDescent="0.25">
      <c r="A2" s="287"/>
      <c r="B2" s="598" t="s">
        <v>141</v>
      </c>
      <c r="C2" s="598"/>
      <c r="D2" s="289"/>
      <c r="E2" s="598" t="s">
        <v>140</v>
      </c>
      <c r="F2" s="598"/>
      <c r="G2" s="289"/>
    </row>
    <row r="3" spans="1:7" ht="19.5" x14ac:dyDescent="0.25">
      <c r="A3" s="287"/>
      <c r="B3" s="599"/>
      <c r="C3" s="599"/>
      <c r="D3" s="289"/>
      <c r="E3" s="599"/>
      <c r="F3" s="599"/>
      <c r="G3" s="289"/>
    </row>
    <row r="4" spans="1:7" ht="20.25" thickBot="1" x14ac:dyDescent="0.25">
      <c r="A4" s="289"/>
      <c r="B4" s="290" t="s">
        <v>147</v>
      </c>
      <c r="C4" s="290" t="s">
        <v>142</v>
      </c>
      <c r="D4" s="289"/>
      <c r="E4" s="290" t="s">
        <v>176</v>
      </c>
      <c r="F4" s="290" t="s">
        <v>142</v>
      </c>
      <c r="G4" s="289"/>
    </row>
    <row r="5" spans="1:7" ht="20.25" thickTop="1" x14ac:dyDescent="0.2">
      <c r="A5" s="291"/>
      <c r="B5" s="292"/>
      <c r="C5" s="292"/>
      <c r="D5" s="289"/>
      <c r="E5" s="292"/>
      <c r="F5" s="292"/>
      <c r="G5" s="289"/>
    </row>
    <row r="6" spans="1:7" ht="19.5" x14ac:dyDescent="0.2">
      <c r="A6" s="412"/>
      <c r="B6" s="415" t="s">
        <v>173</v>
      </c>
      <c r="C6" s="408">
        <v>8</v>
      </c>
      <c r="D6" s="410"/>
      <c r="E6" s="293" t="s">
        <v>12</v>
      </c>
      <c r="F6" s="294">
        <v>8</v>
      </c>
      <c r="G6" s="411"/>
    </row>
    <row r="7" spans="1:7" ht="19.5" x14ac:dyDescent="0.2">
      <c r="A7" s="412"/>
      <c r="B7" s="407" t="s">
        <v>174</v>
      </c>
      <c r="C7" s="409">
        <v>8</v>
      </c>
      <c r="D7" s="411">
        <v>8</v>
      </c>
      <c r="E7" s="293" t="s">
        <v>87</v>
      </c>
      <c r="F7" s="294">
        <v>4</v>
      </c>
      <c r="G7" s="411"/>
    </row>
    <row r="8" spans="1:7" ht="19.5" x14ac:dyDescent="0.2">
      <c r="A8" s="412"/>
      <c r="B8" s="407" t="s">
        <v>175</v>
      </c>
      <c r="C8" s="409">
        <v>4</v>
      </c>
      <c r="D8" s="411"/>
      <c r="E8" s="293" t="s">
        <v>178</v>
      </c>
      <c r="F8" s="294">
        <v>1</v>
      </c>
      <c r="G8" s="411"/>
    </row>
    <row r="9" spans="1:7" ht="19.5" x14ac:dyDescent="0.2">
      <c r="A9" s="412"/>
      <c r="B9" s="407" t="s">
        <v>87</v>
      </c>
      <c r="C9" s="408">
        <v>4</v>
      </c>
      <c r="D9" s="411"/>
      <c r="E9" s="293"/>
      <c r="F9"/>
      <c r="G9" s="411"/>
    </row>
    <row r="10" spans="1:7" ht="19.5" x14ac:dyDescent="0.2">
      <c r="A10" s="291"/>
      <c r="B10" s="407"/>
      <c r="C10" s="409"/>
      <c r="D10" s="411"/>
      <c r="E10" s="293"/>
      <c r="F10"/>
      <c r="G10" s="289"/>
    </row>
    <row r="11" spans="1:7" ht="19.5" x14ac:dyDescent="0.2">
      <c r="A11" s="291"/>
      <c r="B11" s="407"/>
      <c r="C11" s="408"/>
      <c r="D11" s="412"/>
      <c r="E11" s="293"/>
      <c r="F11" s="293"/>
      <c r="G11" s="289"/>
    </row>
    <row r="12" spans="1:7" ht="19.5" x14ac:dyDescent="0.2">
      <c r="A12" s="291"/>
      <c r="B12" s="293"/>
      <c r="C12" s="293"/>
      <c r="D12" s="289"/>
      <c r="E12" s="293"/>
      <c r="F12" s="293"/>
      <c r="G12" s="289"/>
    </row>
    <row r="13" spans="1:7" ht="20.25" thickBot="1" x14ac:dyDescent="0.25">
      <c r="A13" s="291"/>
      <c r="B13" s="290" t="s">
        <v>146</v>
      </c>
      <c r="C13" s="295" t="s">
        <v>142</v>
      </c>
      <c r="D13" s="289"/>
      <c r="E13" s="290" t="s">
        <v>177</v>
      </c>
      <c r="F13" s="290" t="s">
        <v>142</v>
      </c>
      <c r="G13" s="289"/>
    </row>
    <row r="14" spans="1:7" ht="20.25" thickTop="1" x14ac:dyDescent="0.2">
      <c r="A14" s="291"/>
      <c r="B14" s="293"/>
      <c r="C14" s="293"/>
      <c r="D14" s="289"/>
      <c r="E14" s="293"/>
      <c r="F14" s="293"/>
      <c r="G14" s="289"/>
    </row>
    <row r="15" spans="1:7" ht="19.5" x14ac:dyDescent="0.2">
      <c r="A15" s="414"/>
      <c r="B15" s="407" t="s">
        <v>13</v>
      </c>
      <c r="C15" s="294">
        <v>8</v>
      </c>
      <c r="D15" s="413"/>
      <c r="E15" s="293" t="s">
        <v>13</v>
      </c>
      <c r="F15" s="294">
        <v>8</v>
      </c>
      <c r="G15" s="411"/>
    </row>
    <row r="16" spans="1:7" ht="19.5" hidden="1" x14ac:dyDescent="0.2">
      <c r="A16" s="291"/>
      <c r="B16" s="293">
        <v>0</v>
      </c>
      <c r="C16" s="293"/>
      <c r="D16" s="413"/>
      <c r="E16" s="293" t="s">
        <v>143</v>
      </c>
      <c r="F16" s="294"/>
      <c r="G16" s="289"/>
    </row>
    <row r="17" spans="1:7" ht="19.5" hidden="1" x14ac:dyDescent="0.2">
      <c r="A17" s="291"/>
      <c r="B17" s="296">
        <v>0</v>
      </c>
      <c r="C17" s="296" t="e">
        <v>#REF!</v>
      </c>
      <c r="D17" s="413"/>
      <c r="E17" s="293">
        <v>0</v>
      </c>
      <c r="F17" s="294"/>
      <c r="G17" s="289"/>
    </row>
    <row r="18" spans="1:7" ht="19.5" hidden="1" x14ac:dyDescent="0.2">
      <c r="A18" s="291"/>
      <c r="B18" s="296">
        <v>0</v>
      </c>
      <c r="C18" s="296" t="e">
        <v>#REF!</v>
      </c>
      <c r="D18" s="413"/>
      <c r="E18" s="293">
        <v>0</v>
      </c>
      <c r="F18" s="294"/>
      <c r="G18" s="289"/>
    </row>
    <row r="19" spans="1:7" ht="19.5" hidden="1" x14ac:dyDescent="0.2">
      <c r="A19" s="291"/>
      <c r="B19" s="296">
        <v>0</v>
      </c>
      <c r="C19" s="296" t="e">
        <v>#REF!</v>
      </c>
      <c r="D19" s="413"/>
      <c r="E19" s="293">
        <v>0</v>
      </c>
      <c r="F19" s="294"/>
      <c r="G19" s="289"/>
    </row>
    <row r="20" spans="1:7" ht="19.5" hidden="1" x14ac:dyDescent="0.2">
      <c r="A20" s="291"/>
      <c r="B20" s="296">
        <v>0</v>
      </c>
      <c r="C20" s="296" t="e">
        <v>#REF!</v>
      </c>
      <c r="D20" s="413"/>
      <c r="E20" s="293">
        <v>0</v>
      </c>
      <c r="F20" s="294"/>
      <c r="G20" s="289"/>
    </row>
    <row r="21" spans="1:7" ht="19.5" hidden="1" x14ac:dyDescent="0.2">
      <c r="A21" s="291"/>
      <c r="B21" s="296">
        <v>0</v>
      </c>
      <c r="C21" s="296" t="e">
        <v>#REF!</v>
      </c>
      <c r="D21" s="413"/>
      <c r="E21" s="293">
        <v>0</v>
      </c>
      <c r="F21" s="294"/>
      <c r="G21" s="289"/>
    </row>
    <row r="22" spans="1:7" ht="19.5" hidden="1" x14ac:dyDescent="0.2">
      <c r="A22" s="291"/>
      <c r="B22" s="296">
        <v>0</v>
      </c>
      <c r="C22" s="296" t="e">
        <v>#REF!</v>
      </c>
      <c r="D22" s="413"/>
      <c r="E22" s="293">
        <v>0</v>
      </c>
      <c r="F22" s="294"/>
      <c r="G22" s="289"/>
    </row>
    <row r="23" spans="1:7" ht="19.5" hidden="1" x14ac:dyDescent="0.2">
      <c r="A23" s="291"/>
      <c r="B23" s="296">
        <v>0</v>
      </c>
      <c r="C23" s="296" t="e">
        <v>#REF!</v>
      </c>
      <c r="D23" s="413"/>
      <c r="E23" s="293">
        <v>0</v>
      </c>
      <c r="F23" s="294"/>
      <c r="G23" s="289"/>
    </row>
    <row r="24" spans="1:7" ht="19.5" hidden="1" x14ac:dyDescent="0.2">
      <c r="A24" s="291"/>
      <c r="B24" s="296">
        <v>0</v>
      </c>
      <c r="C24" s="296" t="e">
        <v>#REF!</v>
      </c>
      <c r="D24" s="413"/>
      <c r="E24" s="293">
        <v>0</v>
      </c>
      <c r="F24" s="294"/>
      <c r="G24" s="289"/>
    </row>
    <row r="25" spans="1:7" ht="19.5" hidden="1" x14ac:dyDescent="0.2">
      <c r="A25" s="291"/>
      <c r="B25" s="296">
        <v>0</v>
      </c>
      <c r="C25" s="296" t="e">
        <v>#REF!</v>
      </c>
      <c r="D25" s="413"/>
      <c r="E25" s="293">
        <v>0</v>
      </c>
      <c r="F25" s="294"/>
      <c r="G25" s="289"/>
    </row>
    <row r="26" spans="1:7" ht="19.5" hidden="1" x14ac:dyDescent="0.2">
      <c r="A26" s="291"/>
      <c r="B26" s="296">
        <v>0</v>
      </c>
      <c r="C26" s="296" t="e">
        <v>#REF!</v>
      </c>
      <c r="D26" s="413"/>
      <c r="E26" s="293">
        <v>0</v>
      </c>
      <c r="F26" s="294"/>
      <c r="G26" s="289"/>
    </row>
    <row r="27" spans="1:7" ht="19.5" hidden="1" x14ac:dyDescent="0.2">
      <c r="A27" s="291"/>
      <c r="B27" s="296">
        <v>0</v>
      </c>
      <c r="C27" s="296" t="e">
        <v>#REF!</v>
      </c>
      <c r="D27" s="413"/>
      <c r="E27" s="293">
        <v>0</v>
      </c>
      <c r="F27" s="294"/>
      <c r="G27" s="289"/>
    </row>
    <row r="28" spans="1:7" ht="19.5" hidden="1" x14ac:dyDescent="0.2">
      <c r="A28" s="291"/>
      <c r="B28" s="296">
        <v>0</v>
      </c>
      <c r="C28" s="296" t="e">
        <v>#REF!</v>
      </c>
      <c r="D28" s="413"/>
      <c r="E28" s="293">
        <v>0</v>
      </c>
      <c r="F28" s="294"/>
      <c r="G28" s="289"/>
    </row>
    <row r="29" spans="1:7" ht="19.5" hidden="1" x14ac:dyDescent="0.2">
      <c r="A29" s="291"/>
      <c r="B29" s="296">
        <v>0</v>
      </c>
      <c r="C29" s="296" t="e">
        <v>#REF!</v>
      </c>
      <c r="D29" s="413">
        <v>1</v>
      </c>
      <c r="E29" s="293">
        <v>0</v>
      </c>
      <c r="F29" s="294"/>
      <c r="G29" s="289"/>
    </row>
    <row r="30" spans="1:7" ht="19.5" hidden="1" x14ac:dyDescent="0.2">
      <c r="A30" s="291"/>
      <c r="B30" s="296">
        <v>0</v>
      </c>
      <c r="C30" s="296" t="e">
        <v>#REF!</v>
      </c>
      <c r="D30" s="413">
        <v>2</v>
      </c>
      <c r="E30" s="293">
        <v>0</v>
      </c>
      <c r="F30" s="294"/>
      <c r="G30" s="289"/>
    </row>
    <row r="31" spans="1:7" ht="19.5" hidden="1" x14ac:dyDescent="0.2">
      <c r="A31" s="291"/>
      <c r="B31" s="296">
        <v>0</v>
      </c>
      <c r="C31" s="296" t="e">
        <v>#REF!</v>
      </c>
      <c r="D31" s="413">
        <v>3</v>
      </c>
      <c r="E31" s="293">
        <v>0</v>
      </c>
      <c r="F31" s="294"/>
      <c r="G31" s="289"/>
    </row>
    <row r="32" spans="1:7" ht="19.5" hidden="1" x14ac:dyDescent="0.2">
      <c r="A32" s="291"/>
      <c r="B32" s="296">
        <v>0</v>
      </c>
      <c r="C32" s="296" t="e">
        <v>#REF!</v>
      </c>
      <c r="D32" s="413">
        <v>4</v>
      </c>
      <c r="E32" s="293">
        <v>0</v>
      </c>
      <c r="F32" s="294"/>
      <c r="G32" s="289"/>
    </row>
    <row r="33" spans="1:7" s="285" customFormat="1" ht="18" x14ac:dyDescent="0.15">
      <c r="A33" s="291"/>
      <c r="B33" s="297"/>
      <c r="C33" s="291"/>
      <c r="D33" s="414"/>
      <c r="E33" s="293"/>
      <c r="F33" s="294"/>
      <c r="G33" s="291"/>
    </row>
    <row r="34" spans="1:7" s="285" customFormat="1" ht="18" x14ac:dyDescent="0.15">
      <c r="A34" s="291"/>
      <c r="B34" s="297"/>
      <c r="C34" s="291"/>
      <c r="D34" s="414"/>
      <c r="E34" s="293"/>
      <c r="F34" s="294"/>
      <c r="G34" s="291"/>
    </row>
    <row r="35" spans="1:7" s="285" customFormat="1" ht="18" x14ac:dyDescent="0.15">
      <c r="A35" s="291"/>
      <c r="B35" s="297"/>
      <c r="C35" s="291"/>
      <c r="D35" s="414"/>
      <c r="E35" s="293"/>
      <c r="F35" s="294"/>
      <c r="G35" s="291"/>
    </row>
    <row r="36" spans="1:7" ht="19.5" x14ac:dyDescent="0.2">
      <c r="A36" s="291"/>
      <c r="B36" s="297" t="s">
        <v>145</v>
      </c>
      <c r="C36" s="289"/>
      <c r="D36" s="289"/>
      <c r="E36" s="286"/>
      <c r="F36" s="286"/>
      <c r="G36" s="289"/>
    </row>
    <row r="37" spans="1:7" ht="19.5" x14ac:dyDescent="0.25">
      <c r="A37" s="298"/>
      <c r="B37" s="287"/>
      <c r="C37" s="287"/>
      <c r="D37" s="287"/>
      <c r="E37" s="287"/>
      <c r="F37" s="287"/>
      <c r="G37" s="287"/>
    </row>
  </sheetData>
  <mergeCells count="4">
    <mergeCell ref="B2:C2"/>
    <mergeCell ref="E2:F2"/>
    <mergeCell ref="B3:C3"/>
    <mergeCell ref="E3:F3"/>
  </mergeCells>
  <phoneticPr fontId="0" type="noConversion"/>
  <conditionalFormatting sqref="B18:B35 B14 E16:E35 F10 C7 C10 E14 E6:E12 E7:F7 B6:B12">
    <cfRule type="expression" dxfId="80" priority="91" stopIfTrue="1">
      <formula>MID(B6,1,1)=" "</formula>
    </cfRule>
    <cfRule type="expression" dxfId="79" priority="92" stopIfTrue="1">
      <formula>MID(B6,1,1)&lt;&gt;""</formula>
    </cfRule>
  </conditionalFormatting>
  <conditionalFormatting sqref="C20:C35 C12 C14">
    <cfRule type="expression" dxfId="78" priority="93" stopIfTrue="1">
      <formula>MID(B12,1,1)=" "</formula>
    </cfRule>
    <cfRule type="expression" dxfId="77" priority="94" stopIfTrue="1">
      <formula>MID(B12,1,1)&lt;&gt;""</formula>
    </cfRule>
  </conditionalFormatting>
  <conditionalFormatting sqref="C18:C19 C6:C11 C15 F6:F11 F15:F35">
    <cfRule type="expression" dxfId="76" priority="95" stopIfTrue="1">
      <formula>MID(B6,1,1)=" "</formula>
    </cfRule>
    <cfRule type="expression" dxfId="75" priority="96" stopIfTrue="1">
      <formula>MID(B6,1,1)&lt;&gt;""</formula>
    </cfRule>
  </conditionalFormatting>
  <conditionalFormatting sqref="F6:F8">
    <cfRule type="expression" dxfId="74" priority="87" stopIfTrue="1">
      <formula>MID(E6,1,1)=" "</formula>
    </cfRule>
    <cfRule type="expression" dxfId="73" priority="88" stopIfTrue="1">
      <formula>MID(E6,1,1)&lt;&gt;""</formula>
    </cfRule>
  </conditionalFormatting>
  <conditionalFormatting sqref="F9:F10">
    <cfRule type="expression" dxfId="72" priority="83" stopIfTrue="1">
      <formula>MID(E9,1,1)=" "</formula>
    </cfRule>
    <cfRule type="expression" dxfId="71" priority="84" stopIfTrue="1">
      <formula>MID(E9,1,1)&lt;&gt;""</formula>
    </cfRule>
  </conditionalFormatting>
  <conditionalFormatting sqref="F11">
    <cfRule type="expression" dxfId="70" priority="81" stopIfTrue="1">
      <formula>MID(E11,1,1)=" "</formula>
    </cfRule>
    <cfRule type="expression" dxfId="69" priority="82" stopIfTrue="1">
      <formula>MID(E11,1,1)&lt;&gt;""</formula>
    </cfRule>
  </conditionalFormatting>
  <conditionalFormatting sqref="C7">
    <cfRule type="expression" dxfId="68" priority="75" stopIfTrue="1">
      <formula>MID(B7,1,1)=" "</formula>
    </cfRule>
    <cfRule type="expression" dxfId="67" priority="76" stopIfTrue="1">
      <formula>MID(B7,1,1)&lt;&gt;""</formula>
    </cfRule>
  </conditionalFormatting>
  <conditionalFormatting sqref="C7">
    <cfRule type="expression" dxfId="66" priority="73" stopIfTrue="1">
      <formula>MID(B7,1,1)=" "</formula>
    </cfRule>
    <cfRule type="expression" dxfId="65" priority="74" stopIfTrue="1">
      <formula>MID(B7,1,1)&lt;&gt;""</formula>
    </cfRule>
  </conditionalFormatting>
  <conditionalFormatting sqref="C6">
    <cfRule type="expression" dxfId="64" priority="71" stopIfTrue="1">
      <formula>MID(B6,1,1)=" "</formula>
    </cfRule>
    <cfRule type="expression" dxfId="63" priority="72" stopIfTrue="1">
      <formula>MID(B6,1,1)&lt;&gt;""</formula>
    </cfRule>
  </conditionalFormatting>
  <conditionalFormatting sqref="F15">
    <cfRule type="expression" dxfId="62" priority="69" stopIfTrue="1">
      <formula>MID(E15,1,1)=" "</formula>
    </cfRule>
    <cfRule type="expression" dxfId="61" priority="70" stopIfTrue="1">
      <formula>MID(E15,1,1)&lt;&gt;""</formula>
    </cfRule>
  </conditionalFormatting>
  <conditionalFormatting sqref="C15">
    <cfRule type="expression" dxfId="60" priority="67" stopIfTrue="1">
      <formula>MID(B15,1,1)=" "</formula>
    </cfRule>
    <cfRule type="expression" dxfId="59" priority="68" stopIfTrue="1">
      <formula>MID(B15,1,1)&lt;&gt;""</formula>
    </cfRule>
  </conditionalFormatting>
  <conditionalFormatting sqref="C15">
    <cfRule type="expression" dxfId="58" priority="65" stopIfTrue="1">
      <formula>MID(B15,1,1)=" "</formula>
    </cfRule>
    <cfRule type="expression" dxfId="57" priority="66" stopIfTrue="1">
      <formula>MID(B15,1,1)&lt;&gt;""</formula>
    </cfRule>
  </conditionalFormatting>
  <conditionalFormatting sqref="C6:C8">
    <cfRule type="expression" dxfId="56" priority="45" stopIfTrue="1">
      <formula>MID(B6,1,1)=" "</formula>
    </cfRule>
    <cfRule type="expression" dxfId="55" priority="46" stopIfTrue="1">
      <formula>MID(B6,1,1)&lt;&gt;""</formula>
    </cfRule>
  </conditionalFormatting>
  <conditionalFormatting sqref="C9:C10">
    <cfRule type="expression" dxfId="54" priority="41" stopIfTrue="1">
      <formula>MID(B9,1,1)=" "</formula>
    </cfRule>
    <cfRule type="expression" dxfId="53" priority="42" stopIfTrue="1">
      <formula>MID(B9,1,1)&lt;&gt;""</formula>
    </cfRule>
  </conditionalFormatting>
  <conditionalFormatting sqref="C11">
    <cfRule type="expression" dxfId="52" priority="39" stopIfTrue="1">
      <formula>MID(B11,1,1)=" "</formula>
    </cfRule>
    <cfRule type="expression" dxfId="51" priority="40" stopIfTrue="1">
      <formula>MID(B11,1,1)&lt;&gt;""</formula>
    </cfRule>
  </conditionalFormatting>
  <conditionalFormatting sqref="C15">
    <cfRule type="expression" dxfId="50" priority="37" stopIfTrue="1">
      <formula>MID(B15,1,1)=" "</formula>
    </cfRule>
    <cfRule type="expression" dxfId="49" priority="38" stopIfTrue="1">
      <formula>MID(B15,1,1)&lt;&gt;""</formula>
    </cfRule>
  </conditionalFormatting>
  <conditionalFormatting sqref="F12 F14">
    <cfRule type="expression" dxfId="48" priority="33" stopIfTrue="1">
      <formula>MID(E12,1,1)=" "</formula>
    </cfRule>
    <cfRule type="expression" dxfId="47" priority="34" stopIfTrue="1">
      <formula>MID(E12,1,1)&lt;&gt;""</formula>
    </cfRule>
  </conditionalFormatting>
  <conditionalFormatting sqref="F11 F6 F8">
    <cfRule type="expression" dxfId="46" priority="31" stopIfTrue="1">
      <formula>MID(E6,1,1)=" "</formula>
    </cfRule>
    <cfRule type="expression" dxfId="45" priority="32" stopIfTrue="1">
      <formula>MID(E6,1,1)&lt;&gt;""</formula>
    </cfRule>
  </conditionalFormatting>
  <conditionalFormatting sqref="F7">
    <cfRule type="expression" dxfId="44" priority="29" stopIfTrue="1">
      <formula>MID(E7,1,1)=" "</formula>
    </cfRule>
    <cfRule type="expression" dxfId="43" priority="30" stopIfTrue="1">
      <formula>MID(E7,1,1)&lt;&gt;""</formula>
    </cfRule>
  </conditionalFormatting>
  <conditionalFormatting sqref="F7">
    <cfRule type="expression" dxfId="42" priority="27" stopIfTrue="1">
      <formula>MID(E7,1,1)=" "</formula>
    </cfRule>
    <cfRule type="expression" dxfId="41" priority="28" stopIfTrue="1">
      <formula>MID(E7,1,1)&lt;&gt;""</formula>
    </cfRule>
  </conditionalFormatting>
  <conditionalFormatting sqref="F6">
    <cfRule type="expression" dxfId="40" priority="25" stopIfTrue="1">
      <formula>MID(E6,1,1)=" "</formula>
    </cfRule>
    <cfRule type="expression" dxfId="39" priority="26" stopIfTrue="1">
      <formula>MID(E6,1,1)&lt;&gt;""</formula>
    </cfRule>
  </conditionalFormatting>
  <conditionalFormatting sqref="F15">
    <cfRule type="expression" dxfId="38" priority="23" stopIfTrue="1">
      <formula>MID(E15,1,1)=" "</formula>
    </cfRule>
    <cfRule type="expression" dxfId="37" priority="24" stopIfTrue="1">
      <formula>MID(E15,1,1)&lt;&gt;""</formula>
    </cfRule>
  </conditionalFormatting>
  <conditionalFormatting sqref="F15">
    <cfRule type="expression" dxfId="36" priority="21" stopIfTrue="1">
      <formula>MID(E15,1,1)=" "</formula>
    </cfRule>
    <cfRule type="expression" dxfId="35" priority="22" stopIfTrue="1">
      <formula>MID(E15,1,1)&lt;&gt;""</formula>
    </cfRule>
  </conditionalFormatting>
  <conditionalFormatting sqref="F7">
    <cfRule type="expression" dxfId="34" priority="19" stopIfTrue="1">
      <formula>MID(E7,1,1)=" "</formula>
    </cfRule>
    <cfRule type="expression" dxfId="33" priority="20" stopIfTrue="1">
      <formula>MID(E7,1,1)&lt;&gt;""</formula>
    </cfRule>
  </conditionalFormatting>
  <conditionalFormatting sqref="F7">
    <cfRule type="expression" dxfId="32" priority="17" stopIfTrue="1">
      <formula>MID(E7,1,1)=" "</formula>
    </cfRule>
    <cfRule type="expression" dxfId="31" priority="18" stopIfTrue="1">
      <formula>MID(E7,1,1)&lt;&gt;""</formula>
    </cfRule>
  </conditionalFormatting>
  <conditionalFormatting sqref="F8">
    <cfRule type="expression" dxfId="30" priority="15" stopIfTrue="1">
      <formula>MID(E8,1,1)=" "</formula>
    </cfRule>
    <cfRule type="expression" dxfId="29" priority="16" stopIfTrue="1">
      <formula>MID(E8,1,1)&lt;&gt;""</formula>
    </cfRule>
  </conditionalFormatting>
  <conditionalFormatting sqref="E15">
    <cfRule type="expression" dxfId="28" priority="13" stopIfTrue="1">
      <formula>MID(E15,1,1)=" "</formula>
    </cfRule>
    <cfRule type="expression" dxfId="27" priority="14" stopIfTrue="1">
      <formula>MID(E15,1,1)&lt;&gt;""</formula>
    </cfRule>
  </conditionalFormatting>
  <conditionalFormatting sqref="F15">
    <cfRule type="expression" dxfId="26" priority="11" stopIfTrue="1">
      <formula>MID(E15,1,1)=" "</formula>
    </cfRule>
    <cfRule type="expression" dxfId="25" priority="12" stopIfTrue="1">
      <formula>MID(E15,1,1)&lt;&gt;""</formula>
    </cfRule>
  </conditionalFormatting>
  <conditionalFormatting sqref="F15">
    <cfRule type="expression" dxfId="24" priority="9" stopIfTrue="1">
      <formula>MID(E15,1,1)=" "</formula>
    </cfRule>
    <cfRule type="expression" dxfId="23" priority="10" stopIfTrue="1">
      <formula>MID(E15,1,1)&lt;&gt;""</formula>
    </cfRule>
  </conditionalFormatting>
  <conditionalFormatting sqref="F15">
    <cfRule type="expression" dxfId="22" priority="7" stopIfTrue="1">
      <formula>MID(E15,1,1)=" "</formula>
    </cfRule>
    <cfRule type="expression" dxfId="21" priority="8" stopIfTrue="1">
      <formula>MID(E15,1,1)&lt;&gt;""</formula>
    </cfRule>
  </conditionalFormatting>
  <conditionalFormatting sqref="B15">
    <cfRule type="expression" dxfId="20" priority="5" stopIfTrue="1">
      <formula>MID(B15,1,1)=" "</formula>
    </cfRule>
    <cfRule type="expression" dxfId="19" priority="6" stopIfTrue="1">
      <formula>MID(B15,1,1)&lt;&gt;""</formula>
    </cfRule>
  </conditionalFormatting>
  <conditionalFormatting sqref="B15">
    <cfRule type="expression" dxfId="18" priority="3" stopIfTrue="1">
      <formula>MID(B15,1,1)=" "</formula>
    </cfRule>
    <cfRule type="expression" dxfId="17" priority="4" stopIfTrue="1">
      <formula>MID(B15,1,1)&lt;&gt;""</formula>
    </cfRule>
  </conditionalFormatting>
  <conditionalFormatting sqref="B15">
    <cfRule type="expression" dxfId="16" priority="1" stopIfTrue="1">
      <formula>MID(B15,1,1)=" "</formula>
    </cfRule>
    <cfRule type="expression" dxfId="15" priority="2" stopIfTrue="1">
      <formula>MID(B15,1,1)&lt;&gt;""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A1:U24"/>
  <sheetViews>
    <sheetView showGridLines="0" zoomScaleNormal="100" workbookViewId="0">
      <selection activeCell="L9" sqref="L9:N9"/>
    </sheetView>
  </sheetViews>
  <sheetFormatPr defaultRowHeight="15" x14ac:dyDescent="0.2"/>
  <cols>
    <col min="1" max="1" width="38.5703125" style="418" customWidth="1"/>
    <col min="2" max="19" width="8" style="418" customWidth="1"/>
    <col min="20" max="20" width="14.28515625" style="418" customWidth="1"/>
    <col min="21" max="16384" width="9.140625" style="418"/>
  </cols>
  <sheetData>
    <row r="1" spans="1:21" x14ac:dyDescent="0.2">
      <c r="A1" s="416"/>
      <c r="B1" s="417"/>
      <c r="C1" s="417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</row>
    <row r="2" spans="1:21" x14ac:dyDescent="0.2">
      <c r="A2" s="416"/>
      <c r="B2" s="417"/>
      <c r="C2" s="417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39" customHeight="1" x14ac:dyDescent="0.2">
      <c r="A3" s="419"/>
      <c r="B3" s="507" t="str">
        <f>'Matriz de Pesos e Notas'!G3</f>
        <v>Crédito</v>
      </c>
      <c r="C3" s="508"/>
      <c r="D3" s="509" t="s">
        <v>2</v>
      </c>
      <c r="E3" s="510"/>
      <c r="F3" s="507" t="s">
        <v>3</v>
      </c>
      <c r="G3" s="508"/>
      <c r="H3" s="509" t="s">
        <v>11</v>
      </c>
      <c r="I3" s="510"/>
      <c r="J3" s="509" t="s">
        <v>202</v>
      </c>
      <c r="K3" s="510"/>
      <c r="L3" s="513" t="s">
        <v>0</v>
      </c>
      <c r="M3" s="514"/>
      <c r="N3" s="513" t="s">
        <v>1</v>
      </c>
      <c r="O3" s="514"/>
      <c r="P3" s="507" t="s">
        <v>7</v>
      </c>
      <c r="Q3" s="508"/>
      <c r="R3" s="507" t="s">
        <v>8</v>
      </c>
      <c r="S3" s="508"/>
      <c r="T3" s="420" t="s">
        <v>10</v>
      </c>
    </row>
    <row r="4" spans="1:21" ht="23.25" customHeight="1" x14ac:dyDescent="0.2">
      <c r="A4" s="421"/>
      <c r="B4" s="511">
        <f>'Participação-apenas fórmulas'!G140+'Participação-apenas fórmulas'!H140</f>
        <v>0.3724137931034483</v>
      </c>
      <c r="C4" s="512"/>
      <c r="D4" s="511">
        <f>'Participação-apenas fórmulas'!J140+'Participação-apenas fórmulas'!K140</f>
        <v>8.2758620689655171E-2</v>
      </c>
      <c r="E4" s="512"/>
      <c r="F4" s="511">
        <f>'Participação-apenas fórmulas'!M140+'Participação-apenas fórmulas'!N140</f>
        <v>8.2758620689655171E-2</v>
      </c>
      <c r="G4" s="512"/>
      <c r="H4" s="511">
        <f>'Participação-apenas fórmulas'!P140+'Participação-apenas fórmulas'!Q140</f>
        <v>6.2068965517241385E-2</v>
      </c>
      <c r="I4" s="512"/>
      <c r="J4" s="511">
        <f>'Participação-apenas fórmulas'!S140+'Participação-apenas fórmulas'!T140</f>
        <v>0.1</v>
      </c>
      <c r="K4" s="512"/>
      <c r="L4" s="511">
        <f>'Participação-apenas fórmulas'!V140+'Participação-apenas fórmulas'!W140</f>
        <v>0.05</v>
      </c>
      <c r="M4" s="512"/>
      <c r="N4" s="511">
        <f>'Participação-apenas fórmulas'!Y140+'Participação-apenas fórmulas'!Z140</f>
        <v>0.1</v>
      </c>
      <c r="O4" s="512"/>
      <c r="P4" s="511">
        <f>'Participação-apenas fórmulas'!AB140+'Participação-apenas fórmulas'!AC140</f>
        <v>0.1</v>
      </c>
      <c r="Q4" s="512"/>
      <c r="R4" s="511">
        <f>'Participação-apenas fórmulas'!AE140+'Participação-apenas fórmulas'!AF140</f>
        <v>0.05</v>
      </c>
      <c r="S4" s="512"/>
      <c r="T4" s="422" t="str">
        <f>'Matriz de Pesos e Notas'!AI3</f>
        <v>Imprime</v>
      </c>
    </row>
    <row r="5" spans="1:21" ht="22.5" customHeight="1" x14ac:dyDescent="0.2">
      <c r="A5" s="423"/>
      <c r="B5" s="424" t="s">
        <v>4</v>
      </c>
      <c r="C5" s="425" t="s">
        <v>5</v>
      </c>
      <c r="D5" s="424" t="s">
        <v>4</v>
      </c>
      <c r="E5" s="425" t="s">
        <v>5</v>
      </c>
      <c r="F5" s="424" t="s">
        <v>4</v>
      </c>
      <c r="G5" s="425" t="s">
        <v>5</v>
      </c>
      <c r="H5" s="424" t="s">
        <v>4</v>
      </c>
      <c r="I5" s="425" t="s">
        <v>5</v>
      </c>
      <c r="J5" s="424" t="s">
        <v>4</v>
      </c>
      <c r="K5" s="425" t="s">
        <v>5</v>
      </c>
      <c r="L5" s="424" t="s">
        <v>4</v>
      </c>
      <c r="M5" s="425" t="s">
        <v>5</v>
      </c>
      <c r="N5" s="424" t="s">
        <v>4</v>
      </c>
      <c r="O5" s="425" t="s">
        <v>5</v>
      </c>
      <c r="P5" s="424" t="s">
        <v>4</v>
      </c>
      <c r="Q5" s="425" t="s">
        <v>5</v>
      </c>
      <c r="R5" s="424" t="s">
        <v>4</v>
      </c>
      <c r="S5" s="425" t="s">
        <v>5</v>
      </c>
      <c r="T5" s="420" t="s">
        <v>10</v>
      </c>
    </row>
    <row r="6" spans="1:21" ht="40.5" customHeight="1" x14ac:dyDescent="0.45">
      <c r="A6" s="517" t="s">
        <v>163</v>
      </c>
      <c r="B6" s="447">
        <f>'Matriz de Pesos e Notas'!G140</f>
        <v>2</v>
      </c>
      <c r="C6" s="448">
        <f>'Matriz de Pesos e Notas'!H140</f>
        <v>2.2222222222222223</v>
      </c>
      <c r="D6" s="448">
        <f>'Matriz de Pesos e Notas'!K140</f>
        <v>2</v>
      </c>
      <c r="E6" s="448">
        <f>'Matriz de Pesos e Notas'!L140</f>
        <v>2</v>
      </c>
      <c r="F6" s="448">
        <f>'Matriz de Pesos e Notas'!N140</f>
        <v>1</v>
      </c>
      <c r="G6" s="448">
        <f>'Matriz de Pesos e Notas'!O140</f>
        <v>2</v>
      </c>
      <c r="H6" s="448">
        <f>'Matriz de Pesos e Notas'!Q140</f>
        <v>2</v>
      </c>
      <c r="I6" s="448">
        <f>'Matriz de Pesos e Notas'!R140</f>
        <v>1.6666666666666667</v>
      </c>
      <c r="J6" s="448">
        <f>'Matriz de Pesos e Notas'!T140</f>
        <v>2</v>
      </c>
      <c r="K6" s="448">
        <f>'Matriz de Pesos e Notas'!U140</f>
        <v>2</v>
      </c>
      <c r="L6" s="448">
        <f>'Matriz de Pesos e Notas'!W140</f>
        <v>2</v>
      </c>
      <c r="M6" s="448">
        <f>'Matriz de Pesos e Notas'!X140</f>
        <v>2</v>
      </c>
      <c r="N6" s="448">
        <f>'Matriz de Pesos e Notas'!Z140</f>
        <v>1</v>
      </c>
      <c r="O6" s="448">
        <f>'Matriz de Pesos e Notas'!AA140</f>
        <v>2</v>
      </c>
      <c r="P6" s="448">
        <f>'Matriz de Pesos e Notas'!AC140</f>
        <v>4</v>
      </c>
      <c r="Q6" s="448">
        <f>'Matriz de Pesos e Notas'!AD140</f>
        <v>1</v>
      </c>
      <c r="R6" s="448">
        <f>'Matriz de Pesos e Notas'!AF140</f>
        <v>4</v>
      </c>
      <c r="S6" s="448">
        <f>'Matriz de Pesos e Notas'!AG140</f>
        <v>2</v>
      </c>
      <c r="T6" s="422" t="s">
        <v>10</v>
      </c>
      <c r="U6" s="429"/>
    </row>
    <row r="7" spans="1:21" ht="40.5" customHeight="1" x14ac:dyDescent="0.45">
      <c r="A7" s="518"/>
      <c r="B7" s="515">
        <f>'Matriz de Pesos e Notas'!H141</f>
        <v>2.1</v>
      </c>
      <c r="C7" s="516"/>
      <c r="D7" s="515">
        <f>'Matriz de Pesos e Notas'!L141</f>
        <v>2</v>
      </c>
      <c r="E7" s="516"/>
      <c r="F7" s="515">
        <f>'Matriz de Pesos e Notas'!O141</f>
        <v>1.4500000000000002</v>
      </c>
      <c r="G7" s="516"/>
      <c r="H7" s="515">
        <f>'Matriz de Pesos e Notas'!R141</f>
        <v>1.85</v>
      </c>
      <c r="I7" s="516"/>
      <c r="J7" s="515">
        <f>'Matriz de Pesos e Notas'!U141</f>
        <v>2</v>
      </c>
      <c r="K7" s="516"/>
      <c r="L7" s="515">
        <f>'Matriz de Pesos e Notas'!X141</f>
        <v>2</v>
      </c>
      <c r="M7" s="516"/>
      <c r="N7" s="515">
        <f>'Matriz de Pesos e Notas'!AA141</f>
        <v>1.4500000000000002</v>
      </c>
      <c r="O7" s="516"/>
      <c r="P7" s="515">
        <f>'Matriz de Pesos e Notas'!AD141</f>
        <v>2.6500000000000004</v>
      </c>
      <c r="Q7" s="516"/>
      <c r="R7" s="515">
        <f>'Matriz de Pesos e Notas'!AG141</f>
        <v>3.1</v>
      </c>
      <c r="S7" s="516"/>
      <c r="T7" s="422" t="s">
        <v>10</v>
      </c>
      <c r="U7" s="429"/>
    </row>
    <row r="8" spans="1:21" ht="40.5" customHeight="1" x14ac:dyDescent="0.45">
      <c r="A8" s="469"/>
      <c r="B8" s="600" t="str">
        <f>IF(B7=0,"não avaliado",IF(B7&lt;=1.5,"muito baixo",IF(B7&lt;=2.5,"baixo",IF(B7&lt;=3.5,"médio","alto"))))</f>
        <v>baixo</v>
      </c>
      <c r="C8" s="601"/>
      <c r="D8" s="600" t="str">
        <f>IF(D7=0,"não avaliado",IF(D7&lt;=1.5,"muito baixo",IF(D7&lt;=2.5,"baixo",IF(D7&lt;=3.5,"médio","alto"))))</f>
        <v>baixo</v>
      </c>
      <c r="E8" s="601"/>
      <c r="F8" s="600" t="str">
        <f>IF(F7=0,"não avaliado",IF(F7&lt;=1.5,"muito baixo",IF(F7&lt;=2.5,"baixo",IF(F7&lt;=3.5,"médio","alto"))))</f>
        <v>muito baixo</v>
      </c>
      <c r="G8" s="601"/>
      <c r="H8" s="600" t="str">
        <f>IF(H7=0,"não avaliado",IF(H7&lt;=1.5,"muito baixo",IF(H7&lt;=2.5,"baixo",IF(H7&lt;=3.5,"médio","alto"))))</f>
        <v>baixo</v>
      </c>
      <c r="I8" s="601"/>
      <c r="J8" s="600" t="str">
        <f>IF(J7=0,"não avaliado",IF(J7&lt;=1.5,"muito baixo",IF(J7&lt;=2.5,"baixo",IF(J7&lt;=3.5,"médio","alto"))))</f>
        <v>baixo</v>
      </c>
      <c r="K8" s="601"/>
      <c r="L8" s="600" t="str">
        <f>IF(L7=0,"não avaliado",IF(L7&lt;=1.5,"muito baixo",IF(L7&lt;=2.5,"baixo",IF(L7&lt;=3.5,"médio","alto"))))</f>
        <v>baixo</v>
      </c>
      <c r="M8" s="601"/>
      <c r="N8" s="600" t="str">
        <f>IF(N7=0,"não avaliado",IF(N7&lt;=1.5,"muito baixo",IF(N7&lt;=2.5,"baixo",IF(N7&lt;=3.5,"médio","alto"))))</f>
        <v>muito baixo</v>
      </c>
      <c r="O8" s="601"/>
      <c r="P8" s="600" t="str">
        <f>IF(P7=0,"não avaliado",IF(P7&lt;=1.5,"muito baixo",IF(P7&lt;=2.5,"baixo",IF(P7&lt;=3.5,"médio","alto"))))</f>
        <v>médio</v>
      </c>
      <c r="Q8" s="601"/>
      <c r="R8" s="600" t="str">
        <f>IF(R7=0,"não avaliado",IF(R7&lt;=1.5,"muito baixo",IF(R7&lt;=2.5,"baixo",IF(R7&lt;=3.5,"médio","alto"))))</f>
        <v>médio</v>
      </c>
      <c r="S8" s="601"/>
      <c r="T8" s="422" t="s">
        <v>10</v>
      </c>
      <c r="U8" s="429"/>
    </row>
    <row r="9" spans="1:21" ht="29.25" customHeight="1" x14ac:dyDescent="0.45">
      <c r="D9" s="467" t="s">
        <v>203</v>
      </c>
      <c r="E9" s="467"/>
      <c r="F9" s="467"/>
      <c r="G9" s="467"/>
      <c r="H9" s="467"/>
      <c r="I9" s="467"/>
      <c r="J9" s="467"/>
      <c r="K9" s="467"/>
      <c r="L9" s="519">
        <f>'Matriz de Pesos e Notas'!E141</f>
        <v>2.0499999999999998</v>
      </c>
      <c r="M9" s="519"/>
      <c r="N9" s="519"/>
      <c r="O9" s="449"/>
      <c r="P9" s="449"/>
      <c r="Q9" s="449"/>
      <c r="R9" s="449"/>
      <c r="S9" s="449"/>
      <c r="T9" s="422" t="s">
        <v>10</v>
      </c>
      <c r="U9" s="429"/>
    </row>
    <row r="10" spans="1:21" ht="30" customHeight="1" x14ac:dyDescent="0.45">
      <c r="D10" s="468" t="s">
        <v>204</v>
      </c>
      <c r="E10" s="468"/>
      <c r="F10" s="468"/>
      <c r="G10" s="468"/>
      <c r="H10" s="468"/>
      <c r="I10" s="468"/>
      <c r="J10" s="468"/>
      <c r="K10" s="468"/>
      <c r="M10" s="450"/>
      <c r="N10" s="451">
        <f>refinarNota5(L9)</f>
        <v>2</v>
      </c>
      <c r="O10" s="449"/>
      <c r="P10" s="449"/>
      <c r="Q10" s="449"/>
      <c r="R10" s="449"/>
      <c r="S10" s="449"/>
      <c r="T10" s="422" t="s">
        <v>10</v>
      </c>
      <c r="U10" s="429"/>
    </row>
    <row r="11" spans="1:21" x14ac:dyDescent="0.2">
      <c r="A11" s="416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16"/>
      <c r="O11" s="416"/>
      <c r="P11" s="416"/>
      <c r="Q11" s="416"/>
      <c r="R11" s="416"/>
      <c r="S11" s="416"/>
      <c r="T11" s="422"/>
    </row>
    <row r="12" spans="1:21" x14ac:dyDescent="0.2">
      <c r="A12" s="416"/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16"/>
      <c r="O12" s="416"/>
      <c r="P12" s="416"/>
      <c r="Q12" s="416"/>
      <c r="R12" s="416"/>
      <c r="S12" s="416"/>
      <c r="T12" s="416"/>
    </row>
    <row r="14" spans="1:21" s="452" customFormat="1" ht="12.75" x14ac:dyDescent="0.2"/>
    <row r="15" spans="1:21" s="452" customFormat="1" ht="12.75" x14ac:dyDescent="0.2"/>
    <row r="16" spans="1:21" s="452" customFormat="1" ht="12.75" x14ac:dyDescent="0.2"/>
    <row r="17" s="452" customFormat="1" ht="12.75" x14ac:dyDescent="0.2"/>
    <row r="18" s="452" customFormat="1" ht="12.75" x14ac:dyDescent="0.2"/>
    <row r="19" s="452" customFormat="1" ht="12.75" x14ac:dyDescent="0.2"/>
    <row r="20" s="452" customFormat="1" ht="12.75" x14ac:dyDescent="0.2"/>
    <row r="21" s="452" customFormat="1" ht="12.75" x14ac:dyDescent="0.2"/>
    <row r="22" s="452" customFormat="1" ht="12.75" x14ac:dyDescent="0.2"/>
    <row r="23" s="452" customFormat="1" ht="12.75" x14ac:dyDescent="0.2"/>
    <row r="24" s="452" customFormat="1" ht="12.75" x14ac:dyDescent="0.2"/>
  </sheetData>
  <mergeCells count="38">
    <mergeCell ref="L9:N9"/>
    <mergeCell ref="R7:S7"/>
    <mergeCell ref="B8:C8"/>
    <mergeCell ref="D8:E8"/>
    <mergeCell ref="F8:G8"/>
    <mergeCell ref="H8:I8"/>
    <mergeCell ref="L8:M8"/>
    <mergeCell ref="N8:O8"/>
    <mergeCell ref="R8:S8"/>
    <mergeCell ref="P8:Q8"/>
    <mergeCell ref="B4:C4"/>
    <mergeCell ref="D4:E4"/>
    <mergeCell ref="F4:G4"/>
    <mergeCell ref="H4:I4"/>
    <mergeCell ref="L4:M4"/>
    <mergeCell ref="A6:A7"/>
    <mergeCell ref="B7:C7"/>
    <mergeCell ref="D7:E7"/>
    <mergeCell ref="F7:G7"/>
    <mergeCell ref="H7:I7"/>
    <mergeCell ref="R3:S3"/>
    <mergeCell ref="J7:K7"/>
    <mergeCell ref="J8:K8"/>
    <mergeCell ref="N4:O4"/>
    <mergeCell ref="P4:Q4"/>
    <mergeCell ref="J3:K3"/>
    <mergeCell ref="J4:K4"/>
    <mergeCell ref="N7:O7"/>
    <mergeCell ref="P7:Q7"/>
    <mergeCell ref="P3:Q3"/>
    <mergeCell ref="N3:O3"/>
    <mergeCell ref="R4:S4"/>
    <mergeCell ref="L7:M7"/>
    <mergeCell ref="B3:C3"/>
    <mergeCell ref="D3:E3"/>
    <mergeCell ref="F3:G3"/>
    <mergeCell ref="H3:I3"/>
    <mergeCell ref="L3:M3"/>
  </mergeCells>
  <conditionalFormatting sqref="A6">
    <cfRule type="cellIs" dxfId="14" priority="27" stopIfTrue="1" operator="equal">
      <formula>#REF!</formula>
    </cfRule>
  </conditionalFormatting>
  <conditionalFormatting sqref="A6">
    <cfRule type="cellIs" dxfId="13" priority="26" stopIfTrue="1" operator="equal">
      <formula>#REF!</formula>
    </cfRule>
  </conditionalFormatting>
  <conditionalFormatting sqref="B6:S7">
    <cfRule type="cellIs" dxfId="12" priority="22" stopIfTrue="1" operator="greaterThanOrEqual">
      <formula>3.5</formula>
    </cfRule>
    <cfRule type="cellIs" dxfId="11" priority="23" stopIfTrue="1" operator="between">
      <formula>2.5</formula>
      <formula>3.49</formula>
    </cfRule>
    <cfRule type="cellIs" dxfId="10" priority="24" stopIfTrue="1" operator="between">
      <formula>1.5</formula>
      <formula>2.49</formula>
    </cfRule>
    <cfRule type="cellIs" dxfId="9" priority="25" stopIfTrue="1" operator="lessThan">
      <formula>1.5</formula>
    </cfRule>
  </conditionalFormatting>
  <conditionalFormatting sqref="N10">
    <cfRule type="cellIs" dxfId="8" priority="18" stopIfTrue="1" operator="equal">
      <formula>4</formula>
    </cfRule>
    <cfRule type="cellIs" dxfId="7" priority="19" stopIfTrue="1" operator="equal">
      <formula>3</formula>
    </cfRule>
    <cfRule type="cellIs" dxfId="6" priority="20" stopIfTrue="1" operator="equal">
      <formula>2</formula>
    </cfRule>
    <cfRule type="cellIs" dxfId="5" priority="21" stopIfTrue="1" operator="equal">
      <formula>1</formula>
    </cfRule>
  </conditionalFormatting>
  <pageMargins left="0.51181102362204722" right="0.51181102362204722" top="0.78740157480314965" bottom="0.78740157480314965" header="0.31496062992125984" footer="0.31496062992125984"/>
  <pageSetup paperSize="9" scale="75" orientation="landscape" horizontalDpi="1200" verticalDpi="24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B1:Q14"/>
  <sheetViews>
    <sheetView workbookViewId="0">
      <selection activeCell="E5" sqref="E5"/>
    </sheetView>
  </sheetViews>
  <sheetFormatPr defaultRowHeight="12.75" x14ac:dyDescent="0.2"/>
  <cols>
    <col min="1" max="1" width="10" customWidth="1"/>
    <col min="2" max="2" width="21.28515625" customWidth="1"/>
    <col min="3" max="5" width="12.5703125" bestFit="1" customWidth="1"/>
  </cols>
  <sheetData>
    <row r="1" spans="2:17" x14ac:dyDescent="0.2">
      <c r="B1" s="299" t="s">
        <v>162</v>
      </c>
    </row>
    <row r="3" spans="2:17" x14ac:dyDescent="0.2">
      <c r="B3" s="303" t="s">
        <v>151</v>
      </c>
      <c r="C3" s="301">
        <v>2008</v>
      </c>
      <c r="D3" s="301">
        <v>2009</v>
      </c>
      <c r="E3" s="301">
        <v>2011</v>
      </c>
    </row>
    <row r="4" spans="2:17" x14ac:dyDescent="0.2">
      <c r="B4" s="304" t="s">
        <v>9</v>
      </c>
      <c r="C4" s="349">
        <v>1.59</v>
      </c>
      <c r="D4" s="349">
        <v>2.02</v>
      </c>
      <c r="E4" s="459">
        <f>IF('Matriz de Pesos e Notas'!E141&gt;0,'Matriz de Pesos e Notas'!E141,#N/A)</f>
        <v>2.0499999999999998</v>
      </c>
      <c r="H4" s="595" t="s">
        <v>160</v>
      </c>
      <c r="I4" s="595"/>
      <c r="J4" s="595"/>
      <c r="K4" s="595"/>
      <c r="L4" s="595"/>
      <c r="M4" s="595"/>
      <c r="N4" s="595"/>
      <c r="O4" s="595"/>
      <c r="P4" s="595"/>
    </row>
    <row r="5" spans="2:17" x14ac:dyDescent="0.2">
      <c r="B5" s="304"/>
      <c r="C5" s="349"/>
      <c r="D5" s="349"/>
      <c r="E5" s="459"/>
      <c r="H5" s="595" t="s">
        <v>161</v>
      </c>
      <c r="I5" s="595"/>
      <c r="J5" s="595"/>
      <c r="K5" s="595"/>
      <c r="L5" s="595"/>
      <c r="M5" s="595"/>
      <c r="N5" s="595"/>
      <c r="O5" s="595"/>
      <c r="P5" s="595"/>
    </row>
    <row r="6" spans="2:17" x14ac:dyDescent="0.2">
      <c r="B6" s="304" t="s">
        <v>12</v>
      </c>
      <c r="C6" s="350">
        <v>1.62</v>
      </c>
      <c r="D6" s="350">
        <v>1.62</v>
      </c>
      <c r="E6" s="460">
        <f>IF('Matriz de Pesos e Notas'!H141,'Matriz de Pesos e Notas'!H141,#N/A)</f>
        <v>2.1</v>
      </c>
    </row>
    <row r="7" spans="2:17" x14ac:dyDescent="0.2">
      <c r="B7" s="304" t="s">
        <v>2</v>
      </c>
      <c r="C7" s="350">
        <v>1.54</v>
      </c>
      <c r="D7" s="350">
        <v>1.63</v>
      </c>
      <c r="E7" s="460">
        <f>IF('Matriz de Pesos e Notas'!L141,'Matriz de Pesos e Notas'!L141,#N/A)</f>
        <v>2</v>
      </c>
    </row>
    <row r="8" spans="2:17" ht="12.75" customHeight="1" x14ac:dyDescent="0.2">
      <c r="B8" s="304" t="s">
        <v>3</v>
      </c>
      <c r="C8" s="350">
        <v>1.34</v>
      </c>
      <c r="D8" s="350">
        <v>1.34</v>
      </c>
      <c r="E8" s="460">
        <f>IF('Matriz de Pesos e Notas'!O141,'Matriz de Pesos e Notas'!O141,#N/A)</f>
        <v>1.4500000000000002</v>
      </c>
    </row>
    <row r="9" spans="2:17" x14ac:dyDescent="0.2">
      <c r="B9" s="304" t="s">
        <v>11</v>
      </c>
      <c r="C9" s="350">
        <v>1.17</v>
      </c>
      <c r="D9" s="350">
        <v>1.18</v>
      </c>
      <c r="E9" s="460">
        <f>IF('Matriz de Pesos e Notas'!R141,'Matriz de Pesos e Notas'!R141,#N/A)</f>
        <v>1.85</v>
      </c>
      <c r="H9" s="596" t="s">
        <v>196</v>
      </c>
      <c r="I9" s="597"/>
      <c r="J9" s="597"/>
      <c r="K9" s="597"/>
      <c r="L9" s="597"/>
      <c r="M9" s="597"/>
      <c r="N9" s="597"/>
      <c r="O9" s="597"/>
      <c r="P9" s="597"/>
      <c r="Q9" s="597"/>
    </row>
    <row r="10" spans="2:17" x14ac:dyDescent="0.2">
      <c r="B10" s="304" t="s">
        <v>206</v>
      </c>
      <c r="C10" s="350">
        <v>1</v>
      </c>
      <c r="D10" s="350">
        <v>1</v>
      </c>
      <c r="E10" s="460">
        <f>IF('Matriz de Pesos e Notas'!U141,'Matriz de Pesos e Notas'!U141,#N/A)</f>
        <v>2</v>
      </c>
      <c r="H10" s="597"/>
      <c r="I10" s="597"/>
      <c r="J10" s="597"/>
      <c r="K10" s="597"/>
      <c r="L10" s="597"/>
      <c r="M10" s="597"/>
      <c r="N10" s="597"/>
      <c r="O10" s="597"/>
      <c r="P10" s="597"/>
      <c r="Q10" s="597"/>
    </row>
    <row r="11" spans="2:17" x14ac:dyDescent="0.2">
      <c r="B11" s="304" t="s">
        <v>0</v>
      </c>
      <c r="C11" s="350">
        <v>1.41</v>
      </c>
      <c r="D11" s="350">
        <v>2</v>
      </c>
      <c r="E11" s="460">
        <f>IF('Matriz de Pesos e Notas'!X141,'Matriz de Pesos e Notas'!X141,#N/A)</f>
        <v>2</v>
      </c>
      <c r="H11" s="596" t="s">
        <v>195</v>
      </c>
      <c r="I11" s="597"/>
      <c r="J11" s="597"/>
      <c r="K11" s="597"/>
      <c r="L11" s="597"/>
      <c r="M11" s="597"/>
      <c r="N11" s="597"/>
      <c r="O11" s="597"/>
      <c r="P11" s="597"/>
      <c r="Q11" s="597"/>
    </row>
    <row r="12" spans="2:17" x14ac:dyDescent="0.2">
      <c r="B12" s="304" t="s">
        <v>158</v>
      </c>
      <c r="C12" s="350">
        <v>2.44</v>
      </c>
      <c r="D12" s="350">
        <v>2.44</v>
      </c>
      <c r="E12" s="460">
        <f>IF('Matriz de Pesos e Notas'!AA141,'Matriz de Pesos e Notas'!AA141,#N/A)</f>
        <v>1.4500000000000002</v>
      </c>
      <c r="H12" s="597"/>
      <c r="I12" s="597"/>
      <c r="J12" s="597"/>
      <c r="K12" s="597"/>
      <c r="L12" s="597"/>
      <c r="M12" s="597"/>
      <c r="N12" s="597"/>
      <c r="O12" s="597"/>
      <c r="P12" s="597"/>
      <c r="Q12" s="597"/>
    </row>
    <row r="13" spans="2:17" x14ac:dyDescent="0.2">
      <c r="B13" s="304" t="s">
        <v>144</v>
      </c>
      <c r="C13" s="350">
        <v>4</v>
      </c>
      <c r="D13" s="350">
        <v>4</v>
      </c>
      <c r="E13" s="460">
        <f>IF('Matriz de Pesos e Notas'!AD141,'Matriz de Pesos e Notas'!AD141,#N/A)</f>
        <v>2.6500000000000004</v>
      </c>
    </row>
    <row r="14" spans="2:17" x14ac:dyDescent="0.2">
      <c r="B14" s="304" t="s">
        <v>58</v>
      </c>
      <c r="C14" s="350">
        <v>1.55</v>
      </c>
      <c r="D14" s="350">
        <v>1</v>
      </c>
      <c r="E14" s="460">
        <f>IF('Matriz de Pesos e Notas'!AG141,'Matriz de Pesos e Notas'!AG141,#N/A)</f>
        <v>3.1</v>
      </c>
    </row>
  </sheetData>
  <mergeCells count="4">
    <mergeCell ref="H11:Q12"/>
    <mergeCell ref="H4:P4"/>
    <mergeCell ref="H5:P5"/>
    <mergeCell ref="H9:Q10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E19"/>
  <sheetViews>
    <sheetView topLeftCell="A22" workbookViewId="0"/>
  </sheetViews>
  <sheetFormatPr defaultRowHeight="12.75" x14ac:dyDescent="0.2"/>
  <cols>
    <col min="1" max="1" width="2.85546875" style="284" customWidth="1"/>
    <col min="2" max="2" width="44.85546875" style="284" customWidth="1"/>
    <col min="3" max="3" width="53.140625" style="284" customWidth="1"/>
    <col min="4" max="4" width="14.28515625" style="284" bestFit="1" customWidth="1"/>
    <col min="5" max="5" width="14.7109375" style="284" customWidth="1"/>
    <col min="6" max="16384" width="9.140625" style="284"/>
  </cols>
  <sheetData>
    <row r="2" spans="2:5" ht="32.25" customHeight="1" x14ac:dyDescent="0.3">
      <c r="B2" s="603" t="s">
        <v>168</v>
      </c>
      <c r="C2" s="604"/>
      <c r="D2" s="604"/>
      <c r="E2" s="605"/>
    </row>
    <row r="3" spans="2:5" ht="30" customHeight="1" thickBot="1" x14ac:dyDescent="0.25">
      <c r="B3" s="362" t="s">
        <v>169</v>
      </c>
      <c r="C3" s="363" t="s">
        <v>18</v>
      </c>
      <c r="D3" s="363" t="s">
        <v>37</v>
      </c>
      <c r="E3" s="364" t="s">
        <v>170</v>
      </c>
    </row>
    <row r="4" spans="2:5" s="369" customFormat="1" ht="22.5" x14ac:dyDescent="0.3">
      <c r="B4" s="365" t="s">
        <v>171</v>
      </c>
      <c r="C4" s="366"/>
      <c r="D4" s="367">
        <v>4</v>
      </c>
      <c r="E4" s="368">
        <v>0.25</v>
      </c>
    </row>
    <row r="5" spans="2:5" s="369" customFormat="1" ht="39.75" x14ac:dyDescent="0.3">
      <c r="B5" s="461" t="s">
        <v>199</v>
      </c>
      <c r="C5" s="370"/>
      <c r="D5" s="371">
        <v>4</v>
      </c>
      <c r="E5" s="372">
        <v>0.125</v>
      </c>
    </row>
    <row r="6" spans="2:5" s="369" customFormat="1" ht="39.75" x14ac:dyDescent="0.3">
      <c r="B6" s="461" t="s">
        <v>205</v>
      </c>
      <c r="C6" s="373"/>
      <c r="D6" s="374">
        <v>3.2</v>
      </c>
      <c r="E6" s="375">
        <v>0.16700000000000001</v>
      </c>
    </row>
    <row r="7" spans="2:5" s="369" customFormat="1" ht="22.5" x14ac:dyDescent="0.3">
      <c r="B7" s="376"/>
      <c r="C7" s="370"/>
      <c r="D7" s="377"/>
      <c r="E7" s="378"/>
    </row>
    <row r="8" spans="2:5" s="369" customFormat="1" ht="22.5" x14ac:dyDescent="0.3">
      <c r="B8" s="376"/>
      <c r="C8" s="370"/>
      <c r="D8" s="379"/>
      <c r="E8" s="380"/>
    </row>
    <row r="9" spans="2:5" x14ac:dyDescent="0.2">
      <c r="B9" s="381" t="s">
        <v>172</v>
      </c>
      <c r="C9" s="286"/>
      <c r="D9" s="286"/>
      <c r="E9" s="286"/>
    </row>
    <row r="13" spans="2:5" ht="23.25" thickBot="1" x14ac:dyDescent="0.25">
      <c r="B13" s="606" t="s">
        <v>200</v>
      </c>
      <c r="C13" s="606"/>
      <c r="D13" s="606"/>
      <c r="E13" s="606"/>
    </row>
    <row r="14" spans="2:5" ht="20.25" thickTop="1" x14ac:dyDescent="0.25">
      <c r="B14" s="607"/>
      <c r="C14" s="607"/>
      <c r="D14" s="607"/>
      <c r="E14" s="607"/>
    </row>
    <row r="15" spans="2:5" ht="19.5" x14ac:dyDescent="0.25">
      <c r="B15" s="602"/>
      <c r="C15" s="602"/>
      <c r="D15" s="602"/>
      <c r="E15" s="602"/>
    </row>
    <row r="16" spans="2:5" ht="19.5" x14ac:dyDescent="0.25">
      <c r="B16" s="602"/>
      <c r="C16" s="602"/>
      <c r="D16" s="602"/>
      <c r="E16" s="602"/>
    </row>
    <row r="17" spans="2:5" ht="19.5" x14ac:dyDescent="0.25">
      <c r="B17" s="602"/>
      <c r="C17" s="602"/>
      <c r="D17" s="602"/>
      <c r="E17" s="602"/>
    </row>
    <row r="18" spans="2:5" ht="19.5" x14ac:dyDescent="0.25">
      <c r="B18" s="602"/>
      <c r="C18" s="602"/>
      <c r="D18" s="602"/>
      <c r="E18" s="602"/>
    </row>
    <row r="19" spans="2:5" x14ac:dyDescent="0.2">
      <c r="B19" s="382"/>
    </row>
  </sheetData>
  <mergeCells count="7">
    <mergeCell ref="B18:E18"/>
    <mergeCell ref="B2:E2"/>
    <mergeCell ref="B13:E13"/>
    <mergeCell ref="B14:E14"/>
    <mergeCell ref="B15:E15"/>
    <mergeCell ref="B16:E16"/>
    <mergeCell ref="B17:E17"/>
  </mergeCells>
  <conditionalFormatting sqref="B9 B19">
    <cfRule type="expression" dxfId="4" priority="1" stopIfTrue="1">
      <formula>(MID(B9,1,1)=" ")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G15"/>
  <sheetViews>
    <sheetView showGridLines="0" workbookViewId="0"/>
  </sheetViews>
  <sheetFormatPr defaultRowHeight="12.75" x14ac:dyDescent="0.2"/>
  <cols>
    <col min="1" max="1" width="5.7109375" style="237" customWidth="1"/>
    <col min="2" max="2" width="33.28515625" style="237" customWidth="1"/>
    <col min="3" max="3" width="17.140625" style="237" hidden="1" customWidth="1"/>
    <col min="4" max="4" width="22.7109375" style="237" customWidth="1"/>
    <col min="5" max="5" width="37.140625" style="237" customWidth="1"/>
    <col min="6" max="6" width="2.85546875" style="237" customWidth="1"/>
    <col min="7" max="16384" width="9.140625" style="237"/>
  </cols>
  <sheetData>
    <row r="1" spans="1:7" x14ac:dyDescent="0.2">
      <c r="A1" s="305"/>
      <c r="B1" s="305"/>
      <c r="C1" s="305"/>
      <c r="D1" s="305"/>
      <c r="E1" s="305"/>
      <c r="F1" s="305"/>
      <c r="G1" s="238"/>
    </row>
    <row r="2" spans="1:7" ht="22.5" x14ac:dyDescent="0.2">
      <c r="A2" s="305"/>
      <c r="B2" s="610" t="s">
        <v>149</v>
      </c>
      <c r="C2" s="610"/>
      <c r="D2" s="610"/>
      <c r="E2" s="610"/>
      <c r="F2" s="342"/>
      <c r="G2" s="238"/>
    </row>
    <row r="3" spans="1:7" s="307" customFormat="1" ht="28.5" customHeight="1" x14ac:dyDescent="0.25">
      <c r="A3" s="306"/>
      <c r="B3" s="615" t="s">
        <v>185</v>
      </c>
      <c r="C3" s="616"/>
      <c r="D3" s="611" t="s">
        <v>150</v>
      </c>
      <c r="E3" s="613" t="s">
        <v>155</v>
      </c>
      <c r="F3" s="343"/>
      <c r="G3" s="344"/>
    </row>
    <row r="4" spans="1:7" s="307" customFormat="1" ht="28.5" customHeight="1" x14ac:dyDescent="0.25">
      <c r="A4" s="306"/>
      <c r="B4" s="617"/>
      <c r="C4" s="618"/>
      <c r="D4" s="612"/>
      <c r="E4" s="614"/>
      <c r="F4" s="343"/>
      <c r="G4" s="344"/>
    </row>
    <row r="5" spans="1:7" s="310" customFormat="1" ht="97.5" customHeight="1" thickBot="1" x14ac:dyDescent="0.25">
      <c r="A5" s="308"/>
      <c r="B5" s="608">
        <v>100</v>
      </c>
      <c r="C5" s="609"/>
      <c r="D5" s="309">
        <v>90</v>
      </c>
      <c r="E5" s="346">
        <f>(D5-B5)/B5</f>
        <v>-0.1</v>
      </c>
      <c r="F5" s="315"/>
      <c r="G5" s="345"/>
    </row>
    <row r="6" spans="1:7" s="236" customFormat="1" ht="15.75" thickTop="1" x14ac:dyDescent="0.2">
      <c r="A6" s="311"/>
      <c r="B6" s="312"/>
      <c r="C6" s="313"/>
      <c r="D6" s="313"/>
      <c r="E6" s="314"/>
      <c r="F6" s="314"/>
      <c r="G6" s="340"/>
    </row>
    <row r="7" spans="1:7" x14ac:dyDescent="0.2">
      <c r="A7" s="305"/>
      <c r="B7" s="316"/>
      <c r="C7" s="341"/>
      <c r="D7" s="341"/>
      <c r="F7" s="341"/>
      <c r="G7" s="238"/>
    </row>
    <row r="8" spans="1:7" x14ac:dyDescent="0.2">
      <c r="A8" s="305"/>
      <c r="B8" s="238"/>
      <c r="C8" s="305"/>
      <c r="D8" s="305"/>
      <c r="E8" s="305"/>
      <c r="F8" s="305"/>
      <c r="G8" s="238"/>
    </row>
    <row r="9" spans="1:7" x14ac:dyDescent="0.2">
      <c r="A9" s="305"/>
      <c r="B9" s="305"/>
      <c r="C9" s="305"/>
      <c r="D9" s="305"/>
      <c r="E9" s="305"/>
      <c r="F9" s="305"/>
      <c r="G9" s="305"/>
    </row>
    <row r="10" spans="1:7" x14ac:dyDescent="0.2">
      <c r="B10" s="317"/>
      <c r="C10" s="317"/>
      <c r="D10" s="317"/>
      <c r="E10" s="317"/>
      <c r="F10" s="317"/>
    </row>
    <row r="11" spans="1:7" x14ac:dyDescent="0.2">
      <c r="B11" s="317"/>
      <c r="C11" s="317"/>
      <c r="D11" s="317"/>
      <c r="E11" s="317"/>
      <c r="F11" s="317"/>
    </row>
    <row r="15" spans="1:7" x14ac:dyDescent="0.2">
      <c r="E15" s="341"/>
      <c r="F15" s="341"/>
    </row>
  </sheetData>
  <mergeCells count="5">
    <mergeCell ref="B5:C5"/>
    <mergeCell ref="B2:E2"/>
    <mergeCell ref="D3:D4"/>
    <mergeCell ref="E3:E4"/>
    <mergeCell ref="B3:C4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J40"/>
  <sheetViews>
    <sheetView workbookViewId="0">
      <selection activeCell="L19" sqref="L19"/>
    </sheetView>
  </sheetViews>
  <sheetFormatPr defaultRowHeight="12.75" x14ac:dyDescent="0.2"/>
  <cols>
    <col min="1" max="1" width="3.140625" customWidth="1"/>
    <col min="2" max="2" width="35.7109375" customWidth="1"/>
    <col min="3" max="3" width="10.28515625" customWidth="1"/>
    <col min="4" max="4" width="13.5703125" customWidth="1"/>
    <col min="5" max="5" width="7.7109375" customWidth="1"/>
    <col min="6" max="6" width="42.140625" bestFit="1" customWidth="1"/>
    <col min="7" max="8" width="10.28515625" customWidth="1"/>
    <col min="9" max="9" width="3.7109375" customWidth="1"/>
  </cols>
  <sheetData>
    <row r="1" spans="1:9" x14ac:dyDescent="0.2">
      <c r="A1" s="318"/>
      <c r="B1" s="318"/>
      <c r="C1" s="318"/>
      <c r="D1" s="318"/>
      <c r="E1" s="318"/>
      <c r="F1" s="318"/>
      <c r="G1" s="318"/>
      <c r="H1" s="318"/>
      <c r="I1" s="318"/>
    </row>
    <row r="2" spans="1:9" ht="13.5" thickBot="1" x14ac:dyDescent="0.25">
      <c r="A2" s="318"/>
      <c r="B2" s="319"/>
      <c r="C2" s="319"/>
      <c r="D2" s="320" t="s">
        <v>105</v>
      </c>
      <c r="E2" s="321"/>
      <c r="F2" s="319"/>
      <c r="G2" s="319"/>
      <c r="H2" s="320" t="s">
        <v>106</v>
      </c>
      <c r="I2" s="318"/>
    </row>
    <row r="3" spans="1:9" x14ac:dyDescent="0.2">
      <c r="A3" s="318"/>
      <c r="B3" s="322" t="s">
        <v>152</v>
      </c>
      <c r="C3" s="323"/>
      <c r="D3" s="323"/>
      <c r="E3" s="323"/>
      <c r="F3" s="322"/>
      <c r="G3" s="619" t="s">
        <v>188</v>
      </c>
      <c r="H3" s="619"/>
      <c r="I3" s="318"/>
    </row>
    <row r="4" spans="1:9" x14ac:dyDescent="0.2">
      <c r="A4" s="318"/>
      <c r="B4" s="323"/>
      <c r="C4" s="324" t="s">
        <v>107</v>
      </c>
      <c r="D4" s="324" t="s">
        <v>108</v>
      </c>
      <c r="E4" s="276"/>
      <c r="F4" s="323"/>
      <c r="G4" s="324" t="s">
        <v>107</v>
      </c>
      <c r="H4" s="324" t="s">
        <v>108</v>
      </c>
      <c r="I4" s="318"/>
    </row>
    <row r="5" spans="1:9" x14ac:dyDescent="0.2">
      <c r="A5" s="318"/>
      <c r="B5" s="325" t="s">
        <v>109</v>
      </c>
      <c r="C5" s="326">
        <f>C7+C18</f>
        <v>628</v>
      </c>
      <c r="D5" s="501">
        <f>C5/$C$5</f>
        <v>1</v>
      </c>
      <c r="E5" s="276"/>
      <c r="F5" s="325" t="s">
        <v>110</v>
      </c>
      <c r="G5" s="326">
        <f>G7+G17</f>
        <v>628</v>
      </c>
      <c r="H5" s="501">
        <f>G5/$G$5</f>
        <v>1</v>
      </c>
      <c r="I5" s="318"/>
    </row>
    <row r="6" spans="1:9" x14ac:dyDescent="0.2">
      <c r="A6" s="318"/>
      <c r="B6" s="276"/>
      <c r="C6" s="276"/>
      <c r="D6" s="277"/>
      <c r="E6" s="276"/>
      <c r="F6" s="276"/>
      <c r="G6" s="276"/>
      <c r="H6" s="277"/>
      <c r="I6" s="318"/>
    </row>
    <row r="7" spans="1:9" x14ac:dyDescent="0.2">
      <c r="A7" s="318"/>
      <c r="B7" s="325" t="s">
        <v>111</v>
      </c>
      <c r="C7" s="499">
        <f>SUM(C8:C15)</f>
        <v>587</v>
      </c>
      <c r="D7" s="501">
        <f>C7/$C$5</f>
        <v>0.9347133757961783</v>
      </c>
      <c r="E7" s="276"/>
      <c r="F7" s="325" t="s">
        <v>112</v>
      </c>
      <c r="G7" s="326">
        <f>SUM(G8:G16)</f>
        <v>526</v>
      </c>
      <c r="H7" s="501">
        <f>G7/$G$5</f>
        <v>0.83757961783439494</v>
      </c>
      <c r="I7" s="318"/>
    </row>
    <row r="8" spans="1:9" x14ac:dyDescent="0.2">
      <c r="A8" s="318"/>
      <c r="B8" s="330" t="s">
        <v>113</v>
      </c>
      <c r="C8" s="498">
        <v>284</v>
      </c>
      <c r="D8" s="501">
        <f t="shared" ref="D8:D13" si="0">C8/$C$5</f>
        <v>0.45222929936305734</v>
      </c>
      <c r="E8" s="276"/>
      <c r="F8" s="330" t="s">
        <v>153</v>
      </c>
      <c r="G8" s="331">
        <v>141</v>
      </c>
      <c r="H8" s="501">
        <f t="shared" ref="H8:H14" si="1">G8/$G$5</f>
        <v>0.22452229299363058</v>
      </c>
      <c r="I8" s="318"/>
    </row>
    <row r="9" spans="1:9" x14ac:dyDescent="0.2">
      <c r="A9" s="318"/>
      <c r="B9" s="330" t="s">
        <v>114</v>
      </c>
      <c r="C9" s="498">
        <v>158</v>
      </c>
      <c r="D9" s="501">
        <f t="shared" si="0"/>
        <v>0.25159235668789809</v>
      </c>
      <c r="E9" s="276"/>
      <c r="F9" s="330" t="s">
        <v>154</v>
      </c>
      <c r="G9" s="331">
        <v>99</v>
      </c>
      <c r="H9" s="501">
        <f t="shared" si="1"/>
        <v>0.15764331210191082</v>
      </c>
      <c r="I9" s="318"/>
    </row>
    <row r="10" spans="1:9" x14ac:dyDescent="0.2">
      <c r="A10" s="318"/>
      <c r="B10" s="330" t="s">
        <v>115</v>
      </c>
      <c r="C10" s="498">
        <v>50</v>
      </c>
      <c r="D10" s="501">
        <f t="shared" si="0"/>
        <v>7.9617834394904455E-2</v>
      </c>
      <c r="E10" s="276"/>
      <c r="F10" s="330" t="s">
        <v>116</v>
      </c>
      <c r="G10" s="331">
        <v>73</v>
      </c>
      <c r="H10" s="501">
        <f t="shared" si="1"/>
        <v>0.11624203821656051</v>
      </c>
      <c r="I10" s="318"/>
    </row>
    <row r="11" spans="1:9" x14ac:dyDescent="0.2">
      <c r="A11" s="318"/>
      <c r="B11" s="330" t="s">
        <v>117</v>
      </c>
      <c r="C11" s="498">
        <v>17</v>
      </c>
      <c r="D11" s="501">
        <f t="shared" si="0"/>
        <v>2.7070063694267517E-2</v>
      </c>
      <c r="E11" s="276"/>
      <c r="F11" s="330" t="s">
        <v>118</v>
      </c>
      <c r="G11" s="331">
        <v>49</v>
      </c>
      <c r="H11" s="501">
        <f t="shared" si="1"/>
        <v>7.8025477707006366E-2</v>
      </c>
      <c r="I11" s="318"/>
    </row>
    <row r="12" spans="1:9" x14ac:dyDescent="0.2">
      <c r="A12" s="318"/>
      <c r="B12" s="330" t="s">
        <v>119</v>
      </c>
      <c r="C12" s="498">
        <v>27</v>
      </c>
      <c r="D12" s="501">
        <f t="shared" si="0"/>
        <v>4.2993630573248405E-2</v>
      </c>
      <c r="E12" s="276"/>
      <c r="F12" s="330" t="s">
        <v>166</v>
      </c>
      <c r="G12" s="331">
        <v>47</v>
      </c>
      <c r="H12" s="501">
        <f t="shared" si="1"/>
        <v>7.4840764331210188E-2</v>
      </c>
      <c r="I12" s="318"/>
    </row>
    <row r="13" spans="1:9" x14ac:dyDescent="0.2">
      <c r="A13" s="318"/>
      <c r="B13" s="325"/>
      <c r="C13" s="498">
        <v>51</v>
      </c>
      <c r="D13" s="501">
        <f t="shared" si="0"/>
        <v>8.1210191082802544E-2</v>
      </c>
      <c r="E13" s="276"/>
      <c r="F13" s="330" t="s">
        <v>120</v>
      </c>
      <c r="G13" s="331">
        <v>37</v>
      </c>
      <c r="H13" s="501">
        <f t="shared" si="1"/>
        <v>5.89171974522293E-2</v>
      </c>
      <c r="I13" s="318"/>
    </row>
    <row r="14" spans="1:9" x14ac:dyDescent="0.2">
      <c r="A14" s="318"/>
      <c r="B14" s="325"/>
      <c r="C14" s="331"/>
      <c r="D14" s="329"/>
      <c r="E14" s="276"/>
      <c r="F14" s="330"/>
      <c r="G14" s="331">
        <v>80</v>
      </c>
      <c r="H14" s="501">
        <f t="shared" si="1"/>
        <v>0.12738853503184713</v>
      </c>
      <c r="I14" s="318"/>
    </row>
    <row r="15" spans="1:9" x14ac:dyDescent="0.2">
      <c r="A15" s="318"/>
      <c r="B15" s="325"/>
      <c r="C15" s="331"/>
      <c r="D15" s="329"/>
      <c r="E15" s="276"/>
      <c r="F15" s="330"/>
      <c r="G15" s="331"/>
      <c r="H15" s="329"/>
      <c r="I15" s="318"/>
    </row>
    <row r="16" spans="1:9" x14ac:dyDescent="0.2">
      <c r="A16" s="318"/>
      <c r="B16" s="325"/>
      <c r="C16" s="331"/>
      <c r="D16" s="329"/>
      <c r="E16" s="276"/>
      <c r="F16" s="330"/>
      <c r="G16" s="331"/>
      <c r="H16" s="329"/>
      <c r="I16" s="318"/>
    </row>
    <row r="17" spans="1:10" x14ac:dyDescent="0.2">
      <c r="A17" s="318"/>
      <c r="B17" s="325"/>
      <c r="C17" s="331"/>
      <c r="D17" s="329"/>
      <c r="E17" s="276"/>
      <c r="F17" s="325" t="s">
        <v>233</v>
      </c>
      <c r="G17" s="500">
        <f>SUM(G18:G19)</f>
        <v>102</v>
      </c>
      <c r="H17" s="501">
        <f>G17/$G$5</f>
        <v>0.16242038216560509</v>
      </c>
      <c r="I17" s="318"/>
    </row>
    <row r="18" spans="1:10" x14ac:dyDescent="0.2">
      <c r="A18" s="318"/>
      <c r="B18" s="325" t="s">
        <v>121</v>
      </c>
      <c r="C18" s="500">
        <v>41</v>
      </c>
      <c r="D18" s="501">
        <f>C18/$C$5</f>
        <v>6.5286624203821655E-2</v>
      </c>
      <c r="E18" s="276"/>
      <c r="F18" s="325" t="s">
        <v>122</v>
      </c>
      <c r="G18" s="331">
        <v>66</v>
      </c>
      <c r="H18" s="501">
        <f>G18/$G$5</f>
        <v>0.10509554140127389</v>
      </c>
      <c r="I18" s="318"/>
    </row>
    <row r="19" spans="1:10" x14ac:dyDescent="0.2">
      <c r="A19" s="318"/>
      <c r="B19" s="325"/>
      <c r="C19" s="331"/>
      <c r="D19" s="329"/>
      <c r="E19" s="276"/>
      <c r="F19" s="325" t="s">
        <v>123</v>
      </c>
      <c r="G19" s="331">
        <v>36</v>
      </c>
      <c r="H19" s="501">
        <f>G19/$G$5</f>
        <v>5.7324840764331211E-2</v>
      </c>
      <c r="I19" s="318"/>
    </row>
    <row r="20" spans="1:10" x14ac:dyDescent="0.2">
      <c r="A20" s="318"/>
      <c r="E20" s="276"/>
      <c r="F20" s="276"/>
      <c r="G20" s="276"/>
      <c r="H20" s="276"/>
      <c r="I20" s="318"/>
    </row>
    <row r="21" spans="1:10" x14ac:dyDescent="0.2">
      <c r="A21" s="318"/>
      <c r="B21" s="332"/>
      <c r="C21" s="332"/>
      <c r="D21" s="333" t="s">
        <v>186</v>
      </c>
      <c r="E21" s="276"/>
      <c r="F21" s="332"/>
      <c r="G21" s="332"/>
      <c r="H21" s="333" t="s">
        <v>124</v>
      </c>
      <c r="I21" s="318"/>
    </row>
    <row r="22" spans="1:10" x14ac:dyDescent="0.2">
      <c r="A22" s="318"/>
      <c r="B22" s="276"/>
      <c r="C22" s="276"/>
      <c r="D22" s="276"/>
      <c r="E22" s="276"/>
      <c r="F22" s="620" t="s">
        <v>125</v>
      </c>
      <c r="G22" s="621"/>
      <c r="H22" s="330"/>
      <c r="I22" s="318"/>
    </row>
    <row r="23" spans="1:10" x14ac:dyDescent="0.2">
      <c r="A23" s="318"/>
      <c r="B23" s="334" t="s">
        <v>126</v>
      </c>
      <c r="C23" s="335" t="s">
        <v>127</v>
      </c>
      <c r="D23" s="336" t="s">
        <v>128</v>
      </c>
      <c r="E23" s="276"/>
      <c r="F23" s="620" t="s">
        <v>129</v>
      </c>
      <c r="G23" s="621"/>
      <c r="H23" s="330"/>
      <c r="I23" s="318"/>
    </row>
    <row r="24" spans="1:10" x14ac:dyDescent="0.2">
      <c r="A24" s="318"/>
      <c r="B24" s="325" t="s">
        <v>130</v>
      </c>
      <c r="C24" s="331"/>
      <c r="D24" s="330"/>
      <c r="E24" s="276"/>
      <c r="F24" s="622" t="s">
        <v>131</v>
      </c>
      <c r="G24" s="622"/>
      <c r="H24" s="622"/>
      <c r="I24" s="318"/>
    </row>
    <row r="25" spans="1:10" x14ac:dyDescent="0.2">
      <c r="A25" s="318"/>
      <c r="B25" s="325" t="s">
        <v>132</v>
      </c>
      <c r="C25" s="331"/>
      <c r="D25" s="330"/>
      <c r="E25" s="337"/>
      <c r="F25" s="620" t="s">
        <v>133</v>
      </c>
      <c r="G25" s="621">
        <v>1</v>
      </c>
      <c r="H25" s="330"/>
      <c r="I25" s="318"/>
    </row>
    <row r="26" spans="1:10" x14ac:dyDescent="0.2">
      <c r="A26" s="318"/>
      <c r="B26" s="325" t="s">
        <v>134</v>
      </c>
      <c r="C26" s="331"/>
      <c r="D26" s="330"/>
      <c r="E26" s="321"/>
      <c r="F26" s="620" t="s">
        <v>135</v>
      </c>
      <c r="G26" s="621">
        <v>2</v>
      </c>
      <c r="H26" s="330"/>
      <c r="I26" s="318"/>
    </row>
    <row r="27" spans="1:10" x14ac:dyDescent="0.2">
      <c r="A27" s="318"/>
      <c r="B27" s="325" t="s">
        <v>187</v>
      </c>
      <c r="C27" s="338"/>
      <c r="D27" s="338"/>
      <c r="E27" s="321"/>
      <c r="F27" s="620" t="s">
        <v>136</v>
      </c>
      <c r="G27" s="621">
        <v>3</v>
      </c>
      <c r="H27" s="330"/>
      <c r="I27" s="318"/>
    </row>
    <row r="28" spans="1:10" x14ac:dyDescent="0.2">
      <c r="A28" s="318"/>
      <c r="B28" s="321"/>
      <c r="C28" s="321"/>
      <c r="D28" s="321"/>
      <c r="I28" s="318"/>
    </row>
    <row r="29" spans="1:10" x14ac:dyDescent="0.2">
      <c r="A29" s="318"/>
      <c r="B29" s="339" t="s">
        <v>137</v>
      </c>
      <c r="C29" s="321"/>
      <c r="D29" s="321"/>
      <c r="F29" s="339"/>
      <c r="I29" s="318"/>
    </row>
    <row r="30" spans="1:10" x14ac:dyDescent="0.2">
      <c r="A30" s="318"/>
      <c r="B30" s="318"/>
      <c r="C30" s="318"/>
      <c r="D30" s="318"/>
      <c r="E30" s="318"/>
      <c r="F30" s="318"/>
      <c r="G30" s="318"/>
      <c r="H30" s="318"/>
      <c r="I30" s="318"/>
    </row>
    <row r="32" spans="1:10" x14ac:dyDescent="0.2">
      <c r="B32" s="595" t="s">
        <v>189</v>
      </c>
      <c r="C32" s="595"/>
      <c r="D32" s="595"/>
      <c r="E32" s="595"/>
      <c r="F32" s="595"/>
      <c r="G32" s="595"/>
      <c r="H32" s="595"/>
      <c r="I32" s="595"/>
      <c r="J32" s="595"/>
    </row>
    <row r="33" spans="2:2" ht="15" x14ac:dyDescent="0.25">
      <c r="B33" s="457" t="s">
        <v>190</v>
      </c>
    </row>
    <row r="34" spans="2:2" ht="15" x14ac:dyDescent="0.25">
      <c r="B34" s="458" t="s">
        <v>192</v>
      </c>
    </row>
    <row r="35" spans="2:2" ht="15" x14ac:dyDescent="0.25">
      <c r="B35" s="457" t="s">
        <v>191</v>
      </c>
    </row>
    <row r="36" spans="2:2" ht="15" x14ac:dyDescent="0.25">
      <c r="B36" s="458" t="s">
        <v>198</v>
      </c>
    </row>
    <row r="37" spans="2:2" ht="15" x14ac:dyDescent="0.25">
      <c r="B37" s="457" t="s">
        <v>193</v>
      </c>
    </row>
    <row r="38" spans="2:2" ht="15" x14ac:dyDescent="0.25">
      <c r="B38" s="458" t="s">
        <v>194</v>
      </c>
    </row>
    <row r="40" spans="2:2" ht="15" x14ac:dyDescent="0.25">
      <c r="B40" s="458"/>
    </row>
  </sheetData>
  <mergeCells count="8">
    <mergeCell ref="G3:H3"/>
    <mergeCell ref="B32:J32"/>
    <mergeCell ref="F26:G26"/>
    <mergeCell ref="F27:G27"/>
    <mergeCell ref="F22:G22"/>
    <mergeCell ref="F23:G23"/>
    <mergeCell ref="F24:H24"/>
    <mergeCell ref="F25:G25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M27"/>
  <sheetViews>
    <sheetView workbookViewId="0"/>
  </sheetViews>
  <sheetFormatPr defaultRowHeight="12.75" x14ac:dyDescent="0.2"/>
  <cols>
    <col min="1" max="1" width="3.140625" customWidth="1"/>
    <col min="2" max="2" width="30.28515625" customWidth="1"/>
    <col min="3" max="3" width="9.42578125" customWidth="1"/>
    <col min="4" max="4" width="8.28515625" bestFit="1" customWidth="1"/>
    <col min="5" max="5" width="9.42578125" bestFit="1" customWidth="1"/>
    <col min="6" max="6" width="8.140625" customWidth="1"/>
    <col min="7" max="7" width="1.42578125" customWidth="1"/>
    <col min="8" max="8" width="30.28515625" customWidth="1"/>
    <col min="9" max="9" width="9.42578125" customWidth="1"/>
    <col min="10" max="10" width="8.28515625" bestFit="1" customWidth="1"/>
    <col min="11" max="11" width="9.42578125" bestFit="1" customWidth="1"/>
    <col min="12" max="12" width="8.140625" customWidth="1"/>
    <col min="13" max="13" width="3.7109375" customWidth="1"/>
  </cols>
  <sheetData>
    <row r="1" spans="1:13" x14ac:dyDescent="0.2">
      <c r="A1" s="318"/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</row>
    <row r="2" spans="1:13" ht="13.5" thickBot="1" x14ac:dyDescent="0.25">
      <c r="A2" s="318"/>
      <c r="B2" s="319"/>
      <c r="C2" s="319"/>
      <c r="D2" s="319"/>
      <c r="E2" s="319"/>
      <c r="F2" s="320" t="s">
        <v>105</v>
      </c>
      <c r="G2" s="321"/>
      <c r="H2" s="319"/>
      <c r="I2" s="319"/>
      <c r="J2" s="319"/>
      <c r="K2" s="319"/>
      <c r="L2" s="320" t="s">
        <v>106</v>
      </c>
      <c r="M2" s="318"/>
    </row>
    <row r="3" spans="1:13" x14ac:dyDescent="0.2">
      <c r="A3" s="318"/>
      <c r="B3" s="623" t="s">
        <v>152</v>
      </c>
      <c r="C3" s="623"/>
      <c r="D3" s="623"/>
      <c r="E3" s="323"/>
      <c r="F3" s="323"/>
      <c r="G3" s="323"/>
      <c r="H3" s="322"/>
      <c r="I3" s="275"/>
      <c r="J3" s="275"/>
      <c r="K3" s="619" t="s">
        <v>188</v>
      </c>
      <c r="L3" s="619"/>
      <c r="M3" s="318"/>
    </row>
    <row r="4" spans="1:13" ht="29.25" customHeight="1" x14ac:dyDescent="0.2">
      <c r="A4" s="318"/>
      <c r="B4" s="323"/>
      <c r="C4" s="355" t="s">
        <v>107</v>
      </c>
      <c r="D4" s="355" t="s">
        <v>164</v>
      </c>
      <c r="E4" s="354" t="s">
        <v>165</v>
      </c>
      <c r="F4" s="324" t="s">
        <v>108</v>
      </c>
      <c r="G4" s="276"/>
      <c r="H4" s="323"/>
      <c r="I4" s="355" t="s">
        <v>107</v>
      </c>
      <c r="J4" s="355" t="s">
        <v>164</v>
      </c>
      <c r="K4" s="354" t="s">
        <v>165</v>
      </c>
      <c r="L4" s="324" t="s">
        <v>108</v>
      </c>
      <c r="M4" s="318"/>
    </row>
    <row r="5" spans="1:13" x14ac:dyDescent="0.2">
      <c r="A5" s="318"/>
      <c r="B5" s="325" t="s">
        <v>109</v>
      </c>
      <c r="C5" s="326"/>
      <c r="D5" s="326"/>
      <c r="E5" s="326"/>
      <c r="F5" s="327">
        <v>1</v>
      </c>
      <c r="G5" s="276"/>
      <c r="H5" s="325" t="s">
        <v>110</v>
      </c>
      <c r="I5" s="326"/>
      <c r="J5" s="326"/>
      <c r="K5" s="326"/>
      <c r="L5" s="327">
        <v>1</v>
      </c>
      <c r="M5" s="318"/>
    </row>
    <row r="6" spans="1:13" x14ac:dyDescent="0.2">
      <c r="A6" s="318"/>
      <c r="B6" s="276"/>
      <c r="C6" s="276"/>
      <c r="D6" s="276"/>
      <c r="E6" s="276"/>
      <c r="F6" s="277"/>
      <c r="G6" s="276"/>
      <c r="H6" s="276"/>
      <c r="I6" s="276"/>
      <c r="J6" s="276"/>
      <c r="K6" s="276"/>
      <c r="L6" s="277"/>
      <c r="M6" s="318"/>
    </row>
    <row r="7" spans="1:13" x14ac:dyDescent="0.2">
      <c r="A7" s="318"/>
      <c r="B7" s="325" t="s">
        <v>111</v>
      </c>
      <c r="C7" s="328"/>
      <c r="D7" s="328"/>
      <c r="E7" s="326"/>
      <c r="F7" s="329"/>
      <c r="G7" s="276"/>
      <c r="H7" s="325" t="s">
        <v>112</v>
      </c>
      <c r="I7" s="328"/>
      <c r="J7" s="328"/>
      <c r="K7" s="328"/>
      <c r="L7" s="329"/>
      <c r="M7" s="318"/>
    </row>
    <row r="8" spans="1:13" x14ac:dyDescent="0.2">
      <c r="A8" s="318"/>
      <c r="B8" s="330" t="s">
        <v>113</v>
      </c>
      <c r="C8" s="331"/>
      <c r="D8" s="331"/>
      <c r="E8" s="326"/>
      <c r="F8" s="329"/>
      <c r="G8" s="276"/>
      <c r="H8" s="330" t="s">
        <v>153</v>
      </c>
      <c r="I8" s="331"/>
      <c r="J8" s="331"/>
      <c r="K8" s="331"/>
      <c r="L8" s="329"/>
      <c r="M8" s="318"/>
    </row>
    <row r="9" spans="1:13" x14ac:dyDescent="0.2">
      <c r="A9" s="318"/>
      <c r="B9" s="353" t="s">
        <v>114</v>
      </c>
      <c r="C9" s="331"/>
      <c r="D9" s="331"/>
      <c r="E9" s="326"/>
      <c r="F9" s="329"/>
      <c r="G9" s="276"/>
      <c r="H9" s="330" t="s">
        <v>154</v>
      </c>
      <c r="I9" s="331"/>
      <c r="J9" s="331"/>
      <c r="K9" s="331"/>
      <c r="L9" s="329"/>
      <c r="M9" s="318"/>
    </row>
    <row r="10" spans="1:13" x14ac:dyDescent="0.2">
      <c r="A10" s="318"/>
      <c r="B10" s="330" t="s">
        <v>115</v>
      </c>
      <c r="C10" s="331"/>
      <c r="D10" s="331"/>
      <c r="E10" s="326"/>
      <c r="F10" s="329"/>
      <c r="G10" s="276"/>
      <c r="H10" s="330" t="s">
        <v>116</v>
      </c>
      <c r="I10" s="331"/>
      <c r="J10" s="331"/>
      <c r="K10" s="331"/>
      <c r="L10" s="329"/>
      <c r="M10" s="318"/>
    </row>
    <row r="11" spans="1:13" ht="25.5" x14ac:dyDescent="0.2">
      <c r="A11" s="318"/>
      <c r="B11" s="353" t="s">
        <v>117</v>
      </c>
      <c r="C11" s="331"/>
      <c r="D11" s="331"/>
      <c r="E11" s="326"/>
      <c r="F11" s="329"/>
      <c r="G11" s="276"/>
      <c r="H11" s="353" t="s">
        <v>118</v>
      </c>
      <c r="I11" s="331"/>
      <c r="J11" s="331"/>
      <c r="K11" s="331"/>
      <c r="L11" s="329"/>
      <c r="M11" s="318"/>
    </row>
    <row r="12" spans="1:13" ht="25.5" x14ac:dyDescent="0.2">
      <c r="A12" s="318"/>
      <c r="B12" s="330" t="s">
        <v>119</v>
      </c>
      <c r="C12" s="331"/>
      <c r="D12" s="331"/>
      <c r="E12" s="326"/>
      <c r="F12" s="329"/>
      <c r="G12" s="276"/>
      <c r="H12" s="353" t="s">
        <v>166</v>
      </c>
      <c r="I12" s="331"/>
      <c r="J12" s="331"/>
      <c r="K12" s="331"/>
      <c r="L12" s="329"/>
      <c r="M12" s="318"/>
    </row>
    <row r="13" spans="1:13" x14ac:dyDescent="0.2">
      <c r="A13" s="318"/>
      <c r="B13" s="325"/>
      <c r="C13" s="331"/>
      <c r="D13" s="331"/>
      <c r="E13" s="331"/>
      <c r="F13" s="329"/>
      <c r="G13" s="276"/>
      <c r="H13" s="330" t="s">
        <v>120</v>
      </c>
      <c r="I13" s="331"/>
      <c r="J13" s="331"/>
      <c r="K13" s="331"/>
      <c r="L13" s="329"/>
      <c r="M13" s="318"/>
    </row>
    <row r="14" spans="1:13" x14ac:dyDescent="0.2">
      <c r="A14" s="318"/>
      <c r="B14" s="325"/>
      <c r="C14" s="331"/>
      <c r="D14" s="331"/>
      <c r="E14" s="331"/>
      <c r="F14" s="329"/>
      <c r="G14" s="276"/>
      <c r="H14" s="325"/>
      <c r="I14" s="331"/>
      <c r="J14" s="331"/>
      <c r="K14" s="331"/>
      <c r="L14" s="329"/>
      <c r="M14" s="318"/>
    </row>
    <row r="15" spans="1:13" x14ac:dyDescent="0.2">
      <c r="A15" s="318"/>
      <c r="B15" s="325" t="s">
        <v>121</v>
      </c>
      <c r="C15" s="331"/>
      <c r="D15" s="331"/>
      <c r="E15" s="331"/>
      <c r="F15" s="329"/>
      <c r="G15" s="276"/>
      <c r="H15" s="325" t="s">
        <v>122</v>
      </c>
      <c r="I15" s="331"/>
      <c r="J15" s="331"/>
      <c r="K15" s="331"/>
      <c r="L15" s="329"/>
      <c r="M15" s="318"/>
    </row>
    <row r="16" spans="1:13" x14ac:dyDescent="0.2">
      <c r="A16" s="318"/>
      <c r="B16" s="325"/>
      <c r="C16" s="331"/>
      <c r="D16" s="331"/>
      <c r="E16" s="331"/>
      <c r="F16" s="329"/>
      <c r="G16" s="276"/>
      <c r="H16" s="325" t="s">
        <v>123</v>
      </c>
      <c r="I16" s="331"/>
      <c r="J16" s="331"/>
      <c r="K16" s="331"/>
      <c r="L16" s="329"/>
      <c r="M16" s="318"/>
    </row>
    <row r="17" spans="1:13" x14ac:dyDescent="0.2">
      <c r="A17" s="318"/>
      <c r="G17" s="276"/>
      <c r="H17" s="276"/>
      <c r="I17" s="276"/>
      <c r="J17" s="276"/>
      <c r="K17" s="276"/>
      <c r="L17" s="276"/>
      <c r="M17" s="318"/>
    </row>
    <row r="18" spans="1:13" x14ac:dyDescent="0.2">
      <c r="A18" s="318"/>
      <c r="B18" s="332"/>
      <c r="C18" s="332"/>
      <c r="D18" s="332"/>
      <c r="E18" s="332"/>
      <c r="F18" s="333" t="s">
        <v>186</v>
      </c>
      <c r="G18" s="276"/>
      <c r="H18" s="332"/>
      <c r="I18" s="332"/>
      <c r="J18" s="332"/>
      <c r="K18" s="332"/>
      <c r="L18" s="333" t="s">
        <v>124</v>
      </c>
      <c r="M18" s="318"/>
    </row>
    <row r="19" spans="1:13" x14ac:dyDescent="0.2">
      <c r="A19" s="318"/>
      <c r="B19" s="276"/>
      <c r="C19" s="276"/>
      <c r="D19" s="276"/>
      <c r="E19" s="276"/>
      <c r="F19" s="276"/>
      <c r="G19" s="276"/>
      <c r="H19" s="620" t="s">
        <v>125</v>
      </c>
      <c r="I19" s="621"/>
      <c r="J19" s="352"/>
      <c r="K19" s="352"/>
      <c r="L19" s="330"/>
      <c r="M19" s="318"/>
    </row>
    <row r="20" spans="1:13" x14ac:dyDescent="0.2">
      <c r="A20" s="318"/>
      <c r="B20" s="334" t="s">
        <v>126</v>
      </c>
      <c r="C20" s="335" t="s">
        <v>127</v>
      </c>
      <c r="D20" s="335"/>
      <c r="E20" s="335"/>
      <c r="F20" s="336" t="s">
        <v>128</v>
      </c>
      <c r="G20" s="276"/>
      <c r="H20" s="620" t="s">
        <v>129</v>
      </c>
      <c r="I20" s="621"/>
      <c r="J20" s="352"/>
      <c r="K20" s="352"/>
      <c r="L20" s="330"/>
      <c r="M20" s="318"/>
    </row>
    <row r="21" spans="1:13" x14ac:dyDescent="0.2">
      <c r="A21" s="318"/>
      <c r="B21" s="325" t="s">
        <v>130</v>
      </c>
      <c r="C21" s="331"/>
      <c r="D21" s="331"/>
      <c r="E21" s="331"/>
      <c r="F21" s="330"/>
      <c r="G21" s="276"/>
      <c r="H21" s="622" t="s">
        <v>131</v>
      </c>
      <c r="I21" s="622"/>
      <c r="J21" s="622"/>
      <c r="K21" s="622"/>
      <c r="L21" s="622"/>
      <c r="M21" s="318"/>
    </row>
    <row r="22" spans="1:13" x14ac:dyDescent="0.2">
      <c r="A22" s="318"/>
      <c r="B22" s="325" t="s">
        <v>132</v>
      </c>
      <c r="C22" s="331"/>
      <c r="D22" s="331"/>
      <c r="E22" s="331"/>
      <c r="F22" s="330"/>
      <c r="G22" s="337"/>
      <c r="H22" s="620" t="s">
        <v>133</v>
      </c>
      <c r="I22" s="621">
        <v>1</v>
      </c>
      <c r="J22" s="352"/>
      <c r="K22" s="352"/>
      <c r="L22" s="330"/>
      <c r="M22" s="318"/>
    </row>
    <row r="23" spans="1:13" x14ac:dyDescent="0.2">
      <c r="A23" s="318"/>
      <c r="B23" s="325" t="s">
        <v>134</v>
      </c>
      <c r="C23" s="331"/>
      <c r="D23" s="331"/>
      <c r="E23" s="331"/>
      <c r="F23" s="330"/>
      <c r="G23" s="321"/>
      <c r="H23" s="620" t="s">
        <v>135</v>
      </c>
      <c r="I23" s="621">
        <v>2</v>
      </c>
      <c r="J23" s="352"/>
      <c r="K23" s="352"/>
      <c r="L23" s="330"/>
      <c r="M23" s="318"/>
    </row>
    <row r="24" spans="1:13" x14ac:dyDescent="0.2">
      <c r="A24" s="318"/>
      <c r="B24" s="325" t="s">
        <v>187</v>
      </c>
      <c r="C24" s="338"/>
      <c r="D24" s="338"/>
      <c r="E24" s="338"/>
      <c r="F24" s="338"/>
      <c r="G24" s="321"/>
      <c r="H24" s="620" t="s">
        <v>136</v>
      </c>
      <c r="I24" s="621">
        <v>3</v>
      </c>
      <c r="J24" s="352"/>
      <c r="K24" s="352"/>
      <c r="L24" s="330"/>
      <c r="M24" s="318"/>
    </row>
    <row r="25" spans="1:13" x14ac:dyDescent="0.2">
      <c r="A25" s="318"/>
      <c r="B25" s="321"/>
      <c r="C25" s="321"/>
      <c r="D25" s="321"/>
      <c r="E25" s="321"/>
      <c r="F25" s="321"/>
      <c r="M25" s="318"/>
    </row>
    <row r="26" spans="1:13" x14ac:dyDescent="0.2">
      <c r="A26" s="318"/>
      <c r="B26" s="339" t="s">
        <v>137</v>
      </c>
      <c r="C26" s="321"/>
      <c r="D26" s="321"/>
      <c r="E26" s="321"/>
      <c r="F26" s="321"/>
      <c r="H26" s="339"/>
      <c r="M26" s="318"/>
    </row>
    <row r="27" spans="1:13" x14ac:dyDescent="0.2">
      <c r="A27" s="318"/>
      <c r="B27" s="318"/>
      <c r="C27" s="318"/>
      <c r="D27" s="318"/>
      <c r="E27" s="318"/>
      <c r="F27" s="318"/>
      <c r="G27" s="318"/>
      <c r="H27" s="318"/>
      <c r="I27" s="318"/>
      <c r="J27" s="318"/>
      <c r="K27" s="318"/>
      <c r="L27" s="318"/>
      <c r="M27" s="318"/>
    </row>
  </sheetData>
  <mergeCells count="8">
    <mergeCell ref="H24:I24"/>
    <mergeCell ref="B3:D3"/>
    <mergeCell ref="H19:I19"/>
    <mergeCell ref="H20:I20"/>
    <mergeCell ref="H21:L21"/>
    <mergeCell ref="H22:I22"/>
    <mergeCell ref="H23:I23"/>
    <mergeCell ref="K3:L3"/>
  </mergeCells>
  <pageMargins left="0.78740157499999996" right="0.78740157499999996" top="0.984251969" bottom="0.984251969" header="0.49212598499999999" footer="0.49212598499999999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AH159"/>
  <sheetViews>
    <sheetView showGridLines="0" showZero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5" x14ac:dyDescent="0.2"/>
  <cols>
    <col min="1" max="1" width="12" style="29" customWidth="1"/>
    <col min="2" max="2" width="18.5703125" style="29" customWidth="1"/>
    <col min="3" max="3" width="8.28515625" style="64" customWidth="1"/>
    <col min="4" max="5" width="9.5703125" style="56" customWidth="1"/>
    <col min="6" max="6" width="11.85546875" style="56" customWidth="1"/>
    <col min="7" max="8" width="9" style="29" customWidth="1"/>
    <col min="9" max="9" width="1.7109375" style="29" customWidth="1"/>
    <col min="10" max="11" width="9" style="29" customWidth="1"/>
    <col min="12" max="12" width="1.7109375" style="29" customWidth="1"/>
    <col min="13" max="14" width="9" style="29" customWidth="1"/>
    <col min="15" max="15" width="1.7109375" style="29" customWidth="1"/>
    <col min="16" max="17" width="9" style="29" customWidth="1"/>
    <col min="18" max="18" width="1.7109375" style="29" customWidth="1"/>
    <col min="19" max="20" width="9" style="29" customWidth="1"/>
    <col min="21" max="21" width="1.7109375" style="29" customWidth="1"/>
    <col min="22" max="23" width="9" style="29" customWidth="1"/>
    <col min="24" max="24" width="1.7109375" style="29" customWidth="1"/>
    <col min="25" max="26" width="9" style="29" customWidth="1"/>
    <col min="27" max="27" width="1.7109375" style="29" customWidth="1"/>
    <col min="28" max="29" width="9" style="29" customWidth="1"/>
    <col min="30" max="30" width="1.7109375" style="29" customWidth="1"/>
    <col min="31" max="32" width="9" style="29" customWidth="1"/>
    <col min="33" max="33" width="1" style="29" customWidth="1"/>
    <col min="34" max="34" width="11.42578125" style="29" bestFit="1" customWidth="1"/>
    <col min="35" max="35" width="12.7109375" style="29" bestFit="1" customWidth="1"/>
    <col min="36" max="16384" width="9.140625" style="29"/>
  </cols>
  <sheetData>
    <row r="1" spans="1:34" ht="23.25" thickTop="1" x14ac:dyDescent="0.2">
      <c r="A1" s="22"/>
      <c r="B1" s="23" t="s">
        <v>30</v>
      </c>
      <c r="C1" s="24"/>
      <c r="D1" s="25"/>
      <c r="E1" s="26"/>
      <c r="F1" s="27"/>
      <c r="G1" s="630" t="str">
        <f>'Matriz de Pesos e Notas'!G1</f>
        <v>Nome do Banco</v>
      </c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  <c r="U1" s="631"/>
      <c r="V1" s="631"/>
      <c r="W1" s="631"/>
      <c r="X1" s="631"/>
      <c r="Y1" s="631"/>
      <c r="Z1" s="631"/>
      <c r="AA1" s="631"/>
      <c r="AB1" s="631"/>
      <c r="AC1" s="631"/>
      <c r="AD1" s="631"/>
      <c r="AE1" s="631"/>
      <c r="AF1" s="631"/>
      <c r="AG1" s="197"/>
      <c r="AH1" s="196">
        <f>COLUMNS(A1:AG1)+1</f>
        <v>34</v>
      </c>
    </row>
    <row r="2" spans="1:34" ht="20.25" thickBot="1" x14ac:dyDescent="0.25">
      <c r="A2" s="30"/>
      <c r="B2" s="406">
        <f>'Matriz de Pesos e Notas'!B2</f>
        <v>0</v>
      </c>
      <c r="C2" s="32"/>
      <c r="D2" s="33"/>
      <c r="E2" s="34"/>
      <c r="F2" s="34"/>
      <c r="G2" s="632" t="s">
        <v>42</v>
      </c>
      <c r="H2" s="633"/>
      <c r="I2" s="634"/>
      <c r="J2" s="634"/>
      <c r="K2" s="633"/>
      <c r="L2" s="634"/>
      <c r="M2" s="634"/>
      <c r="N2" s="633"/>
      <c r="O2" s="634"/>
      <c r="P2" s="634"/>
      <c r="Q2" s="633"/>
      <c r="R2" s="634"/>
      <c r="S2" s="634"/>
      <c r="T2" s="633"/>
      <c r="U2" s="634"/>
      <c r="V2" s="634"/>
      <c r="W2" s="633"/>
      <c r="X2" s="634"/>
      <c r="Y2" s="634"/>
      <c r="Z2" s="633"/>
      <c r="AA2" s="634"/>
      <c r="AB2" s="634"/>
      <c r="AC2" s="633"/>
      <c r="AD2" s="634"/>
      <c r="AE2" s="634"/>
      <c r="AF2" s="634"/>
      <c r="AG2" s="198"/>
      <c r="AH2" s="4" t="s">
        <v>10</v>
      </c>
    </row>
    <row r="3" spans="1:34" ht="16.5" thickTop="1" x14ac:dyDescent="0.2">
      <c r="A3" s="35"/>
      <c r="B3" s="36" t="s">
        <v>36</v>
      </c>
      <c r="C3" s="37"/>
      <c r="D3" s="637" t="s">
        <v>18</v>
      </c>
      <c r="E3" s="635" t="s">
        <v>19</v>
      </c>
      <c r="F3" s="635"/>
      <c r="G3" s="624" t="s">
        <v>12</v>
      </c>
      <c r="H3" s="625"/>
      <c r="I3" s="172"/>
      <c r="J3" s="624" t="s">
        <v>2</v>
      </c>
      <c r="K3" s="625"/>
      <c r="L3" s="172"/>
      <c r="M3" s="624" t="s">
        <v>3</v>
      </c>
      <c r="N3" s="625"/>
      <c r="O3" s="172"/>
      <c r="P3" s="624" t="s">
        <v>11</v>
      </c>
      <c r="Q3" s="625"/>
      <c r="R3" s="172"/>
      <c r="S3" s="624" t="s">
        <v>202</v>
      </c>
      <c r="T3" s="625"/>
      <c r="U3" s="172"/>
      <c r="V3" s="624" t="s">
        <v>0</v>
      </c>
      <c r="W3" s="625"/>
      <c r="X3" s="172"/>
      <c r="Y3" s="624" t="s">
        <v>1</v>
      </c>
      <c r="Z3" s="625"/>
      <c r="AA3" s="172"/>
      <c r="AB3" s="624" t="s">
        <v>7</v>
      </c>
      <c r="AC3" s="625"/>
      <c r="AD3" s="172"/>
      <c r="AE3" s="624" t="s">
        <v>8</v>
      </c>
      <c r="AF3" s="625"/>
      <c r="AG3" s="199"/>
      <c r="AH3" s="4" t="s">
        <v>10</v>
      </c>
    </row>
    <row r="4" spans="1:34" s="40" customFormat="1" ht="31.5" customHeight="1" x14ac:dyDescent="0.2">
      <c r="A4" s="112"/>
      <c r="B4" s="38" t="s">
        <v>49</v>
      </c>
      <c r="C4" s="39" t="s">
        <v>46</v>
      </c>
      <c r="D4" s="638"/>
      <c r="E4" s="636"/>
      <c r="F4" s="636"/>
      <c r="G4" s="626" t="s">
        <v>41</v>
      </c>
      <c r="H4" s="627"/>
      <c r="I4" s="173"/>
      <c r="J4" s="626" t="s">
        <v>41</v>
      </c>
      <c r="K4" s="627"/>
      <c r="L4" s="173"/>
      <c r="M4" s="626" t="s">
        <v>41</v>
      </c>
      <c r="N4" s="627"/>
      <c r="O4" s="173"/>
      <c r="P4" s="626" t="s">
        <v>41</v>
      </c>
      <c r="Q4" s="627"/>
      <c r="R4" s="173"/>
      <c r="S4" s="626" t="s">
        <v>41</v>
      </c>
      <c r="T4" s="627"/>
      <c r="U4" s="173"/>
      <c r="V4" s="626" t="s">
        <v>41</v>
      </c>
      <c r="W4" s="627"/>
      <c r="X4" s="173"/>
      <c r="Y4" s="626" t="s">
        <v>41</v>
      </c>
      <c r="Z4" s="627"/>
      <c r="AA4" s="173"/>
      <c r="AB4" s="626" t="s">
        <v>41</v>
      </c>
      <c r="AC4" s="627"/>
      <c r="AD4" s="173"/>
      <c r="AE4" s="626" t="s">
        <v>41</v>
      </c>
      <c r="AF4" s="627"/>
      <c r="AG4" s="200"/>
      <c r="AH4" s="4" t="s">
        <v>10</v>
      </c>
    </row>
    <row r="5" spans="1:34" x14ac:dyDescent="0.2">
      <c r="A5" s="105" t="str">
        <f>'Matriz de Pesos e Notas'!A5</f>
        <v>Varejo e Prime</v>
      </c>
      <c r="B5" s="106"/>
      <c r="C5" s="108">
        <f>C150*'Matriz de Pesos e Notas'!$A$135</f>
        <v>0.16551724137931034</v>
      </c>
      <c r="D5" s="109">
        <f>SUM(D7:D19)</f>
        <v>9.1034482758620694E-2</v>
      </c>
      <c r="E5" s="111">
        <f>SUM(E7:E19)</f>
        <v>7.4482758620689662E-2</v>
      </c>
      <c r="F5" s="110"/>
      <c r="G5" s="162"/>
      <c r="H5" s="174"/>
      <c r="I5" s="174"/>
      <c r="J5" s="162"/>
      <c r="K5" s="174"/>
      <c r="L5" s="174"/>
      <c r="M5" s="162"/>
      <c r="N5" s="174"/>
      <c r="O5" s="174"/>
      <c r="P5" s="162"/>
      <c r="Q5" s="174"/>
      <c r="R5" s="174"/>
      <c r="S5" s="162"/>
      <c r="T5" s="174"/>
      <c r="U5" s="174"/>
      <c r="V5" s="162"/>
      <c r="W5" s="174"/>
      <c r="X5" s="174"/>
      <c r="Y5" s="162"/>
      <c r="Z5" s="174"/>
      <c r="AA5" s="174"/>
      <c r="AB5" s="162"/>
      <c r="AC5" s="174"/>
      <c r="AD5" s="174"/>
      <c r="AE5" s="162"/>
      <c r="AF5" s="174"/>
      <c r="AG5" s="164"/>
      <c r="AH5" s="102" t="str">
        <f>IF(C5,"Imprime","Não Imprime")</f>
        <v>Imprime</v>
      </c>
    </row>
    <row r="6" spans="1:34" x14ac:dyDescent="0.2">
      <c r="A6" s="113" t="str">
        <f>TEXT(D5,"0,00%")&amp;"        "&amp;TEXT(E5,"0,00%")</f>
        <v>9,10%        7,45%</v>
      </c>
      <c r="B6" s="114"/>
      <c r="C6" s="91"/>
      <c r="D6" s="71"/>
      <c r="E6" s="71"/>
      <c r="F6" s="99"/>
      <c r="G6" s="163"/>
      <c r="H6" s="175"/>
      <c r="I6" s="175"/>
      <c r="J6" s="163"/>
      <c r="K6" s="175"/>
      <c r="L6" s="175"/>
      <c r="M6" s="163"/>
      <c r="N6" s="175"/>
      <c r="O6" s="175"/>
      <c r="P6" s="163"/>
      <c r="Q6" s="175"/>
      <c r="R6" s="175"/>
      <c r="S6" s="163"/>
      <c r="T6" s="175"/>
      <c r="U6" s="175"/>
      <c r="V6" s="163"/>
      <c r="W6" s="175"/>
      <c r="X6" s="175"/>
      <c r="Y6" s="163"/>
      <c r="Z6" s="175"/>
      <c r="AA6" s="175"/>
      <c r="AB6" s="163"/>
      <c r="AC6" s="175"/>
      <c r="AD6" s="175"/>
      <c r="AE6" s="163"/>
      <c r="AF6" s="175"/>
      <c r="AG6" s="164"/>
      <c r="AH6" s="1" t="str">
        <f>+AH5</f>
        <v>Imprime</v>
      </c>
    </row>
    <row r="7" spans="1:34" s="41" customFormat="1" x14ac:dyDescent="0.2">
      <c r="A7" s="628" t="str">
        <f>'Matriz de Pesos e Notas'!A7</f>
        <v>Varejo e Prime</v>
      </c>
      <c r="B7" s="629"/>
      <c r="C7" s="92">
        <f>IF(ISTEXT('Matriz de Pesos e Notas'!C7),letrapeso('Matriz de Pesos e Notas'!C7)/SUM(letrapeso('Matriz de Pesos e Notas'!C7)+letrapeso('Matriz de Pesos e Notas'!C9)+letrapeso('Matriz de Pesos e Notas'!C11)+letrapeso('Matriz de Pesos e Notas'!C13)+letrapeso('Matriz de Pesos e Notas'!C15)+letrapeso('Matriz de Pesos e Notas'!C17)+letrapeso('Matriz de Pesos e Notas'!C19))*C5,0)</f>
        <v>0.16551724137931034</v>
      </c>
      <c r="D7" s="85">
        <f>G7+J7+M7+P7+S7+V7+Y7+AB7+AE7</f>
        <v>9.1034482758620694E-2</v>
      </c>
      <c r="E7" s="85">
        <f>H7+K7+N7+Q7+T7+W7+Z7+AC7+AF7</f>
        <v>7.4482758620689662E-2</v>
      </c>
      <c r="F7" s="72"/>
      <c r="G7" s="163">
        <f>IF($C7,'Matriz de Pesos e Notas'!BL7/'Matriz de Pesos e Notas'!$CM7*'Matriz de Pesos e Notas'!$A$145*$C7,0)</f>
        <v>9.1034482758620694E-2</v>
      </c>
      <c r="H7" s="175">
        <f>IF($C7,'Matriz de Pesos e Notas'!BM7/'Matriz de Pesos e Notas'!$CN7*'Matriz de Pesos e Notas'!$A$146*$C7,0)</f>
        <v>7.4482758620689662E-2</v>
      </c>
      <c r="I7" s="175"/>
      <c r="J7" s="163">
        <f>IF($C7,'Matriz de Pesos e Notas'!BO7/'Matriz de Pesos e Notas'!$CM7*'Matriz de Pesos e Notas'!$A$145*$C7,0)</f>
        <v>0</v>
      </c>
      <c r="K7" s="175">
        <f>IF($C7,'Matriz de Pesos e Notas'!BP7/'Matriz de Pesos e Notas'!$CN7*'Matriz de Pesos e Notas'!$A$146*$C7,0)</f>
        <v>0</v>
      </c>
      <c r="L7" s="175"/>
      <c r="M7" s="163">
        <f>IF($C7,'Matriz de Pesos e Notas'!BR7/'Matriz de Pesos e Notas'!$CM7*'Matriz de Pesos e Notas'!$A$145*$C7,0)</f>
        <v>0</v>
      </c>
      <c r="N7" s="175">
        <f>IF($C7,'Matriz de Pesos e Notas'!BS7/'Matriz de Pesos e Notas'!$CN7*'Matriz de Pesos e Notas'!$A$146*$C7,0)</f>
        <v>0</v>
      </c>
      <c r="O7" s="175"/>
      <c r="P7" s="163">
        <f>IF($C7,'Matriz de Pesos e Notas'!BU7/'Matriz de Pesos e Notas'!$CM7*'Matriz de Pesos e Notas'!$A$145*$C7,0)</f>
        <v>0</v>
      </c>
      <c r="Q7" s="175">
        <f>IF($C7,'Matriz de Pesos e Notas'!BV7/'Matriz de Pesos e Notas'!$CN7*'Matriz de Pesos e Notas'!$A$146*$C7,0)</f>
        <v>0</v>
      </c>
      <c r="R7" s="175"/>
      <c r="S7" s="163">
        <f>IF($C7,'Matriz de Pesos e Notas'!BX7/'Matriz de Pesos e Notas'!$CM7*'Matriz de Pesos e Notas'!$A$145*$C7,0)</f>
        <v>0</v>
      </c>
      <c r="T7" s="175">
        <f>IF($C7,'Matriz de Pesos e Notas'!BY7/'Matriz de Pesos e Notas'!$CN7*'Matriz de Pesos e Notas'!$A$146*$C7,0)</f>
        <v>0</v>
      </c>
      <c r="U7" s="175"/>
      <c r="V7" s="163">
        <f>IF($C7,'Matriz de Pesos e Notas'!CA7/'Matriz de Pesos e Notas'!$CM7*'Matriz de Pesos e Notas'!$A$145*$C7,0)</f>
        <v>0</v>
      </c>
      <c r="W7" s="175">
        <f>IF($C7,'Matriz de Pesos e Notas'!CB7/'Matriz de Pesos e Notas'!$CN7*'Matriz de Pesos e Notas'!$A$146*$C7,0)</f>
        <v>0</v>
      </c>
      <c r="X7" s="175"/>
      <c r="Y7" s="163">
        <f>IF($C7,'Matriz de Pesos e Notas'!CD7/'Matriz de Pesos e Notas'!$CM7*'Matriz de Pesos e Notas'!$A$145*$C7,0)</f>
        <v>0</v>
      </c>
      <c r="Z7" s="175">
        <f>IF($C7,'Matriz de Pesos e Notas'!CE7/'Matriz de Pesos e Notas'!$CN7*'Matriz de Pesos e Notas'!$A$146*$C7,0)</f>
        <v>0</v>
      </c>
      <c r="AA7" s="175"/>
      <c r="AB7" s="163">
        <f>IF($C7,'Matriz de Pesos e Notas'!CG7/'Matriz de Pesos e Notas'!$CM7*'Matriz de Pesos e Notas'!$A$145*$C7,0)</f>
        <v>0</v>
      </c>
      <c r="AC7" s="175">
        <f>IF($C7,'Matriz de Pesos e Notas'!CH7/'Matriz de Pesos e Notas'!$CN7*'Matriz de Pesos e Notas'!$A$146*$C7,0)</f>
        <v>0</v>
      </c>
      <c r="AD7" s="175"/>
      <c r="AE7" s="163">
        <f>IF($C7,'Matriz de Pesos e Notas'!CJ7/'Matriz de Pesos e Notas'!$CM7*'Matriz de Pesos e Notas'!$A$145*$C7,0)</f>
        <v>0</v>
      </c>
      <c r="AF7" s="175">
        <f>IF($C7,'Matriz de Pesos e Notas'!CK7/'Matriz de Pesos e Notas'!$CN7*'Matriz de Pesos e Notas'!$A$146*$C7,0)</f>
        <v>0</v>
      </c>
      <c r="AG7" s="164"/>
      <c r="AH7" s="102" t="str">
        <f>IF(C7,"Imprime","Não Imprime")</f>
        <v>Imprime</v>
      </c>
    </row>
    <row r="8" spans="1:34" s="41" customFormat="1" x14ac:dyDescent="0.2">
      <c r="A8" s="42"/>
      <c r="B8" s="65" t="str">
        <f>TEXT(D7,"0,00%")&amp;"        "&amp;TEXT(E7,"0,00%")</f>
        <v>9,10%        7,45%</v>
      </c>
      <c r="C8" s="92"/>
      <c r="D8" s="73"/>
      <c r="E8" s="72"/>
      <c r="F8" s="72"/>
      <c r="G8" s="165"/>
      <c r="H8" s="176"/>
      <c r="I8" s="176"/>
      <c r="J8" s="165"/>
      <c r="K8" s="176"/>
      <c r="L8" s="176"/>
      <c r="M8" s="165"/>
      <c r="N8" s="176"/>
      <c r="O8" s="176"/>
      <c r="P8" s="165"/>
      <c r="Q8" s="176"/>
      <c r="R8" s="176"/>
      <c r="S8" s="165"/>
      <c r="T8" s="176"/>
      <c r="U8" s="176"/>
      <c r="V8" s="165"/>
      <c r="W8" s="176"/>
      <c r="X8" s="176"/>
      <c r="Y8" s="165"/>
      <c r="Z8" s="176"/>
      <c r="AA8" s="176"/>
      <c r="AB8" s="165"/>
      <c r="AC8" s="176"/>
      <c r="AD8" s="176"/>
      <c r="AE8" s="165"/>
      <c r="AF8" s="176"/>
      <c r="AG8" s="166"/>
      <c r="AH8" s="8" t="str">
        <f>+AH7</f>
        <v>Imprime</v>
      </c>
    </row>
    <row r="9" spans="1:34" x14ac:dyDescent="0.2">
      <c r="A9" s="628" t="str">
        <f>'Matriz de Pesos e Notas'!A9</f>
        <v>Nome da Atividade 2 da Unidade 1</v>
      </c>
      <c r="B9" s="629"/>
      <c r="C9" s="92">
        <f>IF(ISTEXT('Matriz de Pesos e Notas'!C9),letrapeso('Matriz de Pesos e Notas'!C9)/SUM(letrapeso('Matriz de Pesos e Notas'!C7)+letrapeso('Matriz de Pesos e Notas'!C9)+letrapeso('Matriz de Pesos e Notas'!C11)+letrapeso('Matriz de Pesos e Notas'!C13)+letrapeso('Matriz de Pesos e Notas'!C15)+letrapeso('Matriz de Pesos e Notas'!C17)+letrapeso('Matriz de Pesos e Notas'!C19))*C5,0)</f>
        <v>0</v>
      </c>
      <c r="D9" s="85">
        <f>G9+J9+M9+P9+S9+V9+Y9+AB9+AE9</f>
        <v>0</v>
      </c>
      <c r="E9" s="85">
        <f>H9+K9+N9+Q9+T9+W9+Z9+AC9+AF9</f>
        <v>0</v>
      </c>
      <c r="F9" s="72"/>
      <c r="G9" s="163">
        <f>IF($C9,'Matriz de Pesos e Notas'!BL9/'Matriz de Pesos e Notas'!$CM9*'Matriz de Pesos e Notas'!$A$145*$C9,0)</f>
        <v>0</v>
      </c>
      <c r="H9" s="175">
        <f>IF($C9,'Matriz de Pesos e Notas'!BM9/'Matriz de Pesos e Notas'!$CN9*'Matriz de Pesos e Notas'!$A$146*$C9,0)</f>
        <v>0</v>
      </c>
      <c r="I9" s="175"/>
      <c r="J9" s="163">
        <f>IF($C9,'Matriz de Pesos e Notas'!BO9/'Matriz de Pesos e Notas'!$CM9*'Matriz de Pesos e Notas'!$A$145*$C9,0)</f>
        <v>0</v>
      </c>
      <c r="K9" s="175">
        <f>IF($C9,'Matriz de Pesos e Notas'!BP9/'Matriz de Pesos e Notas'!$CN9*'Matriz de Pesos e Notas'!$A$146*$C9,0)</f>
        <v>0</v>
      </c>
      <c r="L9" s="175"/>
      <c r="M9" s="163">
        <f>IF($C9,'Matriz de Pesos e Notas'!BR9/'Matriz de Pesos e Notas'!$CM9*'Matriz de Pesos e Notas'!$A$145*$C9,0)</f>
        <v>0</v>
      </c>
      <c r="N9" s="175">
        <f>IF($C9,'Matriz de Pesos e Notas'!BS9/'Matriz de Pesos e Notas'!$CN9*'Matriz de Pesos e Notas'!$A$146*$C9,0)</f>
        <v>0</v>
      </c>
      <c r="O9" s="175"/>
      <c r="P9" s="163">
        <f>IF($C9,'Matriz de Pesos e Notas'!BU9/'Matriz de Pesos e Notas'!$CM9*'Matriz de Pesos e Notas'!$A$145*$C9,0)</f>
        <v>0</v>
      </c>
      <c r="Q9" s="175">
        <f>IF($C9,'Matriz de Pesos e Notas'!BV9/'Matriz de Pesos e Notas'!$CN9*'Matriz de Pesos e Notas'!$A$146*$C9,0)</f>
        <v>0</v>
      </c>
      <c r="R9" s="175"/>
      <c r="S9" s="163">
        <f>IF($C9,'Matriz de Pesos e Notas'!BX9/'Matriz de Pesos e Notas'!$CM9*'Matriz de Pesos e Notas'!$A$145*$C9,0)</f>
        <v>0</v>
      </c>
      <c r="T9" s="175">
        <f>IF($C9,'Matriz de Pesos e Notas'!BY9/'Matriz de Pesos e Notas'!$CN9*'Matriz de Pesos e Notas'!$A$146*$C9,0)</f>
        <v>0</v>
      </c>
      <c r="U9" s="175"/>
      <c r="V9" s="163">
        <f>IF($C9,'Matriz de Pesos e Notas'!CA9/'Matriz de Pesos e Notas'!$CM9*'Matriz de Pesos e Notas'!$A$145*$C9,0)</f>
        <v>0</v>
      </c>
      <c r="W9" s="175">
        <f>IF($C9,'Matriz de Pesos e Notas'!CB9/'Matriz de Pesos e Notas'!$CN9*'Matriz de Pesos e Notas'!$A$146*$C9,0)</f>
        <v>0</v>
      </c>
      <c r="X9" s="175"/>
      <c r="Y9" s="163">
        <f>IF($C9,'Matriz de Pesos e Notas'!CD9/'Matriz de Pesos e Notas'!$CM9*'Matriz de Pesos e Notas'!$A$145*$C9,0)</f>
        <v>0</v>
      </c>
      <c r="Z9" s="175">
        <f>IF($C9,'Matriz de Pesos e Notas'!CE9/'Matriz de Pesos e Notas'!$CN9*'Matriz de Pesos e Notas'!$A$146*$C9,0)</f>
        <v>0</v>
      </c>
      <c r="AA9" s="175"/>
      <c r="AB9" s="163">
        <f>IF($C9,'Matriz de Pesos e Notas'!CG9/'Matriz de Pesos e Notas'!$CM9*'Matriz de Pesos e Notas'!$A$145*$C9,0)</f>
        <v>0</v>
      </c>
      <c r="AC9" s="175">
        <f>IF($C9,'Matriz de Pesos e Notas'!CH9/'Matriz de Pesos e Notas'!$CN9*'Matriz de Pesos e Notas'!$A$146*$C9,0)</f>
        <v>0</v>
      </c>
      <c r="AD9" s="175"/>
      <c r="AE9" s="163">
        <f>IF($C9,'Matriz de Pesos e Notas'!CJ9/'Matriz de Pesos e Notas'!$CM9*'Matriz de Pesos e Notas'!$A$145*$C9,0)</f>
        <v>0</v>
      </c>
      <c r="AF9" s="175">
        <f>IF($C9,'Matriz de Pesos e Notas'!CK9/'Matriz de Pesos e Notas'!$CN9*'Matriz de Pesos e Notas'!$A$146*$C9,0)</f>
        <v>0</v>
      </c>
      <c r="AG9" s="164"/>
      <c r="AH9" s="4" t="str">
        <f>IF(C9,"Imprime","Não Imprime")</f>
        <v>Não Imprime</v>
      </c>
    </row>
    <row r="10" spans="1:34" x14ac:dyDescent="0.2">
      <c r="A10" s="43"/>
      <c r="B10" s="65" t="str">
        <f>TEXT(D9,"0,00%")&amp;"        "&amp;TEXT(E9,"0,00%")</f>
        <v>0,00%        0,00%</v>
      </c>
      <c r="C10" s="92"/>
      <c r="D10" s="73"/>
      <c r="E10" s="72"/>
      <c r="F10" s="72"/>
      <c r="G10" s="165"/>
      <c r="H10" s="176"/>
      <c r="I10" s="176"/>
      <c r="J10" s="165"/>
      <c r="K10" s="176"/>
      <c r="L10" s="176"/>
      <c r="M10" s="165"/>
      <c r="N10" s="176"/>
      <c r="O10" s="176"/>
      <c r="P10" s="165"/>
      <c r="Q10" s="176"/>
      <c r="R10" s="176"/>
      <c r="S10" s="165"/>
      <c r="T10" s="176"/>
      <c r="U10" s="176"/>
      <c r="V10" s="165"/>
      <c r="W10" s="176"/>
      <c r="X10" s="176"/>
      <c r="Y10" s="165"/>
      <c r="Z10" s="176"/>
      <c r="AA10" s="176"/>
      <c r="AB10" s="165"/>
      <c r="AC10" s="176"/>
      <c r="AD10" s="176"/>
      <c r="AE10" s="165"/>
      <c r="AF10" s="176"/>
      <c r="AG10" s="166"/>
      <c r="AH10" s="8" t="str">
        <f>+AH9</f>
        <v>Não Imprime</v>
      </c>
    </row>
    <row r="11" spans="1:34" x14ac:dyDescent="0.2">
      <c r="A11" s="628" t="str">
        <f>'Matriz de Pesos e Notas'!A11</f>
        <v>Nome da Atividade 3 da Unidade 1</v>
      </c>
      <c r="B11" s="629"/>
      <c r="C11" s="92">
        <f>IF(ISTEXT('Matriz de Pesos e Notas'!C11),letrapeso('Matriz de Pesos e Notas'!C11)/SUM(letrapeso('Matriz de Pesos e Notas'!C7)+letrapeso('Matriz de Pesos e Notas'!C9)+letrapeso('Matriz de Pesos e Notas'!C11)+letrapeso('Matriz de Pesos e Notas'!C13)+letrapeso('Matriz de Pesos e Notas'!C15)+letrapeso('Matriz de Pesos e Notas'!C17)+letrapeso('Matriz de Pesos e Notas'!C19))*C5,0)</f>
        <v>0</v>
      </c>
      <c r="D11" s="85">
        <f>G11+J11+M11+P11+S11+V11+Y11+AB11+AE11</f>
        <v>0</v>
      </c>
      <c r="E11" s="85">
        <f>H11+K11+N11+Q11+T11+W11+Z11+AC11+AF11</f>
        <v>0</v>
      </c>
      <c r="F11" s="72"/>
      <c r="G11" s="163">
        <f>IF($C11,'Matriz de Pesos e Notas'!BL11/'Matriz de Pesos e Notas'!$CM11*'Matriz de Pesos e Notas'!$A$145*$C11,0)</f>
        <v>0</v>
      </c>
      <c r="H11" s="175">
        <f>IF($C11,'Matriz de Pesos e Notas'!BM11/'Matriz de Pesos e Notas'!$CN11*'Matriz de Pesos e Notas'!$A$146*$C11,0)</f>
        <v>0</v>
      </c>
      <c r="I11" s="175"/>
      <c r="J11" s="163">
        <f>IF($C11,'Matriz de Pesos e Notas'!BO11/'Matriz de Pesos e Notas'!$CM11*'Matriz de Pesos e Notas'!$A$145*$C11,0)</f>
        <v>0</v>
      </c>
      <c r="K11" s="175">
        <f>IF($C11,'Matriz de Pesos e Notas'!BP11/'Matriz de Pesos e Notas'!$CN11*'Matriz de Pesos e Notas'!$A$146*$C11,0)</f>
        <v>0</v>
      </c>
      <c r="L11" s="175"/>
      <c r="M11" s="163">
        <f>IF($C11,'Matriz de Pesos e Notas'!BR11/'Matriz de Pesos e Notas'!$CM11*'Matriz de Pesos e Notas'!$A$145*$C11,0)</f>
        <v>0</v>
      </c>
      <c r="N11" s="175">
        <f>IF($C11,'Matriz de Pesos e Notas'!BS11/'Matriz de Pesos e Notas'!$CN11*'Matriz de Pesos e Notas'!$A$146*$C11,0)</f>
        <v>0</v>
      </c>
      <c r="O11" s="175"/>
      <c r="P11" s="163">
        <f>IF($C11,'Matriz de Pesos e Notas'!BU11/'Matriz de Pesos e Notas'!$CM11*'Matriz de Pesos e Notas'!$A$145*$C11,0)</f>
        <v>0</v>
      </c>
      <c r="Q11" s="175">
        <f>IF($C11,'Matriz de Pesos e Notas'!BV11/'Matriz de Pesos e Notas'!$CN11*'Matriz de Pesos e Notas'!$A$146*$C11,0)</f>
        <v>0</v>
      </c>
      <c r="R11" s="175"/>
      <c r="S11" s="163">
        <f>IF($C11,'Matriz de Pesos e Notas'!BX11/'Matriz de Pesos e Notas'!$CM11*'Matriz de Pesos e Notas'!$A$145*$C11,0)</f>
        <v>0</v>
      </c>
      <c r="T11" s="175">
        <f>IF($C11,'Matriz de Pesos e Notas'!BY11/'Matriz de Pesos e Notas'!$CN11*'Matriz de Pesos e Notas'!$A$146*$C11,0)</f>
        <v>0</v>
      </c>
      <c r="U11" s="175"/>
      <c r="V11" s="163">
        <f>IF($C11,'Matriz de Pesos e Notas'!CA11/'Matriz de Pesos e Notas'!$CM11*'Matriz de Pesos e Notas'!$A$145*$C11,0)</f>
        <v>0</v>
      </c>
      <c r="W11" s="175">
        <f>IF($C11,'Matriz de Pesos e Notas'!CB11/'Matriz de Pesos e Notas'!$CN11*'Matriz de Pesos e Notas'!$A$146*$C11,0)</f>
        <v>0</v>
      </c>
      <c r="X11" s="175"/>
      <c r="Y11" s="163">
        <f>IF($C11,'Matriz de Pesos e Notas'!CD11/'Matriz de Pesos e Notas'!$CM11*'Matriz de Pesos e Notas'!$A$145*$C11,0)</f>
        <v>0</v>
      </c>
      <c r="Z11" s="175">
        <f>IF($C11,'Matriz de Pesos e Notas'!CE11/'Matriz de Pesos e Notas'!$CN11*'Matriz de Pesos e Notas'!$A$146*$C11,0)</f>
        <v>0</v>
      </c>
      <c r="AA11" s="175"/>
      <c r="AB11" s="163">
        <f>IF($C11,'Matriz de Pesos e Notas'!CG11/'Matriz de Pesos e Notas'!$CM11*'Matriz de Pesos e Notas'!$A$145*$C11,0)</f>
        <v>0</v>
      </c>
      <c r="AC11" s="175">
        <f>IF($C11,'Matriz de Pesos e Notas'!CH11/'Matriz de Pesos e Notas'!$CN11*'Matriz de Pesos e Notas'!$A$146*$C11,0)</f>
        <v>0</v>
      </c>
      <c r="AD11" s="175"/>
      <c r="AE11" s="163">
        <f>IF($C11,'Matriz de Pesos e Notas'!CJ11/'Matriz de Pesos e Notas'!$CM11*'Matriz de Pesos e Notas'!$A$145*$C11,0)</f>
        <v>0</v>
      </c>
      <c r="AF11" s="175">
        <f>IF($C11,'Matriz de Pesos e Notas'!CK11/'Matriz de Pesos e Notas'!$CN11*'Matriz de Pesos e Notas'!$A$146*$C11,0)</f>
        <v>0</v>
      </c>
      <c r="AG11" s="164"/>
      <c r="AH11" s="4" t="str">
        <f>IF(C11,"Imprime","Não Imprime")</f>
        <v>Não Imprime</v>
      </c>
    </row>
    <row r="12" spans="1:34" x14ac:dyDescent="0.2">
      <c r="A12" s="43"/>
      <c r="B12" s="65" t="str">
        <f>TEXT(D11,"0,00%")&amp;"        "&amp;TEXT(E11,"0,00%")</f>
        <v>0,00%        0,00%</v>
      </c>
      <c r="C12" s="92"/>
      <c r="D12" s="73"/>
      <c r="E12" s="72"/>
      <c r="F12" s="72"/>
      <c r="G12" s="165"/>
      <c r="H12" s="176"/>
      <c r="I12" s="176"/>
      <c r="J12" s="165"/>
      <c r="K12" s="176"/>
      <c r="L12" s="176"/>
      <c r="M12" s="165"/>
      <c r="N12" s="176"/>
      <c r="O12" s="176"/>
      <c r="P12" s="165"/>
      <c r="Q12" s="176"/>
      <c r="R12" s="176"/>
      <c r="S12" s="165"/>
      <c r="T12" s="176"/>
      <c r="U12" s="176"/>
      <c r="V12" s="165"/>
      <c r="W12" s="176"/>
      <c r="X12" s="176"/>
      <c r="Y12" s="165"/>
      <c r="Z12" s="176"/>
      <c r="AA12" s="176"/>
      <c r="AB12" s="165"/>
      <c r="AC12" s="176"/>
      <c r="AD12" s="176"/>
      <c r="AE12" s="165"/>
      <c r="AF12" s="176"/>
      <c r="AG12" s="166"/>
      <c r="AH12" s="8" t="str">
        <f>+AH11</f>
        <v>Não Imprime</v>
      </c>
    </row>
    <row r="13" spans="1:34" x14ac:dyDescent="0.2">
      <c r="A13" s="628" t="str">
        <f>'Matriz de Pesos e Notas'!A13</f>
        <v>Nome da Atividade 4 da Unidade 1</v>
      </c>
      <c r="B13" s="629"/>
      <c r="C13" s="92">
        <f>IF(ISTEXT('Matriz de Pesos e Notas'!C13),letrapeso('Matriz de Pesos e Notas'!C13)/SUM(letrapeso('Matriz de Pesos e Notas'!C7)+letrapeso('Matriz de Pesos e Notas'!C9)+letrapeso('Matriz de Pesos e Notas'!C11)+letrapeso('Matriz de Pesos e Notas'!C13)+letrapeso('Matriz de Pesos e Notas'!C15)+letrapeso('Matriz de Pesos e Notas'!C17)+letrapeso('Matriz de Pesos e Notas'!C19))*C5,0)</f>
        <v>0</v>
      </c>
      <c r="D13" s="85">
        <f>G13+J13+M13+P13+S13+V13+Y13+AB13+AE13</f>
        <v>0</v>
      </c>
      <c r="E13" s="85">
        <f>H13+K13+N13+Q13+T13+W13+Z13+AC13+AF13</f>
        <v>0</v>
      </c>
      <c r="F13" s="72"/>
      <c r="G13" s="163">
        <f>IF($C13,'Matriz de Pesos e Notas'!BL13/'Matriz de Pesos e Notas'!$CM13*'Matriz de Pesos e Notas'!$A$145*$C13,0)</f>
        <v>0</v>
      </c>
      <c r="H13" s="175">
        <f>IF($C13,'Matriz de Pesos e Notas'!BM13/'Matriz de Pesos e Notas'!$CN13*'Matriz de Pesos e Notas'!$A$146*$C13,0)</f>
        <v>0</v>
      </c>
      <c r="I13" s="175"/>
      <c r="J13" s="163">
        <f>IF($C13,'Matriz de Pesos e Notas'!BO13/'Matriz de Pesos e Notas'!$CM13*'Matriz de Pesos e Notas'!$A$145*$C13,0)</f>
        <v>0</v>
      </c>
      <c r="K13" s="175">
        <f>IF($C13,'Matriz de Pesos e Notas'!BP13/'Matriz de Pesos e Notas'!$CN13*'Matriz de Pesos e Notas'!$A$146*$C13,0)</f>
        <v>0</v>
      </c>
      <c r="L13" s="175"/>
      <c r="M13" s="163">
        <f>IF($C13,'Matriz de Pesos e Notas'!BR13/'Matriz de Pesos e Notas'!$CM13*'Matriz de Pesos e Notas'!$A$145*$C13,0)</f>
        <v>0</v>
      </c>
      <c r="N13" s="175">
        <f>IF($C13,'Matriz de Pesos e Notas'!BS13/'Matriz de Pesos e Notas'!$CN13*'Matriz de Pesos e Notas'!$A$146*$C13,0)</f>
        <v>0</v>
      </c>
      <c r="O13" s="175"/>
      <c r="P13" s="163">
        <f>IF($C13,'Matriz de Pesos e Notas'!BU13/'Matriz de Pesos e Notas'!$CM13*'Matriz de Pesos e Notas'!$A$145*$C13,0)</f>
        <v>0</v>
      </c>
      <c r="Q13" s="175">
        <f>IF($C13,'Matriz de Pesos e Notas'!BV13/'Matriz de Pesos e Notas'!$CN13*'Matriz de Pesos e Notas'!$A$146*$C13,0)</f>
        <v>0</v>
      </c>
      <c r="R13" s="175"/>
      <c r="S13" s="163">
        <f>IF($C13,'Matriz de Pesos e Notas'!BX13/'Matriz de Pesos e Notas'!$CM13*'Matriz de Pesos e Notas'!$A$145*$C13,0)</f>
        <v>0</v>
      </c>
      <c r="T13" s="175">
        <f>IF($C13,'Matriz de Pesos e Notas'!BY13/'Matriz de Pesos e Notas'!$CN13*'Matriz de Pesos e Notas'!$A$146*$C13,0)</f>
        <v>0</v>
      </c>
      <c r="U13" s="175"/>
      <c r="V13" s="163">
        <f>IF($C13,'Matriz de Pesos e Notas'!CA13/'Matriz de Pesos e Notas'!$CM13*'Matriz de Pesos e Notas'!$A$145*$C13,0)</f>
        <v>0</v>
      </c>
      <c r="W13" s="175">
        <f>IF($C13,'Matriz de Pesos e Notas'!CB13/'Matriz de Pesos e Notas'!$CN13*'Matriz de Pesos e Notas'!$A$146*$C13,0)</f>
        <v>0</v>
      </c>
      <c r="X13" s="175"/>
      <c r="Y13" s="163">
        <f>IF($C13,'Matriz de Pesos e Notas'!CD13/'Matriz de Pesos e Notas'!$CM13*'Matriz de Pesos e Notas'!$A$145*$C13,0)</f>
        <v>0</v>
      </c>
      <c r="Z13" s="175">
        <f>IF($C13,'Matriz de Pesos e Notas'!CE13/'Matriz de Pesos e Notas'!$CN13*'Matriz de Pesos e Notas'!$A$146*$C13,0)</f>
        <v>0</v>
      </c>
      <c r="AA13" s="175"/>
      <c r="AB13" s="163">
        <f>IF($C13,'Matriz de Pesos e Notas'!CG13/'Matriz de Pesos e Notas'!$CM13*'Matriz de Pesos e Notas'!$A$145*$C13,0)</f>
        <v>0</v>
      </c>
      <c r="AC13" s="175">
        <f>IF($C13,'Matriz de Pesos e Notas'!CH13/'Matriz de Pesos e Notas'!$CN13*'Matriz de Pesos e Notas'!$A$146*$C13,0)</f>
        <v>0</v>
      </c>
      <c r="AD13" s="175"/>
      <c r="AE13" s="163">
        <f>IF($C13,'Matriz de Pesos e Notas'!CJ13/'Matriz de Pesos e Notas'!$CM13*'Matriz de Pesos e Notas'!$A$145*$C13,0)</f>
        <v>0</v>
      </c>
      <c r="AF13" s="175">
        <f>IF($C13,'Matriz de Pesos e Notas'!CK13/'Matriz de Pesos e Notas'!$CN13*'Matriz de Pesos e Notas'!$A$146*$C13,0)</f>
        <v>0</v>
      </c>
      <c r="AG13" s="164"/>
      <c r="AH13" s="1" t="str">
        <f>IF(C13,"Imprime","Não Imprime")</f>
        <v>Não Imprime</v>
      </c>
    </row>
    <row r="14" spans="1:34" x14ac:dyDescent="0.2">
      <c r="A14" s="43"/>
      <c r="B14" s="65" t="str">
        <f>TEXT(D13,"0,00%")&amp;"        "&amp;TEXT(E13,"0,00%")</f>
        <v>0,00%        0,00%</v>
      </c>
      <c r="C14" s="92"/>
      <c r="D14" s="74"/>
      <c r="E14" s="74"/>
      <c r="F14" s="86"/>
      <c r="G14" s="165"/>
      <c r="H14" s="176"/>
      <c r="I14" s="176"/>
      <c r="J14" s="165"/>
      <c r="K14" s="176"/>
      <c r="L14" s="176"/>
      <c r="M14" s="165"/>
      <c r="N14" s="176"/>
      <c r="O14" s="176"/>
      <c r="P14" s="165"/>
      <c r="Q14" s="176"/>
      <c r="R14" s="176"/>
      <c r="S14" s="165"/>
      <c r="T14" s="176"/>
      <c r="U14" s="176"/>
      <c r="V14" s="165"/>
      <c r="W14" s="176"/>
      <c r="X14" s="176"/>
      <c r="Y14" s="165"/>
      <c r="Z14" s="176"/>
      <c r="AA14" s="176"/>
      <c r="AB14" s="165"/>
      <c r="AC14" s="176"/>
      <c r="AD14" s="176"/>
      <c r="AE14" s="165"/>
      <c r="AF14" s="176"/>
      <c r="AG14" s="166"/>
      <c r="AH14" s="8" t="str">
        <f>+AH13</f>
        <v>Não Imprime</v>
      </c>
    </row>
    <row r="15" spans="1:34" x14ac:dyDescent="0.2">
      <c r="A15" s="628" t="str">
        <f>'Matriz de Pesos e Notas'!A15</f>
        <v>Nome da Atividade 5 da Unidade 1</v>
      </c>
      <c r="B15" s="629"/>
      <c r="C15" s="92">
        <f>IF(ISTEXT('Matriz de Pesos e Notas'!C15),letrapeso('Matriz de Pesos e Notas'!C15)/SUM(letrapeso('Matriz de Pesos e Notas'!C7)+letrapeso('Matriz de Pesos e Notas'!C9)+letrapeso('Matriz de Pesos e Notas'!C11)+letrapeso('Matriz de Pesos e Notas'!C13)+letrapeso('Matriz de Pesos e Notas'!C15)+letrapeso('Matriz de Pesos e Notas'!C17)+letrapeso('Matriz de Pesos e Notas'!C19))*C5,0)</f>
        <v>0</v>
      </c>
      <c r="D15" s="85">
        <f>G15+J15+M15+P15+S15+V15+Y15+AB15+AE15</f>
        <v>0</v>
      </c>
      <c r="E15" s="85">
        <f>H15+K15+N15+Q15+T15+W15+Z15+AC15+AF15</f>
        <v>0</v>
      </c>
      <c r="F15" s="72"/>
      <c r="G15" s="163">
        <f>IF($C15,'Matriz de Pesos e Notas'!BL15/'Matriz de Pesos e Notas'!$CM15*'Matriz de Pesos e Notas'!$A$145*$C15,0)</f>
        <v>0</v>
      </c>
      <c r="H15" s="175">
        <f>IF($C15,'Matriz de Pesos e Notas'!BM15/'Matriz de Pesos e Notas'!$CN15*'Matriz de Pesos e Notas'!$A$146*$C15,0)</f>
        <v>0</v>
      </c>
      <c r="I15" s="175"/>
      <c r="J15" s="163">
        <f>IF($C15,'Matriz de Pesos e Notas'!BO15/'Matriz de Pesos e Notas'!$CM15*'Matriz de Pesos e Notas'!$A$145*$C15,0)</f>
        <v>0</v>
      </c>
      <c r="K15" s="175">
        <f>IF($C15,'Matriz de Pesos e Notas'!BP15/'Matriz de Pesos e Notas'!$CN15*'Matriz de Pesos e Notas'!$A$146*$C15,0)</f>
        <v>0</v>
      </c>
      <c r="L15" s="175"/>
      <c r="M15" s="163">
        <f>IF($C15,'Matriz de Pesos e Notas'!BR15/'Matriz de Pesos e Notas'!$CM15*'Matriz de Pesos e Notas'!$A$145*$C15,0)</f>
        <v>0</v>
      </c>
      <c r="N15" s="175">
        <f>IF($C15,'Matriz de Pesos e Notas'!BS15/'Matriz de Pesos e Notas'!$CN15*'Matriz de Pesos e Notas'!$A$146*$C15,0)</f>
        <v>0</v>
      </c>
      <c r="O15" s="175"/>
      <c r="P15" s="163">
        <f>IF($C15,'Matriz de Pesos e Notas'!BU15/'Matriz de Pesos e Notas'!$CM15*'Matriz de Pesos e Notas'!$A$145*$C15,0)</f>
        <v>0</v>
      </c>
      <c r="Q15" s="175">
        <f>IF($C15,'Matriz de Pesos e Notas'!BV15/'Matriz de Pesos e Notas'!$CN15*'Matriz de Pesos e Notas'!$A$146*$C15,0)</f>
        <v>0</v>
      </c>
      <c r="R15" s="175"/>
      <c r="S15" s="163">
        <f>IF($C15,'Matriz de Pesos e Notas'!BX15/'Matriz de Pesos e Notas'!$CM15*'Matriz de Pesos e Notas'!$A$145*$C15,0)</f>
        <v>0</v>
      </c>
      <c r="T15" s="175">
        <f>IF($C15,'Matriz de Pesos e Notas'!BY15/'Matriz de Pesos e Notas'!$CN15*'Matriz de Pesos e Notas'!$A$146*$C15,0)</f>
        <v>0</v>
      </c>
      <c r="U15" s="175"/>
      <c r="V15" s="163">
        <f>IF($C15,'Matriz de Pesos e Notas'!CA15/'Matriz de Pesos e Notas'!$CM15*'Matriz de Pesos e Notas'!$A$145*$C15,0)</f>
        <v>0</v>
      </c>
      <c r="W15" s="175">
        <f>IF($C15,'Matriz de Pesos e Notas'!CB15/'Matriz de Pesos e Notas'!$CN15*'Matriz de Pesos e Notas'!$A$146*$C15,0)</f>
        <v>0</v>
      </c>
      <c r="X15" s="175"/>
      <c r="Y15" s="163">
        <f>IF($C15,'Matriz de Pesos e Notas'!CD15/'Matriz de Pesos e Notas'!$CM15*'Matriz de Pesos e Notas'!$A$145*$C15,0)</f>
        <v>0</v>
      </c>
      <c r="Z15" s="175">
        <f>IF($C15,'Matriz de Pesos e Notas'!CE15/'Matriz de Pesos e Notas'!$CN15*'Matriz de Pesos e Notas'!$A$146*$C15,0)</f>
        <v>0</v>
      </c>
      <c r="AA15" s="175"/>
      <c r="AB15" s="163">
        <f>IF($C15,'Matriz de Pesos e Notas'!CG15/'Matriz de Pesos e Notas'!$CM15*'Matriz de Pesos e Notas'!$A$145*$C15,0)</f>
        <v>0</v>
      </c>
      <c r="AC15" s="175">
        <f>IF($C15,'Matriz de Pesos e Notas'!CH15/'Matriz de Pesos e Notas'!$CN15*'Matriz de Pesos e Notas'!$A$146*$C15,0)</f>
        <v>0</v>
      </c>
      <c r="AD15" s="175"/>
      <c r="AE15" s="163">
        <f>IF($C15,'Matriz de Pesos e Notas'!CJ15/'Matriz de Pesos e Notas'!$CM15*'Matriz de Pesos e Notas'!$A$145*$C15,0)</f>
        <v>0</v>
      </c>
      <c r="AF15" s="175">
        <f>IF($C15,'Matriz de Pesos e Notas'!CK15/'Matriz de Pesos e Notas'!$CN15*'Matriz de Pesos e Notas'!$A$146*$C15,0)</f>
        <v>0</v>
      </c>
      <c r="AG15" s="164"/>
      <c r="AH15" s="1" t="str">
        <f>IF(C15,"Imprime","Não Imprime")</f>
        <v>Não Imprime</v>
      </c>
    </row>
    <row r="16" spans="1:34" x14ac:dyDescent="0.2">
      <c r="A16" s="43"/>
      <c r="B16" s="65" t="str">
        <f>TEXT(D15,"0,00%")&amp;"        "&amp;TEXT(E15,"0,00%")</f>
        <v>0,00%        0,00%</v>
      </c>
      <c r="C16" s="92"/>
      <c r="D16" s="74"/>
      <c r="E16" s="74"/>
      <c r="F16" s="86"/>
      <c r="G16" s="165"/>
      <c r="H16" s="176"/>
      <c r="I16" s="176"/>
      <c r="J16" s="165"/>
      <c r="K16" s="176"/>
      <c r="L16" s="176"/>
      <c r="M16" s="165"/>
      <c r="N16" s="176"/>
      <c r="O16" s="176"/>
      <c r="P16" s="165"/>
      <c r="Q16" s="176"/>
      <c r="R16" s="176"/>
      <c r="S16" s="165"/>
      <c r="T16" s="176"/>
      <c r="U16" s="176"/>
      <c r="V16" s="165"/>
      <c r="W16" s="176"/>
      <c r="X16" s="176"/>
      <c r="Y16" s="165"/>
      <c r="Z16" s="176"/>
      <c r="AA16" s="176"/>
      <c r="AB16" s="165"/>
      <c r="AC16" s="176"/>
      <c r="AD16" s="176"/>
      <c r="AE16" s="165"/>
      <c r="AF16" s="176"/>
      <c r="AG16" s="166"/>
      <c r="AH16" s="8" t="str">
        <f>+AH15</f>
        <v>Não Imprime</v>
      </c>
    </row>
    <row r="17" spans="1:34" x14ac:dyDescent="0.2">
      <c r="A17" s="628" t="str">
        <f>'Matriz de Pesos e Notas'!A17</f>
        <v>Nome da Atividade 6 da Unidade 1</v>
      </c>
      <c r="B17" s="629"/>
      <c r="C17" s="92">
        <f>IF(ISTEXT('Matriz de Pesos e Notas'!C17),letrapeso('Matriz de Pesos e Notas'!C17)/SUM(letrapeso('Matriz de Pesos e Notas'!C7)+letrapeso('Matriz de Pesos e Notas'!C9)+letrapeso('Matriz de Pesos e Notas'!C11)+letrapeso('Matriz de Pesos e Notas'!C13)+letrapeso('Matriz de Pesos e Notas'!C15)+letrapeso('Matriz de Pesos e Notas'!C17)+letrapeso('Matriz de Pesos e Notas'!C19))*C5,0)</f>
        <v>0</v>
      </c>
      <c r="D17" s="85">
        <f>G17+J17+M17+P17+S17+V17+Y17+AB17+AE17</f>
        <v>0</v>
      </c>
      <c r="E17" s="85">
        <f>H17+K17+N17+Q17+T17+W17+Z17+AC17+AF17</f>
        <v>0</v>
      </c>
      <c r="F17" s="72"/>
      <c r="G17" s="163">
        <f>IF($C17,'Matriz de Pesos e Notas'!BL17/'Matriz de Pesos e Notas'!$CM17*'Matriz de Pesos e Notas'!$A$145*$C17,0)</f>
        <v>0</v>
      </c>
      <c r="H17" s="175">
        <f>IF($C17,'Matriz de Pesos e Notas'!BM17/'Matriz de Pesos e Notas'!$CN17*'Matriz de Pesos e Notas'!$A$146*$C17,0)</f>
        <v>0</v>
      </c>
      <c r="I17" s="175"/>
      <c r="J17" s="163">
        <f>IF($C17,'Matriz de Pesos e Notas'!BO17/'Matriz de Pesos e Notas'!$CM17*'Matriz de Pesos e Notas'!$A$145*$C17,0)</f>
        <v>0</v>
      </c>
      <c r="K17" s="175">
        <f>IF($C17,'Matriz de Pesos e Notas'!BP17/'Matriz de Pesos e Notas'!$CN17*'Matriz de Pesos e Notas'!$A$146*$C17,0)</f>
        <v>0</v>
      </c>
      <c r="L17" s="175"/>
      <c r="M17" s="163">
        <f>IF($C17,'Matriz de Pesos e Notas'!BR17/'Matriz de Pesos e Notas'!$CM17*'Matriz de Pesos e Notas'!$A$145*$C17,0)</f>
        <v>0</v>
      </c>
      <c r="N17" s="175">
        <f>IF($C17,'Matriz de Pesos e Notas'!BS17/'Matriz de Pesos e Notas'!$CN17*'Matriz de Pesos e Notas'!$A$146*$C17,0)</f>
        <v>0</v>
      </c>
      <c r="O17" s="175"/>
      <c r="P17" s="163">
        <f>IF($C17,'Matriz de Pesos e Notas'!BU17/'Matriz de Pesos e Notas'!$CM17*'Matriz de Pesos e Notas'!$A$145*$C17,0)</f>
        <v>0</v>
      </c>
      <c r="Q17" s="175">
        <f>IF($C17,'Matriz de Pesos e Notas'!BV17/'Matriz de Pesos e Notas'!$CN17*'Matriz de Pesos e Notas'!$A$146*$C17,0)</f>
        <v>0</v>
      </c>
      <c r="R17" s="175"/>
      <c r="S17" s="163">
        <f>IF($C17,'Matriz de Pesos e Notas'!BX17/'Matriz de Pesos e Notas'!$CM17*'Matriz de Pesos e Notas'!$A$145*$C17,0)</f>
        <v>0</v>
      </c>
      <c r="T17" s="175">
        <f>IF($C17,'Matriz de Pesos e Notas'!BY17/'Matriz de Pesos e Notas'!$CN17*'Matriz de Pesos e Notas'!$A$146*$C17,0)</f>
        <v>0</v>
      </c>
      <c r="U17" s="175"/>
      <c r="V17" s="163">
        <f>IF($C17,'Matriz de Pesos e Notas'!CA17/'Matriz de Pesos e Notas'!$CM17*'Matriz de Pesos e Notas'!$A$145*$C17,0)</f>
        <v>0</v>
      </c>
      <c r="W17" s="175">
        <f>IF($C17,'Matriz de Pesos e Notas'!CB17/'Matriz de Pesos e Notas'!$CN17*'Matriz de Pesos e Notas'!$A$146*$C17,0)</f>
        <v>0</v>
      </c>
      <c r="X17" s="175"/>
      <c r="Y17" s="163">
        <f>IF($C17,'Matriz de Pesos e Notas'!CD17/'Matriz de Pesos e Notas'!$CM17*'Matriz de Pesos e Notas'!$A$145*$C17,0)</f>
        <v>0</v>
      </c>
      <c r="Z17" s="175">
        <f>IF($C17,'Matriz de Pesos e Notas'!CE17/'Matriz de Pesos e Notas'!$CN17*'Matriz de Pesos e Notas'!$A$146*$C17,0)</f>
        <v>0</v>
      </c>
      <c r="AA17" s="175"/>
      <c r="AB17" s="163">
        <f>IF($C17,'Matriz de Pesos e Notas'!CG17/'Matriz de Pesos e Notas'!$CM17*'Matriz de Pesos e Notas'!$A$145*$C17,0)</f>
        <v>0</v>
      </c>
      <c r="AC17" s="175">
        <f>IF($C17,'Matriz de Pesos e Notas'!CH17/'Matriz de Pesos e Notas'!$CN17*'Matriz de Pesos e Notas'!$A$146*$C17,0)</f>
        <v>0</v>
      </c>
      <c r="AD17" s="175"/>
      <c r="AE17" s="163">
        <f>IF($C17,'Matriz de Pesos e Notas'!CJ17/'Matriz de Pesos e Notas'!$CM17*'Matriz de Pesos e Notas'!$A$145*$C17,0)</f>
        <v>0</v>
      </c>
      <c r="AF17" s="175">
        <f>IF($C17,'Matriz de Pesos e Notas'!CK17/'Matriz de Pesos e Notas'!$CN17*'Matriz de Pesos e Notas'!$A$146*$C17,0)</f>
        <v>0</v>
      </c>
      <c r="AG17" s="164"/>
      <c r="AH17" s="1" t="str">
        <f>IF(C17,"Imprime","Não Imprime")</f>
        <v>Não Imprime</v>
      </c>
    </row>
    <row r="18" spans="1:34" x14ac:dyDescent="0.2">
      <c r="A18" s="43"/>
      <c r="B18" s="65" t="str">
        <f>TEXT(D17,"0,00%")&amp;"        "&amp;TEXT(E17,"0,00%")</f>
        <v>0,00%        0,00%</v>
      </c>
      <c r="C18" s="92"/>
      <c r="D18" s="74"/>
      <c r="E18" s="74"/>
      <c r="F18" s="86"/>
      <c r="G18" s="165"/>
      <c r="H18" s="176"/>
      <c r="I18" s="176"/>
      <c r="J18" s="165"/>
      <c r="K18" s="176"/>
      <c r="L18" s="176"/>
      <c r="M18" s="165"/>
      <c r="N18" s="176"/>
      <c r="O18" s="176"/>
      <c r="P18" s="165"/>
      <c r="Q18" s="176"/>
      <c r="R18" s="176"/>
      <c r="S18" s="165"/>
      <c r="T18" s="176"/>
      <c r="U18" s="176"/>
      <c r="V18" s="165"/>
      <c r="W18" s="176"/>
      <c r="X18" s="176"/>
      <c r="Y18" s="165"/>
      <c r="Z18" s="176"/>
      <c r="AA18" s="176"/>
      <c r="AB18" s="165"/>
      <c r="AC18" s="176"/>
      <c r="AD18" s="176"/>
      <c r="AE18" s="165"/>
      <c r="AF18" s="176"/>
      <c r="AG18" s="166"/>
      <c r="AH18" s="8" t="str">
        <f>+AH17</f>
        <v>Não Imprime</v>
      </c>
    </row>
    <row r="19" spans="1:34" x14ac:dyDescent="0.2">
      <c r="A19" s="628" t="str">
        <f>'Matriz de Pesos e Notas'!A19</f>
        <v>Nome da Atividade 7 da Unidade 1</v>
      </c>
      <c r="B19" s="629"/>
      <c r="C19" s="92">
        <f>IF(ISTEXT('Matriz de Pesos e Notas'!C19),letrapeso('Matriz de Pesos e Notas'!C19)/SUM(letrapeso('Matriz de Pesos e Notas'!C7)+letrapeso('Matriz de Pesos e Notas'!C9)+letrapeso('Matriz de Pesos e Notas'!C11)+letrapeso('Matriz de Pesos e Notas'!C13)+letrapeso('Matriz de Pesos e Notas'!C15)+letrapeso('Matriz de Pesos e Notas'!C17)+letrapeso('Matriz de Pesos e Notas'!C19))*C5,0)</f>
        <v>0</v>
      </c>
      <c r="D19" s="85">
        <f>G19+J19+M19+P19+S19+V19+Y19+AB19+AE19</f>
        <v>0</v>
      </c>
      <c r="E19" s="85">
        <f>H19+K19+N19+Q19+T19+W19+Z19+AC19+AF19</f>
        <v>0</v>
      </c>
      <c r="F19" s="72"/>
      <c r="G19" s="163">
        <f>IF($C19,'Matriz de Pesos e Notas'!BL19/'Matriz de Pesos e Notas'!$CM19*'Matriz de Pesos e Notas'!$A$145*$C19,0)</f>
        <v>0</v>
      </c>
      <c r="H19" s="175">
        <f>IF($C19,'Matriz de Pesos e Notas'!BM19/'Matriz de Pesos e Notas'!$CN19*'Matriz de Pesos e Notas'!$A$146*$C19,0)</f>
        <v>0</v>
      </c>
      <c r="I19" s="175"/>
      <c r="J19" s="163">
        <f>IF($C19,'Matriz de Pesos e Notas'!BO19/'Matriz de Pesos e Notas'!$CM19*'Matriz de Pesos e Notas'!$A$145*$C19,0)</f>
        <v>0</v>
      </c>
      <c r="K19" s="175">
        <f>IF($C19,'Matriz de Pesos e Notas'!BP19/'Matriz de Pesos e Notas'!$CN19*'Matriz de Pesos e Notas'!$A$146*$C19,0)</f>
        <v>0</v>
      </c>
      <c r="L19" s="175"/>
      <c r="M19" s="163">
        <f>IF($C19,'Matriz de Pesos e Notas'!BR19/'Matriz de Pesos e Notas'!$CM19*'Matriz de Pesos e Notas'!$A$145*$C19,0)</f>
        <v>0</v>
      </c>
      <c r="N19" s="175">
        <f>IF($C19,'Matriz de Pesos e Notas'!BS19/'Matriz de Pesos e Notas'!$CN19*'Matriz de Pesos e Notas'!$A$146*$C19,0)</f>
        <v>0</v>
      </c>
      <c r="O19" s="175"/>
      <c r="P19" s="163">
        <f>IF($C19,'Matriz de Pesos e Notas'!BU19/'Matriz de Pesos e Notas'!$CM19*'Matriz de Pesos e Notas'!$A$145*$C19,0)</f>
        <v>0</v>
      </c>
      <c r="Q19" s="175">
        <f>IF($C19,'Matriz de Pesos e Notas'!BV19/'Matriz de Pesos e Notas'!$CN19*'Matriz de Pesos e Notas'!$A$146*$C19,0)</f>
        <v>0</v>
      </c>
      <c r="R19" s="175"/>
      <c r="S19" s="163">
        <f>IF($C19,'Matriz de Pesos e Notas'!BX19/'Matriz de Pesos e Notas'!$CM19*'Matriz de Pesos e Notas'!$A$145*$C19,0)</f>
        <v>0</v>
      </c>
      <c r="T19" s="175">
        <f>IF($C19,'Matriz de Pesos e Notas'!BY19/'Matriz de Pesos e Notas'!$CN19*'Matriz de Pesos e Notas'!$A$146*$C19,0)</f>
        <v>0</v>
      </c>
      <c r="U19" s="175"/>
      <c r="V19" s="163">
        <f>IF($C19,'Matriz de Pesos e Notas'!CA19/'Matriz de Pesos e Notas'!$CM19*'Matriz de Pesos e Notas'!$A$145*$C19,0)</f>
        <v>0</v>
      </c>
      <c r="W19" s="175">
        <f>IF($C19,'Matriz de Pesos e Notas'!CB19/'Matriz de Pesos e Notas'!$CN19*'Matriz de Pesos e Notas'!$A$146*$C19,0)</f>
        <v>0</v>
      </c>
      <c r="X19" s="175"/>
      <c r="Y19" s="163">
        <f>IF($C19,'Matriz de Pesos e Notas'!CD19/'Matriz de Pesos e Notas'!$CM19*'Matriz de Pesos e Notas'!$A$145*$C19,0)</f>
        <v>0</v>
      </c>
      <c r="Z19" s="175">
        <f>IF($C19,'Matriz de Pesos e Notas'!CE19/'Matriz de Pesos e Notas'!$CN19*'Matriz de Pesos e Notas'!$A$146*$C19,0)</f>
        <v>0</v>
      </c>
      <c r="AA19" s="175"/>
      <c r="AB19" s="163">
        <f>IF($C19,'Matriz de Pesos e Notas'!CG19/'Matriz de Pesos e Notas'!$CM19*'Matriz de Pesos e Notas'!$A$145*$C19,0)</f>
        <v>0</v>
      </c>
      <c r="AC19" s="175">
        <f>IF($C19,'Matriz de Pesos e Notas'!CH19/'Matriz de Pesos e Notas'!$CN19*'Matriz de Pesos e Notas'!$A$146*$C19,0)</f>
        <v>0</v>
      </c>
      <c r="AD19" s="175"/>
      <c r="AE19" s="163">
        <f>IF($C19,'Matriz de Pesos e Notas'!CJ19/'Matriz de Pesos e Notas'!$CM19*'Matriz de Pesos e Notas'!$A$145*$C19,0)</f>
        <v>0</v>
      </c>
      <c r="AF19" s="175">
        <f>IF($C19,'Matriz de Pesos e Notas'!CK19/'Matriz de Pesos e Notas'!$CN19*'Matriz de Pesos e Notas'!$A$146*$C19,0)</f>
        <v>0</v>
      </c>
      <c r="AG19" s="164"/>
      <c r="AH19" s="1" t="str">
        <f>IF(C19,"Imprime","Não Imprime")</f>
        <v>Não Imprime</v>
      </c>
    </row>
    <row r="20" spans="1:34" x14ac:dyDescent="0.2">
      <c r="A20" s="43"/>
      <c r="B20" s="65" t="str">
        <f>TEXT(D19,"0,00%")&amp;"        "&amp;TEXT(E19,"0,00%")</f>
        <v>0,00%        0,00%</v>
      </c>
      <c r="C20" s="93"/>
      <c r="D20" s="76"/>
      <c r="E20" s="76"/>
      <c r="F20" s="100"/>
      <c r="G20" s="167"/>
      <c r="H20" s="177"/>
      <c r="I20" s="177"/>
      <c r="J20" s="167"/>
      <c r="K20" s="177"/>
      <c r="L20" s="177"/>
      <c r="M20" s="167"/>
      <c r="N20" s="177"/>
      <c r="O20" s="177"/>
      <c r="P20" s="167"/>
      <c r="Q20" s="177"/>
      <c r="R20" s="177"/>
      <c r="S20" s="167"/>
      <c r="T20" s="177"/>
      <c r="U20" s="177"/>
      <c r="V20" s="167"/>
      <c r="W20" s="177"/>
      <c r="X20" s="177"/>
      <c r="Y20" s="167"/>
      <c r="Z20" s="177"/>
      <c r="AA20" s="177"/>
      <c r="AB20" s="167"/>
      <c r="AC20" s="177"/>
      <c r="AD20" s="177"/>
      <c r="AE20" s="167"/>
      <c r="AF20" s="177"/>
      <c r="AG20" s="166"/>
      <c r="AH20" s="8" t="str">
        <f>+AH19</f>
        <v>Não Imprime</v>
      </c>
    </row>
    <row r="21" spans="1:34" x14ac:dyDescent="0.2">
      <c r="A21" s="105" t="str">
        <f>'Matriz de Pesos e Notas'!A21</f>
        <v>Corporate e Empresas</v>
      </c>
      <c r="B21" s="106"/>
      <c r="C21" s="108">
        <f>C151*'Matriz de Pesos e Notas'!$A$135</f>
        <v>8.2758620689655171E-2</v>
      </c>
      <c r="D21" s="109">
        <f>SUM(D23:D35)</f>
        <v>4.5517241379310347E-2</v>
      </c>
      <c r="E21" s="111">
        <f>SUM(E23:E35)</f>
        <v>3.7241379310344831E-2</v>
      </c>
      <c r="F21" s="110"/>
      <c r="G21" s="162"/>
      <c r="H21" s="174"/>
      <c r="I21" s="174"/>
      <c r="J21" s="162"/>
      <c r="K21" s="174"/>
      <c r="L21" s="174"/>
      <c r="M21" s="162"/>
      <c r="N21" s="174"/>
      <c r="O21" s="174"/>
      <c r="P21" s="162"/>
      <c r="Q21" s="174"/>
      <c r="R21" s="174"/>
      <c r="S21" s="162"/>
      <c r="T21" s="174"/>
      <c r="U21" s="174"/>
      <c r="V21" s="162"/>
      <c r="W21" s="174"/>
      <c r="X21" s="174"/>
      <c r="Y21" s="162"/>
      <c r="Z21" s="174"/>
      <c r="AA21" s="174"/>
      <c r="AB21" s="162"/>
      <c r="AC21" s="174"/>
      <c r="AD21" s="174"/>
      <c r="AE21" s="162"/>
      <c r="AF21" s="174"/>
      <c r="AG21" s="164"/>
      <c r="AH21" s="102" t="str">
        <f>IF(C21,"Imprime","Não Imprime")</f>
        <v>Imprime</v>
      </c>
    </row>
    <row r="22" spans="1:34" x14ac:dyDescent="0.2">
      <c r="A22" s="113" t="str">
        <f>TEXT(D21,"0,00%")&amp;"        "&amp;TEXT(E21,"0,00%")</f>
        <v>4,55%        3,72%</v>
      </c>
      <c r="B22" s="114"/>
      <c r="C22" s="91"/>
      <c r="D22" s="71"/>
      <c r="E22" s="71"/>
      <c r="F22" s="99"/>
      <c r="G22" s="163"/>
      <c r="H22" s="175"/>
      <c r="I22" s="175"/>
      <c r="J22" s="163"/>
      <c r="K22" s="175"/>
      <c r="L22" s="175"/>
      <c r="M22" s="163"/>
      <c r="N22" s="175"/>
      <c r="O22" s="175"/>
      <c r="P22" s="163"/>
      <c r="Q22" s="175"/>
      <c r="R22" s="175"/>
      <c r="S22" s="163"/>
      <c r="T22" s="175"/>
      <c r="U22" s="175"/>
      <c r="V22" s="163"/>
      <c r="W22" s="175"/>
      <c r="X22" s="175"/>
      <c r="Y22" s="163"/>
      <c r="Z22" s="175"/>
      <c r="AA22" s="175"/>
      <c r="AB22" s="163"/>
      <c r="AC22" s="175"/>
      <c r="AD22" s="175"/>
      <c r="AE22" s="163"/>
      <c r="AF22" s="175"/>
      <c r="AG22" s="164"/>
      <c r="AH22" s="1" t="str">
        <f>+AH21</f>
        <v>Imprime</v>
      </c>
    </row>
    <row r="23" spans="1:34" x14ac:dyDescent="0.2">
      <c r="A23" s="628" t="str">
        <f>'Matriz de Pesos e Notas'!A23</f>
        <v>Corporate e Empresas</v>
      </c>
      <c r="B23" s="629"/>
      <c r="C23" s="92">
        <f>IF(ISTEXT('Matriz de Pesos e Notas'!C23),letrapeso('Matriz de Pesos e Notas'!C23)/SUM(letrapeso('Matriz de Pesos e Notas'!C23)+letrapeso('Matriz de Pesos e Notas'!C25)+letrapeso('Matriz de Pesos e Notas'!C27)+letrapeso('Matriz de Pesos e Notas'!C29)+letrapeso('Matriz de Pesos e Notas'!C31)+letrapeso('Matriz de Pesos e Notas'!C33)+letrapeso('Matriz de Pesos e Notas'!C35))*C21,0)</f>
        <v>8.2758620689655171E-2</v>
      </c>
      <c r="D23" s="85">
        <f>G23+J23+M23+P23+S23+V23+Y23+AB23+AE23</f>
        <v>4.5517241379310347E-2</v>
      </c>
      <c r="E23" s="85">
        <f>H23+K23+N23+Q23+T23+W23+Z23+AC23+AF23</f>
        <v>3.7241379310344831E-2</v>
      </c>
      <c r="F23" s="72"/>
      <c r="G23" s="163">
        <f>IF($C23,'Matriz de Pesos e Notas'!BL23/'Matriz de Pesos e Notas'!$CM23*'Matriz de Pesos e Notas'!$A$145*$C23,0)</f>
        <v>4.5517241379310347E-2</v>
      </c>
      <c r="H23" s="175">
        <f>IF($C23,'Matriz de Pesos e Notas'!BM23/'Matriz de Pesos e Notas'!$CN23*'Matriz de Pesos e Notas'!$A$146*$C23,0)</f>
        <v>3.7241379310344831E-2</v>
      </c>
      <c r="I23" s="175"/>
      <c r="J23" s="163">
        <f>IF($C23,'Matriz de Pesos e Notas'!BO23/'Matriz de Pesos e Notas'!$CM23*'Matriz de Pesos e Notas'!$A$145*$C23,0)</f>
        <v>0</v>
      </c>
      <c r="K23" s="175">
        <f>IF($C23,'Matriz de Pesos e Notas'!BP23/'Matriz de Pesos e Notas'!$CN23*'Matriz de Pesos e Notas'!$A$146*$C23,0)</f>
        <v>0</v>
      </c>
      <c r="L23" s="175"/>
      <c r="M23" s="163">
        <f>IF($C23,'Matriz de Pesos e Notas'!BR23/'Matriz de Pesos e Notas'!$CM23*'Matriz de Pesos e Notas'!$A$145*$C23,0)</f>
        <v>0</v>
      </c>
      <c r="N23" s="175">
        <f>IF($C23,'Matriz de Pesos e Notas'!BS23/'Matriz de Pesos e Notas'!$CN23*'Matriz de Pesos e Notas'!$A$146*$C23,0)</f>
        <v>0</v>
      </c>
      <c r="O23" s="175"/>
      <c r="P23" s="163">
        <f>IF($C23,'Matriz de Pesos e Notas'!BU23/'Matriz de Pesos e Notas'!$CM23*'Matriz de Pesos e Notas'!$A$145*$C23,0)</f>
        <v>0</v>
      </c>
      <c r="Q23" s="175">
        <f>IF($C23,'Matriz de Pesos e Notas'!BV23/'Matriz de Pesos e Notas'!$CN23*'Matriz de Pesos e Notas'!$A$146*$C23,0)</f>
        <v>0</v>
      </c>
      <c r="R23" s="175"/>
      <c r="S23" s="163">
        <f>IF($C23,'Matriz de Pesos e Notas'!BX23/'Matriz de Pesos e Notas'!$CM23*'Matriz de Pesos e Notas'!$A$145*$C23,0)</f>
        <v>0</v>
      </c>
      <c r="T23" s="175">
        <f>IF($C23,'Matriz de Pesos e Notas'!BY23/'Matriz de Pesos e Notas'!$CN23*'Matriz de Pesos e Notas'!$A$146*$C23,0)</f>
        <v>0</v>
      </c>
      <c r="U23" s="175"/>
      <c r="V23" s="163">
        <f>IF($C23,'Matriz de Pesos e Notas'!CA23/'Matriz de Pesos e Notas'!$CM23*'Matriz de Pesos e Notas'!$A$145*$C23,0)</f>
        <v>0</v>
      </c>
      <c r="W23" s="175">
        <f>IF($C23,'Matriz de Pesos e Notas'!CB23/'Matriz de Pesos e Notas'!$CN23*'Matriz de Pesos e Notas'!$A$146*$C23,0)</f>
        <v>0</v>
      </c>
      <c r="X23" s="175"/>
      <c r="Y23" s="163">
        <f>IF($C23,'Matriz de Pesos e Notas'!CD23/'Matriz de Pesos e Notas'!$CM23*'Matriz de Pesos e Notas'!$A$145*$C23,0)</f>
        <v>0</v>
      </c>
      <c r="Z23" s="175">
        <f>IF($C23,'Matriz de Pesos e Notas'!CE23/'Matriz de Pesos e Notas'!$CN23*'Matriz de Pesos e Notas'!$A$146*$C23,0)</f>
        <v>0</v>
      </c>
      <c r="AA23" s="175"/>
      <c r="AB23" s="163">
        <f>IF($C23,'Matriz de Pesos e Notas'!CG23/'Matriz de Pesos e Notas'!$CM23*'Matriz de Pesos e Notas'!$A$145*$C23,0)</f>
        <v>0</v>
      </c>
      <c r="AC23" s="175">
        <f>IF($C23,'Matriz de Pesos e Notas'!CH23/'Matriz de Pesos e Notas'!$CN23*'Matriz de Pesos e Notas'!$A$146*$C23,0)</f>
        <v>0</v>
      </c>
      <c r="AD23" s="175"/>
      <c r="AE23" s="163">
        <f>IF($C23,'Matriz de Pesos e Notas'!CJ23/'Matriz de Pesos e Notas'!$CM23*'Matriz de Pesos e Notas'!$A$145*$C23,0)</f>
        <v>0</v>
      </c>
      <c r="AF23" s="175">
        <f>IF($C23,'Matriz de Pesos e Notas'!CK23/'Matriz de Pesos e Notas'!$CN23*'Matriz de Pesos e Notas'!$A$146*$C23,0)</f>
        <v>0</v>
      </c>
      <c r="AG23" s="164"/>
      <c r="AH23" s="102" t="str">
        <f>IF(C23,"Imprime","Não Imprime")</f>
        <v>Imprime</v>
      </c>
    </row>
    <row r="24" spans="1:34" x14ac:dyDescent="0.2">
      <c r="A24" s="42"/>
      <c r="B24" s="65" t="str">
        <f>TEXT(D23,"0,00%")&amp;"        "&amp;TEXT(E23,"0,00%")</f>
        <v>4,55%        3,72%</v>
      </c>
      <c r="C24" s="92"/>
      <c r="D24" s="73"/>
      <c r="E24" s="72"/>
      <c r="F24" s="72"/>
      <c r="G24" s="165"/>
      <c r="H24" s="176"/>
      <c r="I24" s="176"/>
      <c r="J24" s="165"/>
      <c r="K24" s="176"/>
      <c r="L24" s="176"/>
      <c r="M24" s="165"/>
      <c r="N24" s="176"/>
      <c r="O24" s="176"/>
      <c r="P24" s="165"/>
      <c r="Q24" s="176"/>
      <c r="R24" s="176"/>
      <c r="S24" s="165"/>
      <c r="T24" s="176"/>
      <c r="U24" s="176"/>
      <c r="V24" s="165"/>
      <c r="W24" s="176"/>
      <c r="X24" s="176"/>
      <c r="Y24" s="165"/>
      <c r="Z24" s="176"/>
      <c r="AA24" s="176"/>
      <c r="AB24" s="165"/>
      <c r="AC24" s="176"/>
      <c r="AD24" s="176"/>
      <c r="AE24" s="165"/>
      <c r="AF24" s="176"/>
      <c r="AG24" s="166"/>
      <c r="AH24" s="8" t="str">
        <f>+AH23</f>
        <v>Imprime</v>
      </c>
    </row>
    <row r="25" spans="1:34" x14ac:dyDescent="0.2">
      <c r="A25" s="628" t="str">
        <f>'Matriz de Pesos e Notas'!A25</f>
        <v>Nome da Atividade 2 da Unidade 1</v>
      </c>
      <c r="B25" s="629"/>
      <c r="C25" s="92">
        <f>IF(ISTEXT('Matriz de Pesos e Notas'!C25),letrapeso('Matriz de Pesos e Notas'!C25)/SUM(letrapeso('Matriz de Pesos e Notas'!C23)+letrapeso('Matriz de Pesos e Notas'!C25)+letrapeso('Matriz de Pesos e Notas'!C27)+letrapeso('Matriz de Pesos e Notas'!C29)+letrapeso('Matriz de Pesos e Notas'!C31)+letrapeso('Matriz de Pesos e Notas'!C33)+letrapeso('Matriz de Pesos e Notas'!C35))*C21,0)</f>
        <v>0</v>
      </c>
      <c r="D25" s="85">
        <f>G25+J25+M25+P25+S25+V25+Y25+AB25+AE25</f>
        <v>0</v>
      </c>
      <c r="E25" s="85">
        <f>H25+K25+N25+Q25+T25+W25+Z25+AC25+AF25</f>
        <v>0</v>
      </c>
      <c r="F25" s="72"/>
      <c r="G25" s="163">
        <f>IF($C25,'Matriz de Pesos e Notas'!BL25/'Matriz de Pesos e Notas'!$CM25*'Matriz de Pesos e Notas'!$A$145*$C25,0)</f>
        <v>0</v>
      </c>
      <c r="H25" s="175">
        <f>IF($C25,'Matriz de Pesos e Notas'!BM25/'Matriz de Pesos e Notas'!$CN25*'Matriz de Pesos e Notas'!$A$146*$C25,0)</f>
        <v>0</v>
      </c>
      <c r="I25" s="175"/>
      <c r="J25" s="163">
        <f>IF($C25,'Matriz de Pesos e Notas'!BO25/'Matriz de Pesos e Notas'!$CM25*'Matriz de Pesos e Notas'!$A$145*$C25,0)</f>
        <v>0</v>
      </c>
      <c r="K25" s="175">
        <f>IF($C25,'Matriz de Pesos e Notas'!BP25/'Matriz de Pesos e Notas'!$CN25*'Matriz de Pesos e Notas'!$A$146*$C25,0)</f>
        <v>0</v>
      </c>
      <c r="L25" s="175"/>
      <c r="M25" s="163">
        <f>IF($C25,'Matriz de Pesos e Notas'!BR25/'Matriz de Pesos e Notas'!$CM25*'Matriz de Pesos e Notas'!$A$145*$C25,0)</f>
        <v>0</v>
      </c>
      <c r="N25" s="175">
        <f>IF($C25,'Matriz de Pesos e Notas'!BS25/'Matriz de Pesos e Notas'!$CN25*'Matriz de Pesos e Notas'!$A$146*$C25,0)</f>
        <v>0</v>
      </c>
      <c r="O25" s="175"/>
      <c r="P25" s="163">
        <f>IF($C25,'Matriz de Pesos e Notas'!BU25/'Matriz de Pesos e Notas'!$CM25*'Matriz de Pesos e Notas'!$A$145*$C25,0)</f>
        <v>0</v>
      </c>
      <c r="Q25" s="175">
        <f>IF($C25,'Matriz de Pesos e Notas'!BV25/'Matriz de Pesos e Notas'!$CN25*'Matriz de Pesos e Notas'!$A$146*$C25,0)</f>
        <v>0</v>
      </c>
      <c r="R25" s="175"/>
      <c r="S25" s="163">
        <f>IF($C25,'Matriz de Pesos e Notas'!BX25/'Matriz de Pesos e Notas'!$CM25*'Matriz de Pesos e Notas'!$A$145*$C25,0)</f>
        <v>0</v>
      </c>
      <c r="T25" s="175">
        <f>IF($C25,'Matriz de Pesos e Notas'!BY25/'Matriz de Pesos e Notas'!$CN25*'Matriz de Pesos e Notas'!$A$146*$C25,0)</f>
        <v>0</v>
      </c>
      <c r="U25" s="175"/>
      <c r="V25" s="163">
        <f>IF($C25,'Matriz de Pesos e Notas'!CA25/'Matriz de Pesos e Notas'!$CM25*'Matriz de Pesos e Notas'!$A$145*$C25,0)</f>
        <v>0</v>
      </c>
      <c r="W25" s="175">
        <f>IF($C25,'Matriz de Pesos e Notas'!CB25/'Matriz de Pesos e Notas'!$CN25*'Matriz de Pesos e Notas'!$A$146*$C25,0)</f>
        <v>0</v>
      </c>
      <c r="X25" s="175"/>
      <c r="Y25" s="163">
        <f>IF($C25,'Matriz de Pesos e Notas'!CD25/'Matriz de Pesos e Notas'!$CM25*'Matriz de Pesos e Notas'!$A$145*$C25,0)</f>
        <v>0</v>
      </c>
      <c r="Z25" s="175">
        <f>IF($C25,'Matriz de Pesos e Notas'!CE25/'Matriz de Pesos e Notas'!$CN25*'Matriz de Pesos e Notas'!$A$146*$C25,0)</f>
        <v>0</v>
      </c>
      <c r="AA25" s="175"/>
      <c r="AB25" s="163">
        <f>IF($C25,'Matriz de Pesos e Notas'!CG25/'Matriz de Pesos e Notas'!$CM25*'Matriz de Pesos e Notas'!$A$145*$C25,0)</f>
        <v>0</v>
      </c>
      <c r="AC25" s="175">
        <f>IF($C25,'Matriz de Pesos e Notas'!CH25/'Matriz de Pesos e Notas'!$CN25*'Matriz de Pesos e Notas'!$A$146*$C25,0)</f>
        <v>0</v>
      </c>
      <c r="AD25" s="175"/>
      <c r="AE25" s="163">
        <f>IF($C25,'Matriz de Pesos e Notas'!CJ25/'Matriz de Pesos e Notas'!$CM25*'Matriz de Pesos e Notas'!$A$145*$C25,0)</f>
        <v>0</v>
      </c>
      <c r="AF25" s="175">
        <f>IF($C25,'Matriz de Pesos e Notas'!CK25/'Matriz de Pesos e Notas'!$CN25*'Matriz de Pesos e Notas'!$A$146*$C25,0)</f>
        <v>0</v>
      </c>
      <c r="AG25" s="164"/>
      <c r="AH25" s="4" t="str">
        <f>IF(C25,"Imprime","Não Imprime")</f>
        <v>Não Imprime</v>
      </c>
    </row>
    <row r="26" spans="1:34" x14ac:dyDescent="0.2">
      <c r="A26" s="43"/>
      <c r="B26" s="65" t="str">
        <f>TEXT(D25,"0,00%")&amp;"        "&amp;TEXT(E25,"0,00%")</f>
        <v>0,00%        0,00%</v>
      </c>
      <c r="C26" s="92"/>
      <c r="D26" s="73"/>
      <c r="E26" s="72"/>
      <c r="F26" s="72"/>
      <c r="G26" s="165"/>
      <c r="H26" s="176"/>
      <c r="I26" s="176"/>
      <c r="J26" s="165"/>
      <c r="K26" s="176"/>
      <c r="L26" s="176"/>
      <c r="M26" s="165"/>
      <c r="N26" s="176"/>
      <c r="O26" s="176"/>
      <c r="P26" s="165"/>
      <c r="Q26" s="176"/>
      <c r="R26" s="176"/>
      <c r="S26" s="165"/>
      <c r="T26" s="176"/>
      <c r="U26" s="176"/>
      <c r="V26" s="165"/>
      <c r="W26" s="176"/>
      <c r="X26" s="176"/>
      <c r="Y26" s="165"/>
      <c r="Z26" s="176"/>
      <c r="AA26" s="176"/>
      <c r="AB26" s="165"/>
      <c r="AC26" s="176"/>
      <c r="AD26" s="176"/>
      <c r="AE26" s="165"/>
      <c r="AF26" s="176"/>
      <c r="AG26" s="166"/>
      <c r="AH26" s="8" t="str">
        <f>+AH25</f>
        <v>Não Imprime</v>
      </c>
    </row>
    <row r="27" spans="1:34" x14ac:dyDescent="0.2">
      <c r="A27" s="628" t="str">
        <f>'Matriz de Pesos e Notas'!A27</f>
        <v>Nome da Atividade 3 da Unidade 1</v>
      </c>
      <c r="B27" s="629"/>
      <c r="C27" s="92">
        <f>IF(ISTEXT('Matriz de Pesos e Notas'!C27),letrapeso('Matriz de Pesos e Notas'!C27)/SUM(letrapeso('Matriz de Pesos e Notas'!C23)+letrapeso('Matriz de Pesos e Notas'!C25)+letrapeso('Matriz de Pesos e Notas'!C27)+letrapeso('Matriz de Pesos e Notas'!C29)+letrapeso('Matriz de Pesos e Notas'!C31)+letrapeso('Matriz de Pesos e Notas'!C33)+letrapeso('Matriz de Pesos e Notas'!C35))*C21,0)</f>
        <v>0</v>
      </c>
      <c r="D27" s="85">
        <f>G27+J27+M27+P27+S27+V27+Y27+AB27+AE27</f>
        <v>0</v>
      </c>
      <c r="E27" s="85">
        <f>H27+K27+N27+Q27+T27+W27+Z27+AC27+AF27</f>
        <v>0</v>
      </c>
      <c r="F27" s="72"/>
      <c r="G27" s="163">
        <f>IF($C27,'Matriz de Pesos e Notas'!BL27/'Matriz de Pesos e Notas'!$CM27*'Matriz de Pesos e Notas'!$A$145*$C27,0)</f>
        <v>0</v>
      </c>
      <c r="H27" s="175">
        <f>IF($C27,'Matriz de Pesos e Notas'!BM27/'Matriz de Pesos e Notas'!$CN27*'Matriz de Pesos e Notas'!$A$146*$C27,0)</f>
        <v>0</v>
      </c>
      <c r="I27" s="175"/>
      <c r="J27" s="163">
        <f>IF($C27,'Matriz de Pesos e Notas'!BO27/'Matriz de Pesos e Notas'!$CM27*'Matriz de Pesos e Notas'!$A$145*$C27,0)</f>
        <v>0</v>
      </c>
      <c r="K27" s="175">
        <f>IF($C27,'Matriz de Pesos e Notas'!BP27/'Matriz de Pesos e Notas'!$CN27*'Matriz de Pesos e Notas'!$A$146*$C27,0)</f>
        <v>0</v>
      </c>
      <c r="L27" s="175"/>
      <c r="M27" s="163">
        <f>IF($C27,'Matriz de Pesos e Notas'!BR27/'Matriz de Pesos e Notas'!$CM27*'Matriz de Pesos e Notas'!$A$145*$C27,0)</f>
        <v>0</v>
      </c>
      <c r="N27" s="175">
        <f>IF($C27,'Matriz de Pesos e Notas'!BS27/'Matriz de Pesos e Notas'!$CN27*'Matriz de Pesos e Notas'!$A$146*$C27,0)</f>
        <v>0</v>
      </c>
      <c r="O27" s="175"/>
      <c r="P27" s="163">
        <f>IF($C27,'Matriz de Pesos e Notas'!BU27/'Matriz de Pesos e Notas'!$CM27*'Matriz de Pesos e Notas'!$A$145*$C27,0)</f>
        <v>0</v>
      </c>
      <c r="Q27" s="175">
        <f>IF($C27,'Matriz de Pesos e Notas'!BV27/'Matriz de Pesos e Notas'!$CN27*'Matriz de Pesos e Notas'!$A$146*$C27,0)</f>
        <v>0</v>
      </c>
      <c r="R27" s="175"/>
      <c r="S27" s="163">
        <f>IF($C27,'Matriz de Pesos e Notas'!BX27/'Matriz de Pesos e Notas'!$CM27*'Matriz de Pesos e Notas'!$A$145*$C27,0)</f>
        <v>0</v>
      </c>
      <c r="T27" s="175">
        <f>IF($C27,'Matriz de Pesos e Notas'!BY27/'Matriz de Pesos e Notas'!$CN27*'Matriz de Pesos e Notas'!$A$146*$C27,0)</f>
        <v>0</v>
      </c>
      <c r="U27" s="175"/>
      <c r="V27" s="163">
        <f>IF($C27,'Matriz de Pesos e Notas'!CA27/'Matriz de Pesos e Notas'!$CM27*'Matriz de Pesos e Notas'!$A$145*$C27,0)</f>
        <v>0</v>
      </c>
      <c r="W27" s="175">
        <f>IF($C27,'Matriz de Pesos e Notas'!CB27/'Matriz de Pesos e Notas'!$CN27*'Matriz de Pesos e Notas'!$A$146*$C27,0)</f>
        <v>0</v>
      </c>
      <c r="X27" s="175"/>
      <c r="Y27" s="163">
        <f>IF($C27,'Matriz de Pesos e Notas'!CD27/'Matriz de Pesos e Notas'!$CM27*'Matriz de Pesos e Notas'!$A$145*$C27,0)</f>
        <v>0</v>
      </c>
      <c r="Z27" s="175">
        <f>IF($C27,'Matriz de Pesos e Notas'!CE27/'Matriz de Pesos e Notas'!$CN27*'Matriz de Pesos e Notas'!$A$146*$C27,0)</f>
        <v>0</v>
      </c>
      <c r="AA27" s="175"/>
      <c r="AB27" s="163">
        <f>IF($C27,'Matriz de Pesos e Notas'!CG27/'Matriz de Pesos e Notas'!$CM27*'Matriz de Pesos e Notas'!$A$145*$C27,0)</f>
        <v>0</v>
      </c>
      <c r="AC27" s="175">
        <f>IF($C27,'Matriz de Pesos e Notas'!CH27/'Matriz de Pesos e Notas'!$CN27*'Matriz de Pesos e Notas'!$A$146*$C27,0)</f>
        <v>0</v>
      </c>
      <c r="AD27" s="175"/>
      <c r="AE27" s="163">
        <f>IF($C27,'Matriz de Pesos e Notas'!CJ27/'Matriz de Pesos e Notas'!$CM27*'Matriz de Pesos e Notas'!$A$145*$C27,0)</f>
        <v>0</v>
      </c>
      <c r="AF27" s="175">
        <f>IF($C27,'Matriz de Pesos e Notas'!CK27/'Matriz de Pesos e Notas'!$CN27*'Matriz de Pesos e Notas'!$A$146*$C27,0)</f>
        <v>0</v>
      </c>
      <c r="AG27" s="164"/>
      <c r="AH27" s="4" t="str">
        <f>IF(C27,"Imprime","Não Imprime")</f>
        <v>Não Imprime</v>
      </c>
    </row>
    <row r="28" spans="1:34" x14ac:dyDescent="0.2">
      <c r="A28" s="43"/>
      <c r="B28" s="65" t="str">
        <f>TEXT(D27,"0,00%")&amp;"        "&amp;TEXT(E27,"0,00%")</f>
        <v>0,00%        0,00%</v>
      </c>
      <c r="C28" s="92"/>
      <c r="D28" s="73"/>
      <c r="E28" s="72"/>
      <c r="F28" s="72"/>
      <c r="G28" s="165"/>
      <c r="H28" s="176"/>
      <c r="I28" s="176"/>
      <c r="J28" s="165"/>
      <c r="K28" s="176"/>
      <c r="L28" s="176"/>
      <c r="M28" s="165"/>
      <c r="N28" s="176"/>
      <c r="O28" s="176"/>
      <c r="P28" s="165"/>
      <c r="Q28" s="176"/>
      <c r="R28" s="176"/>
      <c r="S28" s="165"/>
      <c r="T28" s="176"/>
      <c r="U28" s="176"/>
      <c r="V28" s="165"/>
      <c r="W28" s="176"/>
      <c r="X28" s="176"/>
      <c r="Y28" s="165"/>
      <c r="Z28" s="176"/>
      <c r="AA28" s="176"/>
      <c r="AB28" s="165"/>
      <c r="AC28" s="176"/>
      <c r="AD28" s="176"/>
      <c r="AE28" s="165"/>
      <c r="AF28" s="176"/>
      <c r="AG28" s="166"/>
      <c r="AH28" s="8" t="str">
        <f>+AH27</f>
        <v>Não Imprime</v>
      </c>
    </row>
    <row r="29" spans="1:34" x14ac:dyDescent="0.2">
      <c r="A29" s="628" t="str">
        <f>'Matriz de Pesos e Notas'!A29</f>
        <v>Nome da Atividade 4 da Unidade 1</v>
      </c>
      <c r="B29" s="629"/>
      <c r="C29" s="92">
        <f>IF(ISTEXT('Matriz de Pesos e Notas'!C29),letrapeso('Matriz de Pesos e Notas'!C29)/SUM(letrapeso('Matriz de Pesos e Notas'!C23)+letrapeso('Matriz de Pesos e Notas'!C25)+letrapeso('Matriz de Pesos e Notas'!C27)+letrapeso('Matriz de Pesos e Notas'!C29)+letrapeso('Matriz de Pesos e Notas'!C31)+letrapeso('Matriz de Pesos e Notas'!C33)+letrapeso('Matriz de Pesos e Notas'!C35))*C21,0)</f>
        <v>0</v>
      </c>
      <c r="D29" s="85">
        <f>G29+J29+M29+P29+S29+V29+Y29+AB29+AE29</f>
        <v>0</v>
      </c>
      <c r="E29" s="85">
        <f>H29+K29+N29+Q29+T29+W29+Z29+AC29+AF29</f>
        <v>0</v>
      </c>
      <c r="F29" s="72"/>
      <c r="G29" s="163">
        <f>IF($C29,'Matriz de Pesos e Notas'!BL29/'Matriz de Pesos e Notas'!$CM29*'Matriz de Pesos e Notas'!$A$145*$C29,0)</f>
        <v>0</v>
      </c>
      <c r="H29" s="175">
        <f>IF($C29,'Matriz de Pesos e Notas'!BM29/'Matriz de Pesos e Notas'!$CN29*'Matriz de Pesos e Notas'!$A$146*$C29,0)</f>
        <v>0</v>
      </c>
      <c r="I29" s="175"/>
      <c r="J29" s="163">
        <f>IF($C29,'Matriz de Pesos e Notas'!BO29/'Matriz de Pesos e Notas'!$CM29*'Matriz de Pesos e Notas'!$A$145*$C29,0)</f>
        <v>0</v>
      </c>
      <c r="K29" s="175">
        <f>IF($C29,'Matriz de Pesos e Notas'!BP29/'Matriz de Pesos e Notas'!$CN29*'Matriz de Pesos e Notas'!$A$146*$C29,0)</f>
        <v>0</v>
      </c>
      <c r="L29" s="175"/>
      <c r="M29" s="163">
        <f>IF($C29,'Matriz de Pesos e Notas'!BR29/'Matriz de Pesos e Notas'!$CM29*'Matriz de Pesos e Notas'!$A$145*$C29,0)</f>
        <v>0</v>
      </c>
      <c r="N29" s="175">
        <f>IF($C29,'Matriz de Pesos e Notas'!BS29/'Matriz de Pesos e Notas'!$CN29*'Matriz de Pesos e Notas'!$A$146*$C29,0)</f>
        <v>0</v>
      </c>
      <c r="O29" s="175"/>
      <c r="P29" s="163">
        <f>IF($C29,'Matriz de Pesos e Notas'!BU29/'Matriz de Pesos e Notas'!$CM29*'Matriz de Pesos e Notas'!$A$145*$C29,0)</f>
        <v>0</v>
      </c>
      <c r="Q29" s="175">
        <f>IF($C29,'Matriz de Pesos e Notas'!BV29/'Matriz de Pesos e Notas'!$CN29*'Matriz de Pesos e Notas'!$A$146*$C29,0)</f>
        <v>0</v>
      </c>
      <c r="R29" s="175"/>
      <c r="S29" s="163">
        <f>IF($C29,'Matriz de Pesos e Notas'!BX29/'Matriz de Pesos e Notas'!$CM29*'Matriz de Pesos e Notas'!$A$145*$C29,0)</f>
        <v>0</v>
      </c>
      <c r="T29" s="175">
        <f>IF($C29,'Matriz de Pesos e Notas'!BY29/'Matriz de Pesos e Notas'!$CN29*'Matriz de Pesos e Notas'!$A$146*$C29,0)</f>
        <v>0</v>
      </c>
      <c r="U29" s="175"/>
      <c r="V29" s="163">
        <f>IF($C29,'Matriz de Pesos e Notas'!CA29/'Matriz de Pesos e Notas'!$CM29*'Matriz de Pesos e Notas'!$A$145*$C29,0)</f>
        <v>0</v>
      </c>
      <c r="W29" s="175">
        <f>IF($C29,'Matriz de Pesos e Notas'!CB29/'Matriz de Pesos e Notas'!$CN29*'Matriz de Pesos e Notas'!$A$146*$C29,0)</f>
        <v>0</v>
      </c>
      <c r="X29" s="175"/>
      <c r="Y29" s="163">
        <f>IF($C29,'Matriz de Pesos e Notas'!CD29/'Matriz de Pesos e Notas'!$CM29*'Matriz de Pesos e Notas'!$A$145*$C29,0)</f>
        <v>0</v>
      </c>
      <c r="Z29" s="175">
        <f>IF($C29,'Matriz de Pesos e Notas'!CE29/'Matriz de Pesos e Notas'!$CN29*'Matriz de Pesos e Notas'!$A$146*$C29,0)</f>
        <v>0</v>
      </c>
      <c r="AA29" s="175"/>
      <c r="AB29" s="163">
        <f>IF($C29,'Matriz de Pesos e Notas'!CG29/'Matriz de Pesos e Notas'!$CM29*'Matriz de Pesos e Notas'!$A$145*$C29,0)</f>
        <v>0</v>
      </c>
      <c r="AC29" s="175">
        <f>IF($C29,'Matriz de Pesos e Notas'!CH29/'Matriz de Pesos e Notas'!$CN29*'Matriz de Pesos e Notas'!$A$146*$C29,0)</f>
        <v>0</v>
      </c>
      <c r="AD29" s="175"/>
      <c r="AE29" s="163">
        <f>IF($C29,'Matriz de Pesos e Notas'!CJ29/'Matriz de Pesos e Notas'!$CM29*'Matriz de Pesos e Notas'!$A$145*$C29,0)</f>
        <v>0</v>
      </c>
      <c r="AF29" s="175">
        <f>IF($C29,'Matriz de Pesos e Notas'!CK29/'Matriz de Pesos e Notas'!$CN29*'Matriz de Pesos e Notas'!$A$146*$C29,0)</f>
        <v>0</v>
      </c>
      <c r="AG29" s="164"/>
      <c r="AH29" s="1" t="str">
        <f>IF(C29,"Imprime","Não Imprime")</f>
        <v>Não Imprime</v>
      </c>
    </row>
    <row r="30" spans="1:34" x14ac:dyDescent="0.2">
      <c r="A30" s="43"/>
      <c r="B30" s="65" t="str">
        <f>TEXT(D29,"0,00%")&amp;"        "&amp;TEXT(E29,"0,00%")</f>
        <v>0,00%        0,00%</v>
      </c>
      <c r="C30" s="92"/>
      <c r="D30" s="74"/>
      <c r="E30" s="74"/>
      <c r="F30" s="86"/>
      <c r="G30" s="165"/>
      <c r="H30" s="176"/>
      <c r="I30" s="176"/>
      <c r="J30" s="165"/>
      <c r="K30" s="176"/>
      <c r="L30" s="176"/>
      <c r="M30" s="165"/>
      <c r="N30" s="176"/>
      <c r="O30" s="176"/>
      <c r="P30" s="165"/>
      <c r="Q30" s="176"/>
      <c r="R30" s="176"/>
      <c r="S30" s="165"/>
      <c r="T30" s="176"/>
      <c r="U30" s="176"/>
      <c r="V30" s="165"/>
      <c r="W30" s="176"/>
      <c r="X30" s="176"/>
      <c r="Y30" s="165"/>
      <c r="Z30" s="176"/>
      <c r="AA30" s="176"/>
      <c r="AB30" s="165"/>
      <c r="AC30" s="176"/>
      <c r="AD30" s="176"/>
      <c r="AE30" s="165"/>
      <c r="AF30" s="176"/>
      <c r="AG30" s="166"/>
      <c r="AH30" s="8" t="str">
        <f>+AH29</f>
        <v>Não Imprime</v>
      </c>
    </row>
    <row r="31" spans="1:34" x14ac:dyDescent="0.2">
      <c r="A31" s="628" t="str">
        <f>'Matriz de Pesos e Notas'!A31</f>
        <v>Nome da Atividade 5 da Unidade 1</v>
      </c>
      <c r="B31" s="629"/>
      <c r="C31" s="92">
        <f>IF(ISTEXT('Matriz de Pesos e Notas'!C31),letrapeso('Matriz de Pesos e Notas'!C31)/SUM(letrapeso('Matriz de Pesos e Notas'!C23)+letrapeso('Matriz de Pesos e Notas'!C25)+letrapeso('Matriz de Pesos e Notas'!C27)+letrapeso('Matriz de Pesos e Notas'!C29)+letrapeso('Matriz de Pesos e Notas'!C31)+letrapeso('Matriz de Pesos e Notas'!C33)+letrapeso('Matriz de Pesos e Notas'!C35))*C21,0)</f>
        <v>0</v>
      </c>
      <c r="D31" s="85">
        <f>G31+J31+M31+P31+S31+V31+Y31+AB31+AE31</f>
        <v>0</v>
      </c>
      <c r="E31" s="85">
        <f>H31+K31+N31+Q31+T31+W31+Z31+AC31+AF31</f>
        <v>0</v>
      </c>
      <c r="F31" s="72"/>
      <c r="G31" s="163">
        <f>IF($C31,'Matriz de Pesos e Notas'!BL31/'Matriz de Pesos e Notas'!$CM31*'Matriz de Pesos e Notas'!$A$145*$C31,0)</f>
        <v>0</v>
      </c>
      <c r="H31" s="175">
        <f>IF($C31,'Matriz de Pesos e Notas'!BM31/'Matriz de Pesos e Notas'!$CN31*'Matriz de Pesos e Notas'!$A$146*$C31,0)</f>
        <v>0</v>
      </c>
      <c r="I31" s="175"/>
      <c r="J31" s="163">
        <f>IF($C31,'Matriz de Pesos e Notas'!BO31/'Matriz de Pesos e Notas'!$CM31*'Matriz de Pesos e Notas'!$A$145*$C31,0)</f>
        <v>0</v>
      </c>
      <c r="K31" s="175">
        <f>IF($C31,'Matriz de Pesos e Notas'!BP31/'Matriz de Pesos e Notas'!$CN31*'Matriz de Pesos e Notas'!$A$146*$C31,0)</f>
        <v>0</v>
      </c>
      <c r="L31" s="175"/>
      <c r="M31" s="163">
        <f>IF($C31,'Matriz de Pesos e Notas'!BR31/'Matriz de Pesos e Notas'!$CM31*'Matriz de Pesos e Notas'!$A$145*$C31,0)</f>
        <v>0</v>
      </c>
      <c r="N31" s="175">
        <f>IF($C31,'Matriz de Pesos e Notas'!BS31/'Matriz de Pesos e Notas'!$CN31*'Matriz de Pesos e Notas'!$A$146*$C31,0)</f>
        <v>0</v>
      </c>
      <c r="O31" s="175"/>
      <c r="P31" s="163">
        <f>IF($C31,'Matriz de Pesos e Notas'!BU31/'Matriz de Pesos e Notas'!$CM31*'Matriz de Pesos e Notas'!$A$145*$C31,0)</f>
        <v>0</v>
      </c>
      <c r="Q31" s="175">
        <f>IF($C31,'Matriz de Pesos e Notas'!BV31/'Matriz de Pesos e Notas'!$CN31*'Matriz de Pesos e Notas'!$A$146*$C31,0)</f>
        <v>0</v>
      </c>
      <c r="R31" s="175"/>
      <c r="S31" s="163">
        <f>IF($C31,'Matriz de Pesos e Notas'!BX31/'Matriz de Pesos e Notas'!$CM31*'Matriz de Pesos e Notas'!$A$145*$C31,0)</f>
        <v>0</v>
      </c>
      <c r="T31" s="175">
        <f>IF($C31,'Matriz de Pesos e Notas'!BY31/'Matriz de Pesos e Notas'!$CN31*'Matriz de Pesos e Notas'!$A$146*$C31,0)</f>
        <v>0</v>
      </c>
      <c r="U31" s="175"/>
      <c r="V31" s="163">
        <f>IF($C31,'Matriz de Pesos e Notas'!CA31/'Matriz de Pesos e Notas'!$CM31*'Matriz de Pesos e Notas'!$A$145*$C31,0)</f>
        <v>0</v>
      </c>
      <c r="W31" s="175">
        <f>IF($C31,'Matriz de Pesos e Notas'!CB31/'Matriz de Pesos e Notas'!$CN31*'Matriz de Pesos e Notas'!$A$146*$C31,0)</f>
        <v>0</v>
      </c>
      <c r="X31" s="175"/>
      <c r="Y31" s="163">
        <f>IF($C31,'Matriz de Pesos e Notas'!CD31/'Matriz de Pesos e Notas'!$CM31*'Matriz de Pesos e Notas'!$A$145*$C31,0)</f>
        <v>0</v>
      </c>
      <c r="Z31" s="175">
        <f>IF($C31,'Matriz de Pesos e Notas'!CE31/'Matriz de Pesos e Notas'!$CN31*'Matriz de Pesos e Notas'!$A$146*$C31,0)</f>
        <v>0</v>
      </c>
      <c r="AA31" s="175"/>
      <c r="AB31" s="163">
        <f>IF($C31,'Matriz de Pesos e Notas'!CG31/'Matriz de Pesos e Notas'!$CM31*'Matriz de Pesos e Notas'!$A$145*$C31,0)</f>
        <v>0</v>
      </c>
      <c r="AC31" s="175">
        <f>IF($C31,'Matriz de Pesos e Notas'!CH31/'Matriz de Pesos e Notas'!$CN31*'Matriz de Pesos e Notas'!$A$146*$C31,0)</f>
        <v>0</v>
      </c>
      <c r="AD31" s="175"/>
      <c r="AE31" s="163">
        <f>IF($C31,'Matriz de Pesos e Notas'!CJ31/'Matriz de Pesos e Notas'!$CM31*'Matriz de Pesos e Notas'!$A$145*$C31,0)</f>
        <v>0</v>
      </c>
      <c r="AF31" s="175">
        <f>IF($C31,'Matriz de Pesos e Notas'!CK31/'Matriz de Pesos e Notas'!$CN31*'Matriz de Pesos e Notas'!$A$146*$C31,0)</f>
        <v>0</v>
      </c>
      <c r="AG31" s="164"/>
      <c r="AH31" s="1" t="str">
        <f>IF(C31,"Imprime","Não Imprime")</f>
        <v>Não Imprime</v>
      </c>
    </row>
    <row r="32" spans="1:34" x14ac:dyDescent="0.2">
      <c r="A32" s="43"/>
      <c r="B32" s="65" t="str">
        <f>TEXT(D31,"0,00%")&amp;"        "&amp;TEXT(E31,"0,00%")</f>
        <v>0,00%        0,00%</v>
      </c>
      <c r="C32" s="92"/>
      <c r="D32" s="74"/>
      <c r="E32" s="74"/>
      <c r="F32" s="86"/>
      <c r="G32" s="165"/>
      <c r="H32" s="176"/>
      <c r="I32" s="176"/>
      <c r="J32" s="165"/>
      <c r="K32" s="176"/>
      <c r="L32" s="176"/>
      <c r="M32" s="165"/>
      <c r="N32" s="176"/>
      <c r="O32" s="176"/>
      <c r="P32" s="165"/>
      <c r="Q32" s="176"/>
      <c r="R32" s="176"/>
      <c r="S32" s="165"/>
      <c r="T32" s="176"/>
      <c r="U32" s="176"/>
      <c r="V32" s="165"/>
      <c r="W32" s="176"/>
      <c r="X32" s="176"/>
      <c r="Y32" s="165"/>
      <c r="Z32" s="176"/>
      <c r="AA32" s="176"/>
      <c r="AB32" s="165"/>
      <c r="AC32" s="176"/>
      <c r="AD32" s="176"/>
      <c r="AE32" s="165"/>
      <c r="AF32" s="176"/>
      <c r="AG32" s="166"/>
      <c r="AH32" s="8" t="str">
        <f>+AH31</f>
        <v>Não Imprime</v>
      </c>
    </row>
    <row r="33" spans="1:34" x14ac:dyDescent="0.2">
      <c r="A33" s="628" t="str">
        <f>'Matriz de Pesos e Notas'!A33</f>
        <v>Nome da Atividade 6 da Unidade 1</v>
      </c>
      <c r="B33" s="629"/>
      <c r="C33" s="92">
        <f>IF(ISTEXT('Matriz de Pesos e Notas'!C33),letrapeso('Matriz de Pesos e Notas'!C33)/SUM(letrapeso('Matriz de Pesos e Notas'!C23)+letrapeso('Matriz de Pesos e Notas'!C25)+letrapeso('Matriz de Pesos e Notas'!C27)+letrapeso('Matriz de Pesos e Notas'!C29)+letrapeso('Matriz de Pesos e Notas'!C31)+letrapeso('Matriz de Pesos e Notas'!C33)+letrapeso('Matriz de Pesos e Notas'!C35))*C21,0)</f>
        <v>0</v>
      </c>
      <c r="D33" s="85">
        <f>G33+J33+M33+P33+S33+V33+Y33+AB33+AE33</f>
        <v>0</v>
      </c>
      <c r="E33" s="85">
        <f>H33+K33+N33+Q33+T33+W33+Z33+AC33+AF33</f>
        <v>0</v>
      </c>
      <c r="F33" s="72"/>
      <c r="G33" s="163">
        <f>IF($C33,'Matriz de Pesos e Notas'!BL33/'Matriz de Pesos e Notas'!$CM33*'Matriz de Pesos e Notas'!$A$145*$C33,0)</f>
        <v>0</v>
      </c>
      <c r="H33" s="175">
        <f>IF($C33,'Matriz de Pesos e Notas'!BM33/'Matriz de Pesos e Notas'!$CN33*'Matriz de Pesos e Notas'!$A$146*$C33,0)</f>
        <v>0</v>
      </c>
      <c r="I33" s="175"/>
      <c r="J33" s="163">
        <f>IF($C33,'Matriz de Pesos e Notas'!BO33/'Matriz de Pesos e Notas'!$CM33*'Matriz de Pesos e Notas'!$A$145*$C33,0)</f>
        <v>0</v>
      </c>
      <c r="K33" s="175">
        <f>IF($C33,'Matriz de Pesos e Notas'!BP33/'Matriz de Pesos e Notas'!$CN33*'Matriz de Pesos e Notas'!$A$146*$C33,0)</f>
        <v>0</v>
      </c>
      <c r="L33" s="175"/>
      <c r="M33" s="163">
        <f>IF($C33,'Matriz de Pesos e Notas'!BR33/'Matriz de Pesos e Notas'!$CM33*'Matriz de Pesos e Notas'!$A$145*$C33,0)</f>
        <v>0</v>
      </c>
      <c r="N33" s="175">
        <f>IF($C33,'Matriz de Pesos e Notas'!BS33/'Matriz de Pesos e Notas'!$CN33*'Matriz de Pesos e Notas'!$A$146*$C33,0)</f>
        <v>0</v>
      </c>
      <c r="O33" s="175"/>
      <c r="P33" s="163">
        <f>IF($C33,'Matriz de Pesos e Notas'!BU33/'Matriz de Pesos e Notas'!$CM33*'Matriz de Pesos e Notas'!$A$145*$C33,0)</f>
        <v>0</v>
      </c>
      <c r="Q33" s="175">
        <f>IF($C33,'Matriz de Pesos e Notas'!BV33/'Matriz de Pesos e Notas'!$CN33*'Matriz de Pesos e Notas'!$A$146*$C33,0)</f>
        <v>0</v>
      </c>
      <c r="R33" s="175"/>
      <c r="S33" s="163">
        <f>IF($C33,'Matriz de Pesos e Notas'!BX33/'Matriz de Pesos e Notas'!$CM33*'Matriz de Pesos e Notas'!$A$145*$C33,0)</f>
        <v>0</v>
      </c>
      <c r="T33" s="175">
        <f>IF($C33,'Matriz de Pesos e Notas'!BY33/'Matriz de Pesos e Notas'!$CN33*'Matriz de Pesos e Notas'!$A$146*$C33,0)</f>
        <v>0</v>
      </c>
      <c r="U33" s="175"/>
      <c r="V33" s="163">
        <f>IF($C33,'Matriz de Pesos e Notas'!CA33/'Matriz de Pesos e Notas'!$CM33*'Matriz de Pesos e Notas'!$A$145*$C33,0)</f>
        <v>0</v>
      </c>
      <c r="W33" s="175">
        <f>IF($C33,'Matriz de Pesos e Notas'!CB33/'Matriz de Pesos e Notas'!$CN33*'Matriz de Pesos e Notas'!$A$146*$C33,0)</f>
        <v>0</v>
      </c>
      <c r="X33" s="175"/>
      <c r="Y33" s="163">
        <f>IF($C33,'Matriz de Pesos e Notas'!CD33/'Matriz de Pesos e Notas'!$CM33*'Matriz de Pesos e Notas'!$A$145*$C33,0)</f>
        <v>0</v>
      </c>
      <c r="Z33" s="175">
        <f>IF($C33,'Matriz de Pesos e Notas'!CE33/'Matriz de Pesos e Notas'!$CN33*'Matriz de Pesos e Notas'!$A$146*$C33,0)</f>
        <v>0</v>
      </c>
      <c r="AA33" s="175"/>
      <c r="AB33" s="163">
        <f>IF($C33,'Matriz de Pesos e Notas'!CG33/'Matriz de Pesos e Notas'!$CM33*'Matriz de Pesos e Notas'!$A$145*$C33,0)</f>
        <v>0</v>
      </c>
      <c r="AC33" s="175">
        <f>IF($C33,'Matriz de Pesos e Notas'!CH33/'Matriz de Pesos e Notas'!$CN33*'Matriz de Pesos e Notas'!$A$146*$C33,0)</f>
        <v>0</v>
      </c>
      <c r="AD33" s="175"/>
      <c r="AE33" s="163">
        <f>IF($C33,'Matriz de Pesos e Notas'!CJ33/'Matriz de Pesos e Notas'!$CM33*'Matriz de Pesos e Notas'!$A$145*$C33,0)</f>
        <v>0</v>
      </c>
      <c r="AF33" s="175">
        <f>IF($C33,'Matriz de Pesos e Notas'!CK33/'Matriz de Pesos e Notas'!$CN33*'Matriz de Pesos e Notas'!$A$146*$C33,0)</f>
        <v>0</v>
      </c>
      <c r="AG33" s="164"/>
      <c r="AH33" s="1" t="str">
        <f>IF(C33,"Imprime","Não Imprime")</f>
        <v>Não Imprime</v>
      </c>
    </row>
    <row r="34" spans="1:34" x14ac:dyDescent="0.2">
      <c r="A34" s="43"/>
      <c r="B34" s="65" t="str">
        <f>TEXT(D33,"0,00%")&amp;"        "&amp;TEXT(E33,"0,00%")</f>
        <v>0,00%        0,00%</v>
      </c>
      <c r="C34" s="92"/>
      <c r="D34" s="74"/>
      <c r="E34" s="74"/>
      <c r="F34" s="86"/>
      <c r="G34" s="165"/>
      <c r="H34" s="176"/>
      <c r="I34" s="176"/>
      <c r="J34" s="165"/>
      <c r="K34" s="176"/>
      <c r="L34" s="176"/>
      <c r="M34" s="165"/>
      <c r="N34" s="176"/>
      <c r="O34" s="176"/>
      <c r="P34" s="165"/>
      <c r="Q34" s="176"/>
      <c r="R34" s="176"/>
      <c r="S34" s="165"/>
      <c r="T34" s="176"/>
      <c r="U34" s="176"/>
      <c r="V34" s="165"/>
      <c r="W34" s="176"/>
      <c r="X34" s="176"/>
      <c r="Y34" s="165"/>
      <c r="Z34" s="176"/>
      <c r="AA34" s="176"/>
      <c r="AB34" s="165"/>
      <c r="AC34" s="176"/>
      <c r="AD34" s="176"/>
      <c r="AE34" s="165"/>
      <c r="AF34" s="176"/>
      <c r="AG34" s="166"/>
      <c r="AH34" s="8" t="str">
        <f>+AH33</f>
        <v>Não Imprime</v>
      </c>
    </row>
    <row r="35" spans="1:34" x14ac:dyDescent="0.2">
      <c r="A35" s="628" t="str">
        <f>'Matriz de Pesos e Notas'!A35</f>
        <v>Nome da Atividade 7 da Unidade 1</v>
      </c>
      <c r="B35" s="629"/>
      <c r="C35" s="92">
        <f>IF(ISTEXT('Matriz de Pesos e Notas'!C35),letrapeso('Matriz de Pesos e Notas'!C35)/SUM(letrapeso('Matriz de Pesos e Notas'!C23)+letrapeso('Matriz de Pesos e Notas'!C25)+letrapeso('Matriz de Pesos e Notas'!C27)+letrapeso('Matriz de Pesos e Notas'!C29)+letrapeso('Matriz de Pesos e Notas'!C31)+letrapeso('Matriz de Pesos e Notas'!C33)+letrapeso('Matriz de Pesos e Notas'!C35))*C21,0)</f>
        <v>0</v>
      </c>
      <c r="D35" s="85">
        <f>G35+J35+M35+P35+S35+V35+Y35+AB35+AE35</f>
        <v>0</v>
      </c>
      <c r="E35" s="85">
        <f>H35+K35+N35+Q35+T35+W35+Z35+AC35+AF35</f>
        <v>0</v>
      </c>
      <c r="F35" s="72"/>
      <c r="G35" s="163">
        <f>IF($C35,'Matriz de Pesos e Notas'!BL35/'Matriz de Pesos e Notas'!$CM35*'Matriz de Pesos e Notas'!$A$145*$C35,0)</f>
        <v>0</v>
      </c>
      <c r="H35" s="175">
        <f>IF($C35,'Matriz de Pesos e Notas'!BM35/'Matriz de Pesos e Notas'!$CN35*'Matriz de Pesos e Notas'!$A$146*$C35,0)</f>
        <v>0</v>
      </c>
      <c r="I35" s="175"/>
      <c r="J35" s="163">
        <f>IF($C35,'Matriz de Pesos e Notas'!BO35/'Matriz de Pesos e Notas'!$CM35*'Matriz de Pesos e Notas'!$A$145*$C35,0)</f>
        <v>0</v>
      </c>
      <c r="K35" s="175">
        <f>IF($C35,'Matriz de Pesos e Notas'!BP35/'Matriz de Pesos e Notas'!$CN35*'Matriz de Pesos e Notas'!$A$146*$C35,0)</f>
        <v>0</v>
      </c>
      <c r="L35" s="175"/>
      <c r="M35" s="163">
        <f>IF($C35,'Matriz de Pesos e Notas'!BR35/'Matriz de Pesos e Notas'!$CM35*'Matriz de Pesos e Notas'!$A$145*$C35,0)</f>
        <v>0</v>
      </c>
      <c r="N35" s="175">
        <f>IF($C35,'Matriz de Pesos e Notas'!BS35/'Matriz de Pesos e Notas'!$CN35*'Matriz de Pesos e Notas'!$A$146*$C35,0)</f>
        <v>0</v>
      </c>
      <c r="O35" s="175"/>
      <c r="P35" s="163">
        <f>IF($C35,'Matriz de Pesos e Notas'!BU35/'Matriz de Pesos e Notas'!$CM35*'Matriz de Pesos e Notas'!$A$145*$C35,0)</f>
        <v>0</v>
      </c>
      <c r="Q35" s="175">
        <f>IF($C35,'Matriz de Pesos e Notas'!BV35/'Matriz de Pesos e Notas'!$CN35*'Matriz de Pesos e Notas'!$A$146*$C35,0)</f>
        <v>0</v>
      </c>
      <c r="R35" s="175"/>
      <c r="S35" s="163">
        <f>IF($C35,'Matriz de Pesos e Notas'!BX35/'Matriz de Pesos e Notas'!$CM35*'Matriz de Pesos e Notas'!$A$145*$C35,0)</f>
        <v>0</v>
      </c>
      <c r="T35" s="175">
        <f>IF($C35,'Matriz de Pesos e Notas'!BY35/'Matriz de Pesos e Notas'!$CN35*'Matriz de Pesos e Notas'!$A$146*$C35,0)</f>
        <v>0</v>
      </c>
      <c r="U35" s="175"/>
      <c r="V35" s="163">
        <f>IF($C35,'Matriz de Pesos e Notas'!CA35/'Matriz de Pesos e Notas'!$CM35*'Matriz de Pesos e Notas'!$A$145*$C35,0)</f>
        <v>0</v>
      </c>
      <c r="W35" s="175">
        <f>IF($C35,'Matriz de Pesos e Notas'!CB35/'Matriz de Pesos e Notas'!$CN35*'Matriz de Pesos e Notas'!$A$146*$C35,0)</f>
        <v>0</v>
      </c>
      <c r="X35" s="175"/>
      <c r="Y35" s="163">
        <f>IF($C35,'Matriz de Pesos e Notas'!CD35/'Matriz de Pesos e Notas'!$CM35*'Matriz de Pesos e Notas'!$A$145*$C35,0)</f>
        <v>0</v>
      </c>
      <c r="Z35" s="175">
        <f>IF($C35,'Matriz de Pesos e Notas'!CE35/'Matriz de Pesos e Notas'!$CN35*'Matriz de Pesos e Notas'!$A$146*$C35,0)</f>
        <v>0</v>
      </c>
      <c r="AA35" s="175"/>
      <c r="AB35" s="163">
        <f>IF($C35,'Matriz de Pesos e Notas'!CG35/'Matriz de Pesos e Notas'!$CM35*'Matriz de Pesos e Notas'!$A$145*$C35,0)</f>
        <v>0</v>
      </c>
      <c r="AC35" s="175">
        <f>IF($C35,'Matriz de Pesos e Notas'!CH35/'Matriz de Pesos e Notas'!$CN35*'Matriz de Pesos e Notas'!$A$146*$C35,0)</f>
        <v>0</v>
      </c>
      <c r="AD35" s="175"/>
      <c r="AE35" s="163">
        <f>IF($C35,'Matriz de Pesos e Notas'!CJ35/'Matriz de Pesos e Notas'!$CM35*'Matriz de Pesos e Notas'!$A$145*$C35,0)</f>
        <v>0</v>
      </c>
      <c r="AF35" s="175">
        <f>IF($C35,'Matriz de Pesos e Notas'!CK35/'Matriz de Pesos e Notas'!$CN35*'Matriz de Pesos e Notas'!$A$146*$C35,0)</f>
        <v>0</v>
      </c>
      <c r="AG35" s="164"/>
      <c r="AH35" s="1" t="str">
        <f>IF(C35,"Imprime","Não Imprime")</f>
        <v>Não Imprime</v>
      </c>
    </row>
    <row r="36" spans="1:34" x14ac:dyDescent="0.2">
      <c r="A36" s="43"/>
      <c r="B36" s="65" t="str">
        <f>TEXT(D35,"0,00%")&amp;"        "&amp;TEXT(E35,"0,00%")</f>
        <v>0,00%        0,00%</v>
      </c>
      <c r="C36" s="93"/>
      <c r="D36" s="76"/>
      <c r="E36" s="76"/>
      <c r="F36" s="100"/>
      <c r="G36" s="167"/>
      <c r="H36" s="177"/>
      <c r="I36" s="177"/>
      <c r="J36" s="167"/>
      <c r="K36" s="177"/>
      <c r="L36" s="177"/>
      <c r="M36" s="167"/>
      <c r="N36" s="177"/>
      <c r="O36" s="177"/>
      <c r="P36" s="167"/>
      <c r="Q36" s="177"/>
      <c r="R36" s="177"/>
      <c r="S36" s="167"/>
      <c r="T36" s="177"/>
      <c r="U36" s="177"/>
      <c r="V36" s="167"/>
      <c r="W36" s="177"/>
      <c r="X36" s="177"/>
      <c r="Y36" s="167"/>
      <c r="Z36" s="177"/>
      <c r="AA36" s="177"/>
      <c r="AB36" s="167"/>
      <c r="AC36" s="177"/>
      <c r="AD36" s="177"/>
      <c r="AE36" s="167"/>
      <c r="AF36" s="177"/>
      <c r="AG36" s="166"/>
      <c r="AH36" s="8" t="str">
        <f>+AH35</f>
        <v>Não Imprime</v>
      </c>
    </row>
    <row r="37" spans="1:34" x14ac:dyDescent="0.2">
      <c r="A37" s="105" t="str">
        <f>'Matriz de Pesos e Notas'!A37</f>
        <v>Cartões</v>
      </c>
      <c r="B37" s="106"/>
      <c r="C37" s="108">
        <f>C152*'Matriz de Pesos e Notas'!$A$135</f>
        <v>8.2758620689655171E-2</v>
      </c>
      <c r="D37" s="109">
        <f>SUM(D39:D51)</f>
        <v>4.5517241379310347E-2</v>
      </c>
      <c r="E37" s="111">
        <f>SUM(E39:E51)</f>
        <v>3.7241379310344831E-2</v>
      </c>
      <c r="F37" s="110"/>
      <c r="G37" s="162"/>
      <c r="H37" s="174"/>
      <c r="I37" s="174"/>
      <c r="J37" s="162"/>
      <c r="K37" s="174"/>
      <c r="L37" s="174"/>
      <c r="M37" s="162"/>
      <c r="N37" s="174"/>
      <c r="O37" s="174"/>
      <c r="P37" s="162"/>
      <c r="Q37" s="174"/>
      <c r="R37" s="174"/>
      <c r="S37" s="162"/>
      <c r="T37" s="174"/>
      <c r="U37" s="174"/>
      <c r="V37" s="162"/>
      <c r="W37" s="174"/>
      <c r="X37" s="174"/>
      <c r="Y37" s="162"/>
      <c r="Z37" s="174"/>
      <c r="AA37" s="174"/>
      <c r="AB37" s="162"/>
      <c r="AC37" s="174"/>
      <c r="AD37" s="174"/>
      <c r="AE37" s="162"/>
      <c r="AF37" s="174"/>
      <c r="AG37" s="164"/>
      <c r="AH37" s="102" t="str">
        <f>IF(C37,"Imprime","Não Imprime")</f>
        <v>Imprime</v>
      </c>
    </row>
    <row r="38" spans="1:34" x14ac:dyDescent="0.2">
      <c r="A38" s="113" t="str">
        <f>TEXT(D37,"0,00%")&amp;"        "&amp;TEXT(E37,"0,00%")</f>
        <v>4,55%        3,72%</v>
      </c>
      <c r="B38" s="114"/>
      <c r="C38" s="91"/>
      <c r="D38" s="71"/>
      <c r="E38" s="71"/>
      <c r="F38" s="99"/>
      <c r="G38" s="163"/>
      <c r="H38" s="175"/>
      <c r="I38" s="175"/>
      <c r="J38" s="163"/>
      <c r="K38" s="175"/>
      <c r="L38" s="175"/>
      <c r="M38" s="163"/>
      <c r="N38" s="175"/>
      <c r="O38" s="175"/>
      <c r="P38" s="163"/>
      <c r="Q38" s="175"/>
      <c r="R38" s="175"/>
      <c r="S38" s="163"/>
      <c r="T38" s="175"/>
      <c r="U38" s="175"/>
      <c r="V38" s="163"/>
      <c r="W38" s="175"/>
      <c r="X38" s="175"/>
      <c r="Y38" s="163"/>
      <c r="Z38" s="175"/>
      <c r="AA38" s="175"/>
      <c r="AB38" s="163"/>
      <c r="AC38" s="175"/>
      <c r="AD38" s="175"/>
      <c r="AE38" s="163"/>
      <c r="AF38" s="175"/>
      <c r="AG38" s="164"/>
      <c r="AH38" s="1" t="str">
        <f>+AH37</f>
        <v>Imprime</v>
      </c>
    </row>
    <row r="39" spans="1:34" x14ac:dyDescent="0.2">
      <c r="A39" s="628" t="str">
        <f>'Matriz de Pesos e Notas'!A39</f>
        <v>Cartões</v>
      </c>
      <c r="B39" s="629"/>
      <c r="C39" s="92">
        <f>IF(ISTEXT('Matriz de Pesos e Notas'!C39),letrapeso('Matriz de Pesos e Notas'!C39)/SUM(letrapeso('Matriz de Pesos e Notas'!C39)+letrapeso('Matriz de Pesos e Notas'!C41)+letrapeso('Matriz de Pesos e Notas'!C43)+letrapeso('Matriz de Pesos e Notas'!C45)+letrapeso('Matriz de Pesos e Notas'!C47)+letrapeso('Matriz de Pesos e Notas'!C49)+letrapeso('Matriz de Pesos e Notas'!C51))*C37,0)</f>
        <v>8.2758620689655171E-2</v>
      </c>
      <c r="D39" s="85">
        <f>G39+J39+M39+P39+S39+V39+Y39+AB39+AE39</f>
        <v>4.5517241379310347E-2</v>
      </c>
      <c r="E39" s="85">
        <f>H39+K39+N39+Q39+T39+W39+Z39+AC39+AF39</f>
        <v>3.7241379310344831E-2</v>
      </c>
      <c r="F39" s="72"/>
      <c r="G39" s="163">
        <f>IF($C39,'Matriz de Pesos e Notas'!BL39/'Matriz de Pesos e Notas'!$CM39*'Matriz de Pesos e Notas'!$A$145*$C39,0)</f>
        <v>4.5517241379310347E-2</v>
      </c>
      <c r="H39" s="175">
        <f>IF($C39,'Matriz de Pesos e Notas'!BM39/'Matriz de Pesos e Notas'!$CN39*'Matriz de Pesos e Notas'!$A$146*$C39,0)</f>
        <v>3.7241379310344831E-2</v>
      </c>
      <c r="I39" s="175"/>
      <c r="J39" s="163">
        <f>IF($C39,'Matriz de Pesos e Notas'!BO39/'Matriz de Pesos e Notas'!$CM39*'Matriz de Pesos e Notas'!$A$145*$C39,0)</f>
        <v>0</v>
      </c>
      <c r="K39" s="175">
        <f>IF($C39,'Matriz de Pesos e Notas'!BP39/'Matriz de Pesos e Notas'!$CN39*'Matriz de Pesos e Notas'!$A$146*$C39,0)</f>
        <v>0</v>
      </c>
      <c r="L39" s="175"/>
      <c r="M39" s="163">
        <f>IF($C39,'Matriz de Pesos e Notas'!BR39/'Matriz de Pesos e Notas'!$CM39*'Matriz de Pesos e Notas'!$A$145*$C39,0)</f>
        <v>0</v>
      </c>
      <c r="N39" s="175">
        <f>IF($C39,'Matriz de Pesos e Notas'!BS39/'Matriz de Pesos e Notas'!$CN39*'Matriz de Pesos e Notas'!$A$146*$C39,0)</f>
        <v>0</v>
      </c>
      <c r="O39" s="175"/>
      <c r="P39" s="163">
        <f>IF($C39,'Matriz de Pesos e Notas'!BU39/'Matriz de Pesos e Notas'!$CM39*'Matriz de Pesos e Notas'!$A$145*$C39,0)</f>
        <v>0</v>
      </c>
      <c r="Q39" s="175">
        <f>IF($C39,'Matriz de Pesos e Notas'!BV39/'Matriz de Pesos e Notas'!$CN39*'Matriz de Pesos e Notas'!$A$146*$C39,0)</f>
        <v>0</v>
      </c>
      <c r="R39" s="175"/>
      <c r="S39" s="163">
        <f>IF($C39,'Matriz de Pesos e Notas'!BX39/'Matriz de Pesos e Notas'!$CM39*'Matriz de Pesos e Notas'!$A$145*$C39,0)</f>
        <v>0</v>
      </c>
      <c r="T39" s="175">
        <f>IF($C39,'Matriz de Pesos e Notas'!BY39/'Matriz de Pesos e Notas'!$CN39*'Matriz de Pesos e Notas'!$A$146*$C39,0)</f>
        <v>0</v>
      </c>
      <c r="U39" s="175"/>
      <c r="V39" s="163">
        <f>IF($C39,'Matriz de Pesos e Notas'!CA39/'Matriz de Pesos e Notas'!$CM39*'Matriz de Pesos e Notas'!$A$145*$C39,0)</f>
        <v>0</v>
      </c>
      <c r="W39" s="175">
        <f>IF($C39,'Matriz de Pesos e Notas'!CB39/'Matriz de Pesos e Notas'!$CN39*'Matriz de Pesos e Notas'!$A$146*$C39,0)</f>
        <v>0</v>
      </c>
      <c r="X39" s="175"/>
      <c r="Y39" s="163">
        <f>IF($C39,'Matriz de Pesos e Notas'!CD39/'Matriz de Pesos e Notas'!$CM39*'Matriz de Pesos e Notas'!$A$145*$C39,0)</f>
        <v>0</v>
      </c>
      <c r="Z39" s="175">
        <f>IF($C39,'Matriz de Pesos e Notas'!CE39/'Matriz de Pesos e Notas'!$CN39*'Matriz de Pesos e Notas'!$A$146*$C39,0)</f>
        <v>0</v>
      </c>
      <c r="AA39" s="175"/>
      <c r="AB39" s="163">
        <f>IF($C39,'Matriz de Pesos e Notas'!CG39/'Matriz de Pesos e Notas'!$CM39*'Matriz de Pesos e Notas'!$A$145*$C39,0)</f>
        <v>0</v>
      </c>
      <c r="AC39" s="175">
        <f>IF($C39,'Matriz de Pesos e Notas'!CH39/'Matriz de Pesos e Notas'!$CN39*'Matriz de Pesos e Notas'!$A$146*$C39,0)</f>
        <v>0</v>
      </c>
      <c r="AD39" s="175"/>
      <c r="AE39" s="163">
        <f>IF($C39,'Matriz de Pesos e Notas'!CJ39/'Matriz de Pesos e Notas'!$CM39*'Matriz de Pesos e Notas'!$A$145*$C39,0)</f>
        <v>0</v>
      </c>
      <c r="AF39" s="175">
        <f>IF($C39,'Matriz de Pesos e Notas'!CK39/'Matriz de Pesos e Notas'!$CN39*'Matriz de Pesos e Notas'!$A$146*$C39,0)</f>
        <v>0</v>
      </c>
      <c r="AG39" s="164"/>
      <c r="AH39" s="102" t="str">
        <f>IF(C39,"Imprime","Não Imprime")</f>
        <v>Imprime</v>
      </c>
    </row>
    <row r="40" spans="1:34" x14ac:dyDescent="0.2">
      <c r="A40" s="42"/>
      <c r="B40" s="65" t="str">
        <f>TEXT(D39,"0,00%")&amp;"        "&amp;TEXT(E39,"0,00%")</f>
        <v>4,55%        3,72%</v>
      </c>
      <c r="C40" s="92"/>
      <c r="D40" s="73"/>
      <c r="E40" s="72"/>
      <c r="F40" s="72"/>
      <c r="G40" s="165"/>
      <c r="H40" s="176"/>
      <c r="I40" s="176"/>
      <c r="J40" s="165"/>
      <c r="K40" s="176"/>
      <c r="L40" s="176"/>
      <c r="M40" s="165"/>
      <c r="N40" s="176"/>
      <c r="O40" s="176"/>
      <c r="P40" s="165"/>
      <c r="Q40" s="176"/>
      <c r="R40" s="176"/>
      <c r="S40" s="165"/>
      <c r="T40" s="176"/>
      <c r="U40" s="176"/>
      <c r="V40" s="165"/>
      <c r="W40" s="176"/>
      <c r="X40" s="176"/>
      <c r="Y40" s="165"/>
      <c r="Z40" s="176"/>
      <c r="AA40" s="176"/>
      <c r="AB40" s="165"/>
      <c r="AC40" s="176"/>
      <c r="AD40" s="176"/>
      <c r="AE40" s="165"/>
      <c r="AF40" s="176"/>
      <c r="AG40" s="166"/>
      <c r="AH40" s="8" t="str">
        <f>+AH39</f>
        <v>Imprime</v>
      </c>
    </row>
    <row r="41" spans="1:34" x14ac:dyDescent="0.2">
      <c r="A41" s="628" t="str">
        <f>'Matriz de Pesos e Notas'!A41</f>
        <v>Nome da Atividade 3 da Unidade 1</v>
      </c>
      <c r="B41" s="629"/>
      <c r="C41" s="92">
        <f>IF(ISTEXT('Matriz de Pesos e Notas'!C41),letrapeso('Matriz de Pesos e Notas'!C41)/SUM(letrapeso('Matriz de Pesos e Notas'!C39)+letrapeso('Matriz de Pesos e Notas'!C41)+letrapeso('Matriz de Pesos e Notas'!C43)+letrapeso('Matriz de Pesos e Notas'!C45)+letrapeso('Matriz de Pesos e Notas'!C47)+letrapeso('Matriz de Pesos e Notas'!C49)+letrapeso('Matriz de Pesos e Notas'!C51))*C37,0)</f>
        <v>0</v>
      </c>
      <c r="D41" s="85">
        <f>G41+J41+M41+P41+S41+V41+Y41+AB41+AE41</f>
        <v>0</v>
      </c>
      <c r="E41" s="85">
        <f>H41+K41+N41+Q41+T41+W41+Z41+AC41+AF41</f>
        <v>0</v>
      </c>
      <c r="F41" s="72"/>
      <c r="G41" s="163">
        <f>IF($C41,'Matriz de Pesos e Notas'!BL41/'Matriz de Pesos e Notas'!$CM41*'Matriz de Pesos e Notas'!$A$145*$C41,0)</f>
        <v>0</v>
      </c>
      <c r="H41" s="175">
        <f>IF($C41,'Matriz de Pesos e Notas'!BM41/'Matriz de Pesos e Notas'!$CN41*'Matriz de Pesos e Notas'!$A$146*$C41,0)</f>
        <v>0</v>
      </c>
      <c r="I41" s="175"/>
      <c r="J41" s="163">
        <f>IF($C41,'Matriz de Pesos e Notas'!BO41/'Matriz de Pesos e Notas'!$CM41*'Matriz de Pesos e Notas'!$A$145*$C41,0)</f>
        <v>0</v>
      </c>
      <c r="K41" s="175">
        <f>IF($C41,'Matriz de Pesos e Notas'!BP41/'Matriz de Pesos e Notas'!$CN41*'Matriz de Pesos e Notas'!$A$146*$C41,0)</f>
        <v>0</v>
      </c>
      <c r="L41" s="175"/>
      <c r="M41" s="163">
        <f>IF($C41,'Matriz de Pesos e Notas'!BR41/'Matriz de Pesos e Notas'!$CM41*'Matriz de Pesos e Notas'!$A$145*$C41,0)</f>
        <v>0</v>
      </c>
      <c r="N41" s="175">
        <f>IF($C41,'Matriz de Pesos e Notas'!BS41/'Matriz de Pesos e Notas'!$CN41*'Matriz de Pesos e Notas'!$A$146*$C41,0)</f>
        <v>0</v>
      </c>
      <c r="O41" s="175"/>
      <c r="P41" s="163">
        <f>IF($C41,'Matriz de Pesos e Notas'!BU41/'Matriz de Pesos e Notas'!$CM41*'Matriz de Pesos e Notas'!$A$145*$C41,0)</f>
        <v>0</v>
      </c>
      <c r="Q41" s="175">
        <f>IF($C41,'Matriz de Pesos e Notas'!BV41/'Matriz de Pesos e Notas'!$CN41*'Matriz de Pesos e Notas'!$A$146*$C41,0)</f>
        <v>0</v>
      </c>
      <c r="R41" s="175"/>
      <c r="S41" s="163">
        <f>IF($C41,'Matriz de Pesos e Notas'!BX41/'Matriz de Pesos e Notas'!$CM41*'Matriz de Pesos e Notas'!$A$145*$C41,0)</f>
        <v>0</v>
      </c>
      <c r="T41" s="175">
        <f>IF($C41,'Matriz de Pesos e Notas'!BY41/'Matriz de Pesos e Notas'!$CN41*'Matriz de Pesos e Notas'!$A$146*$C41,0)</f>
        <v>0</v>
      </c>
      <c r="U41" s="175"/>
      <c r="V41" s="163">
        <f>IF($C41,'Matriz de Pesos e Notas'!CA41/'Matriz de Pesos e Notas'!$CM41*'Matriz de Pesos e Notas'!$A$145*$C41,0)</f>
        <v>0</v>
      </c>
      <c r="W41" s="175">
        <f>IF($C41,'Matriz de Pesos e Notas'!CB41/'Matriz de Pesos e Notas'!$CN41*'Matriz de Pesos e Notas'!$A$146*$C41,0)</f>
        <v>0</v>
      </c>
      <c r="X41" s="175"/>
      <c r="Y41" s="163">
        <f>IF($C41,'Matriz de Pesos e Notas'!CD41/'Matriz de Pesos e Notas'!$CM41*'Matriz de Pesos e Notas'!$A$145*$C41,0)</f>
        <v>0</v>
      </c>
      <c r="Z41" s="175">
        <f>IF($C41,'Matriz de Pesos e Notas'!CE41/'Matriz de Pesos e Notas'!$CN41*'Matriz de Pesos e Notas'!$A$146*$C41,0)</f>
        <v>0</v>
      </c>
      <c r="AA41" s="175"/>
      <c r="AB41" s="163">
        <f>IF($C41,'Matriz de Pesos e Notas'!CG41/'Matriz de Pesos e Notas'!$CM41*'Matriz de Pesos e Notas'!$A$145*$C41,0)</f>
        <v>0</v>
      </c>
      <c r="AC41" s="175">
        <f>IF($C41,'Matriz de Pesos e Notas'!CH41/'Matriz de Pesos e Notas'!$CN41*'Matriz de Pesos e Notas'!$A$146*$C41,0)</f>
        <v>0</v>
      </c>
      <c r="AD41" s="175"/>
      <c r="AE41" s="163">
        <f>IF($C41,'Matriz de Pesos e Notas'!CJ41/'Matriz de Pesos e Notas'!$CM41*'Matriz de Pesos e Notas'!$A$145*$C41,0)</f>
        <v>0</v>
      </c>
      <c r="AF41" s="175">
        <f>IF($C41,'Matriz de Pesos e Notas'!CK41/'Matriz de Pesos e Notas'!$CN41*'Matriz de Pesos e Notas'!$A$146*$C41,0)</f>
        <v>0</v>
      </c>
      <c r="AG41" s="164"/>
      <c r="AH41" s="4" t="str">
        <f>IF(C41,"Imprime","Não Imprime")</f>
        <v>Não Imprime</v>
      </c>
    </row>
    <row r="42" spans="1:34" x14ac:dyDescent="0.2">
      <c r="A42" s="43"/>
      <c r="B42" s="65" t="str">
        <f>TEXT(D41,"0,00%")&amp;"        "&amp;TEXT(E41,"0,00%")</f>
        <v>0,00%        0,00%</v>
      </c>
      <c r="C42" s="92"/>
      <c r="D42" s="73"/>
      <c r="E42" s="72"/>
      <c r="F42" s="72"/>
      <c r="G42" s="165"/>
      <c r="H42" s="176"/>
      <c r="I42" s="176"/>
      <c r="J42" s="165"/>
      <c r="K42" s="176"/>
      <c r="L42" s="176"/>
      <c r="M42" s="165"/>
      <c r="N42" s="176"/>
      <c r="O42" s="176"/>
      <c r="P42" s="165"/>
      <c r="Q42" s="176"/>
      <c r="R42" s="176"/>
      <c r="S42" s="165"/>
      <c r="T42" s="176"/>
      <c r="U42" s="176"/>
      <c r="V42" s="165"/>
      <c r="W42" s="176"/>
      <c r="X42" s="176"/>
      <c r="Y42" s="165"/>
      <c r="Z42" s="176"/>
      <c r="AA42" s="176"/>
      <c r="AB42" s="165"/>
      <c r="AC42" s="176"/>
      <c r="AD42" s="176"/>
      <c r="AE42" s="165"/>
      <c r="AF42" s="176"/>
      <c r="AG42" s="166"/>
      <c r="AH42" s="8" t="str">
        <f>+AH41</f>
        <v>Não Imprime</v>
      </c>
    </row>
    <row r="43" spans="1:34" x14ac:dyDescent="0.2">
      <c r="A43" s="628" t="str">
        <f>'Matriz de Pesos e Notas'!A43</f>
        <v>Nome da Atividade 3 da Unidade 1</v>
      </c>
      <c r="B43" s="629"/>
      <c r="C43" s="92">
        <f>IF(ISTEXT('Matriz de Pesos e Notas'!C43),letrapeso('Matriz de Pesos e Notas'!C43)/SUM(letrapeso('Matriz de Pesos e Notas'!C39)+letrapeso('Matriz de Pesos e Notas'!C41)+letrapeso('Matriz de Pesos e Notas'!C43)+letrapeso('Matriz de Pesos e Notas'!C45)+letrapeso('Matriz de Pesos e Notas'!C47)+letrapeso('Matriz de Pesos e Notas'!C49)+letrapeso('Matriz de Pesos e Notas'!C51))*C37,0)</f>
        <v>0</v>
      </c>
      <c r="D43" s="85">
        <f>G43+J43+M43+P43+S43+V43+Y43+AB43+AE43</f>
        <v>0</v>
      </c>
      <c r="E43" s="85">
        <f>H43+K43+N43+Q43+T43+W43+Z43+AC43+AF43</f>
        <v>0</v>
      </c>
      <c r="F43" s="72"/>
      <c r="G43" s="163">
        <f>IF($C43,'Matriz de Pesos e Notas'!BL43/'Matriz de Pesos e Notas'!$CM43*'Matriz de Pesos e Notas'!$A$145*$C43,0)</f>
        <v>0</v>
      </c>
      <c r="H43" s="175">
        <f>IF($C43,'Matriz de Pesos e Notas'!BM43/'Matriz de Pesos e Notas'!$CN43*'Matriz de Pesos e Notas'!$A$146*$C43,0)</f>
        <v>0</v>
      </c>
      <c r="I43" s="175"/>
      <c r="J43" s="163">
        <f>IF($C43,'Matriz de Pesos e Notas'!BO43/'Matriz de Pesos e Notas'!$CM43*'Matriz de Pesos e Notas'!$A$145*$C43,0)</f>
        <v>0</v>
      </c>
      <c r="K43" s="175">
        <f>IF($C43,'Matriz de Pesos e Notas'!BP43/'Matriz de Pesos e Notas'!$CN43*'Matriz de Pesos e Notas'!$A$146*$C43,0)</f>
        <v>0</v>
      </c>
      <c r="L43" s="175"/>
      <c r="M43" s="163">
        <f>IF($C43,'Matriz de Pesos e Notas'!BR43/'Matriz de Pesos e Notas'!$CM43*'Matriz de Pesos e Notas'!$A$145*$C43,0)</f>
        <v>0</v>
      </c>
      <c r="N43" s="175">
        <f>IF($C43,'Matriz de Pesos e Notas'!BS43/'Matriz de Pesos e Notas'!$CN43*'Matriz de Pesos e Notas'!$A$146*$C43,0)</f>
        <v>0</v>
      </c>
      <c r="O43" s="175"/>
      <c r="P43" s="163">
        <f>IF($C43,'Matriz de Pesos e Notas'!BU43/'Matriz de Pesos e Notas'!$CM43*'Matriz de Pesos e Notas'!$A$145*$C43,0)</f>
        <v>0</v>
      </c>
      <c r="Q43" s="175">
        <f>IF($C43,'Matriz de Pesos e Notas'!BV43/'Matriz de Pesos e Notas'!$CN43*'Matriz de Pesos e Notas'!$A$146*$C43,0)</f>
        <v>0</v>
      </c>
      <c r="R43" s="175"/>
      <c r="S43" s="163">
        <f>IF($C43,'Matriz de Pesos e Notas'!BX43/'Matriz de Pesos e Notas'!$CM43*'Matriz de Pesos e Notas'!$A$145*$C43,0)</f>
        <v>0</v>
      </c>
      <c r="T43" s="175">
        <f>IF($C43,'Matriz de Pesos e Notas'!BY43/'Matriz de Pesos e Notas'!$CN43*'Matriz de Pesos e Notas'!$A$146*$C43,0)</f>
        <v>0</v>
      </c>
      <c r="U43" s="175"/>
      <c r="V43" s="163">
        <f>IF($C43,'Matriz de Pesos e Notas'!CA43/'Matriz de Pesos e Notas'!$CM43*'Matriz de Pesos e Notas'!$A$145*$C43,0)</f>
        <v>0</v>
      </c>
      <c r="W43" s="175">
        <f>IF($C43,'Matriz de Pesos e Notas'!CB43/'Matriz de Pesos e Notas'!$CN43*'Matriz de Pesos e Notas'!$A$146*$C43,0)</f>
        <v>0</v>
      </c>
      <c r="X43" s="175"/>
      <c r="Y43" s="163">
        <f>IF($C43,'Matriz de Pesos e Notas'!CD43/'Matriz de Pesos e Notas'!$CM43*'Matriz de Pesos e Notas'!$A$145*$C43,0)</f>
        <v>0</v>
      </c>
      <c r="Z43" s="175">
        <f>IF($C43,'Matriz de Pesos e Notas'!CE43/'Matriz de Pesos e Notas'!$CN43*'Matriz de Pesos e Notas'!$A$146*$C43,0)</f>
        <v>0</v>
      </c>
      <c r="AA43" s="175"/>
      <c r="AB43" s="163">
        <f>IF($C43,'Matriz de Pesos e Notas'!CG43/'Matriz de Pesos e Notas'!$CM43*'Matriz de Pesos e Notas'!$A$145*$C43,0)</f>
        <v>0</v>
      </c>
      <c r="AC43" s="175">
        <f>IF($C43,'Matriz de Pesos e Notas'!CH43/'Matriz de Pesos e Notas'!$CN43*'Matriz de Pesos e Notas'!$A$146*$C43,0)</f>
        <v>0</v>
      </c>
      <c r="AD43" s="175"/>
      <c r="AE43" s="163">
        <f>IF($C43,'Matriz de Pesos e Notas'!CJ43/'Matriz de Pesos e Notas'!$CM43*'Matriz de Pesos e Notas'!$A$145*$C43,0)</f>
        <v>0</v>
      </c>
      <c r="AF43" s="175">
        <f>IF($C43,'Matriz de Pesos e Notas'!CK43/'Matriz de Pesos e Notas'!$CN43*'Matriz de Pesos e Notas'!$A$146*$C43,0)</f>
        <v>0</v>
      </c>
      <c r="AG43" s="164"/>
      <c r="AH43" s="4" t="str">
        <f>IF(C43,"Imprime","Não Imprime")</f>
        <v>Não Imprime</v>
      </c>
    </row>
    <row r="44" spans="1:34" x14ac:dyDescent="0.2">
      <c r="A44" s="43"/>
      <c r="B44" s="65" t="str">
        <f>TEXT(D43,"0,00%")&amp;"        "&amp;TEXT(E43,"0,00%")</f>
        <v>0,00%        0,00%</v>
      </c>
      <c r="C44" s="92"/>
      <c r="D44" s="73"/>
      <c r="E44" s="72"/>
      <c r="F44" s="72"/>
      <c r="G44" s="165"/>
      <c r="H44" s="176"/>
      <c r="I44" s="176"/>
      <c r="J44" s="165"/>
      <c r="K44" s="176"/>
      <c r="L44" s="176"/>
      <c r="M44" s="165"/>
      <c r="N44" s="176"/>
      <c r="O44" s="176"/>
      <c r="P44" s="165"/>
      <c r="Q44" s="176"/>
      <c r="R44" s="176"/>
      <c r="S44" s="165"/>
      <c r="T44" s="176"/>
      <c r="U44" s="176"/>
      <c r="V44" s="165"/>
      <c r="W44" s="176"/>
      <c r="X44" s="176"/>
      <c r="Y44" s="165"/>
      <c r="Z44" s="176"/>
      <c r="AA44" s="176"/>
      <c r="AB44" s="165"/>
      <c r="AC44" s="176"/>
      <c r="AD44" s="176"/>
      <c r="AE44" s="165"/>
      <c r="AF44" s="176"/>
      <c r="AG44" s="166"/>
      <c r="AH44" s="8" t="str">
        <f>+AH43</f>
        <v>Não Imprime</v>
      </c>
    </row>
    <row r="45" spans="1:34" x14ac:dyDescent="0.2">
      <c r="A45" s="628" t="str">
        <f>'Matriz de Pesos e Notas'!A45</f>
        <v>Nome da Atividade 4 da Unidade 1</v>
      </c>
      <c r="B45" s="629"/>
      <c r="C45" s="92">
        <f>IF(ISTEXT('Matriz de Pesos e Notas'!C45),letrapeso('Matriz de Pesos e Notas'!C45)/SUM(letrapeso('Matriz de Pesos e Notas'!C39)+letrapeso('Matriz de Pesos e Notas'!C41)+letrapeso('Matriz de Pesos e Notas'!C43)+letrapeso('Matriz de Pesos e Notas'!C45)+letrapeso('Matriz de Pesos e Notas'!C47)+letrapeso('Matriz de Pesos e Notas'!C49)+letrapeso('Matriz de Pesos e Notas'!C51))*C37,0)</f>
        <v>0</v>
      </c>
      <c r="D45" s="85">
        <f>G45+J45+M45+P45+S45+V45+Y45+AB45+AE45</f>
        <v>0</v>
      </c>
      <c r="E45" s="85">
        <f>H45+K45+N45+Q45+T45+W45+Z45+AC45+AF45</f>
        <v>0</v>
      </c>
      <c r="F45" s="72"/>
      <c r="G45" s="163">
        <f>IF($C45,'Matriz de Pesos e Notas'!BL45/'Matriz de Pesos e Notas'!$CM45*'Matriz de Pesos e Notas'!$A$145*$C45,0)</f>
        <v>0</v>
      </c>
      <c r="H45" s="175">
        <f>IF($C45,'Matriz de Pesos e Notas'!BM45/'Matriz de Pesos e Notas'!$CN45*'Matriz de Pesos e Notas'!$A$146*$C45,0)</f>
        <v>0</v>
      </c>
      <c r="I45" s="175"/>
      <c r="J45" s="163">
        <f>IF($C45,'Matriz de Pesos e Notas'!BO45/'Matriz de Pesos e Notas'!$CM45*'Matriz de Pesos e Notas'!$A$145*$C45,0)</f>
        <v>0</v>
      </c>
      <c r="K45" s="175">
        <f>IF($C45,'Matriz de Pesos e Notas'!BP45/'Matriz de Pesos e Notas'!$CN45*'Matriz de Pesos e Notas'!$A$146*$C45,0)</f>
        <v>0</v>
      </c>
      <c r="L45" s="175"/>
      <c r="M45" s="163">
        <f>IF($C45,'Matriz de Pesos e Notas'!BR45/'Matriz de Pesos e Notas'!$CM45*'Matriz de Pesos e Notas'!$A$145*$C45,0)</f>
        <v>0</v>
      </c>
      <c r="N45" s="175">
        <f>IF($C45,'Matriz de Pesos e Notas'!BS45/'Matriz de Pesos e Notas'!$CN45*'Matriz de Pesos e Notas'!$A$146*$C45,0)</f>
        <v>0</v>
      </c>
      <c r="O45" s="175"/>
      <c r="P45" s="163">
        <f>IF($C45,'Matriz de Pesos e Notas'!BU45/'Matriz de Pesos e Notas'!$CM45*'Matriz de Pesos e Notas'!$A$145*$C45,0)</f>
        <v>0</v>
      </c>
      <c r="Q45" s="175">
        <f>IF($C45,'Matriz de Pesos e Notas'!BV45/'Matriz de Pesos e Notas'!$CN45*'Matriz de Pesos e Notas'!$A$146*$C45,0)</f>
        <v>0</v>
      </c>
      <c r="R45" s="175"/>
      <c r="S45" s="163">
        <f>IF($C45,'Matriz de Pesos e Notas'!BX45/'Matriz de Pesos e Notas'!$CM45*'Matriz de Pesos e Notas'!$A$145*$C45,0)</f>
        <v>0</v>
      </c>
      <c r="T45" s="175">
        <f>IF($C45,'Matriz de Pesos e Notas'!BY45/'Matriz de Pesos e Notas'!$CN45*'Matriz de Pesos e Notas'!$A$146*$C45,0)</f>
        <v>0</v>
      </c>
      <c r="U45" s="175"/>
      <c r="V45" s="163">
        <f>IF($C45,'Matriz de Pesos e Notas'!CA45/'Matriz de Pesos e Notas'!$CM45*'Matriz de Pesos e Notas'!$A$145*$C45,0)</f>
        <v>0</v>
      </c>
      <c r="W45" s="175">
        <f>IF($C45,'Matriz de Pesos e Notas'!CB45/'Matriz de Pesos e Notas'!$CN45*'Matriz de Pesos e Notas'!$A$146*$C45,0)</f>
        <v>0</v>
      </c>
      <c r="X45" s="175"/>
      <c r="Y45" s="163">
        <f>IF($C45,'Matriz de Pesos e Notas'!CD45/'Matriz de Pesos e Notas'!$CM45*'Matriz de Pesos e Notas'!$A$145*$C45,0)</f>
        <v>0</v>
      </c>
      <c r="Z45" s="175">
        <f>IF($C45,'Matriz de Pesos e Notas'!CE45/'Matriz de Pesos e Notas'!$CN45*'Matriz de Pesos e Notas'!$A$146*$C45,0)</f>
        <v>0</v>
      </c>
      <c r="AA45" s="175"/>
      <c r="AB45" s="163">
        <f>IF($C45,'Matriz de Pesos e Notas'!CG45/'Matriz de Pesos e Notas'!$CM45*'Matriz de Pesos e Notas'!$A$145*$C45,0)</f>
        <v>0</v>
      </c>
      <c r="AC45" s="175">
        <f>IF($C45,'Matriz de Pesos e Notas'!CH45/'Matriz de Pesos e Notas'!$CN45*'Matriz de Pesos e Notas'!$A$146*$C45,0)</f>
        <v>0</v>
      </c>
      <c r="AD45" s="175"/>
      <c r="AE45" s="163">
        <f>IF($C45,'Matriz de Pesos e Notas'!CJ45/'Matriz de Pesos e Notas'!$CM45*'Matriz de Pesos e Notas'!$A$145*$C45,0)</f>
        <v>0</v>
      </c>
      <c r="AF45" s="175">
        <f>IF($C45,'Matriz de Pesos e Notas'!CK45/'Matriz de Pesos e Notas'!$CN45*'Matriz de Pesos e Notas'!$A$146*$C45,0)</f>
        <v>0</v>
      </c>
      <c r="AG45" s="164"/>
      <c r="AH45" s="1" t="str">
        <f>IF(C45,"Imprime","Não Imprime")</f>
        <v>Não Imprime</v>
      </c>
    </row>
    <row r="46" spans="1:34" x14ac:dyDescent="0.2">
      <c r="A46" s="43"/>
      <c r="B46" s="65" t="str">
        <f>TEXT(D45,"0,00%")&amp;"        "&amp;TEXT(E45,"0,00%")</f>
        <v>0,00%        0,00%</v>
      </c>
      <c r="C46" s="92"/>
      <c r="D46" s="74"/>
      <c r="E46" s="74"/>
      <c r="F46" s="86"/>
      <c r="G46" s="165"/>
      <c r="H46" s="176"/>
      <c r="I46" s="176"/>
      <c r="J46" s="165"/>
      <c r="K46" s="176"/>
      <c r="L46" s="176"/>
      <c r="M46" s="165"/>
      <c r="N46" s="176"/>
      <c r="O46" s="176"/>
      <c r="P46" s="165"/>
      <c r="Q46" s="176"/>
      <c r="R46" s="176"/>
      <c r="S46" s="165"/>
      <c r="T46" s="176"/>
      <c r="U46" s="176"/>
      <c r="V46" s="165"/>
      <c r="W46" s="176"/>
      <c r="X46" s="176"/>
      <c r="Y46" s="165"/>
      <c r="Z46" s="176"/>
      <c r="AA46" s="176"/>
      <c r="AB46" s="165"/>
      <c r="AC46" s="176"/>
      <c r="AD46" s="176"/>
      <c r="AE46" s="165"/>
      <c r="AF46" s="176"/>
      <c r="AG46" s="166"/>
      <c r="AH46" s="8" t="str">
        <f>+AH45</f>
        <v>Não Imprime</v>
      </c>
    </row>
    <row r="47" spans="1:34" x14ac:dyDescent="0.2">
      <c r="A47" s="628" t="str">
        <f>'Matriz de Pesos e Notas'!A47</f>
        <v>Nome da Atividade 5 da Unidade 1</v>
      </c>
      <c r="B47" s="629"/>
      <c r="C47" s="92">
        <f>IF(ISTEXT('Matriz de Pesos e Notas'!C47),letrapeso('Matriz de Pesos e Notas'!C47)/SUM(letrapeso('Matriz de Pesos e Notas'!C39)+letrapeso('Matriz de Pesos e Notas'!C41)+letrapeso('Matriz de Pesos e Notas'!C43)+letrapeso('Matriz de Pesos e Notas'!C45)+letrapeso('Matriz de Pesos e Notas'!C47)+letrapeso('Matriz de Pesos e Notas'!C49)+letrapeso('Matriz de Pesos e Notas'!C51))*C37,0)</f>
        <v>0</v>
      </c>
      <c r="D47" s="85">
        <f>G47+J47+M47+P47+S47+V47+Y47+AB47+AE47</f>
        <v>0</v>
      </c>
      <c r="E47" s="85">
        <f>H47+K47+N47+Q47+T47+W47+Z47+AC47+AF47</f>
        <v>0</v>
      </c>
      <c r="F47" s="72"/>
      <c r="G47" s="163">
        <f>IF($C47,'Matriz de Pesos e Notas'!BL47/'Matriz de Pesos e Notas'!$CM47*'Matriz de Pesos e Notas'!$A$145*$C47,0)</f>
        <v>0</v>
      </c>
      <c r="H47" s="175">
        <f>IF($C47,'Matriz de Pesos e Notas'!BM47/'Matriz de Pesos e Notas'!$CN47*'Matriz de Pesos e Notas'!$A$146*$C47,0)</f>
        <v>0</v>
      </c>
      <c r="I47" s="175"/>
      <c r="J47" s="163">
        <f>IF($C47,'Matriz de Pesos e Notas'!BO47/'Matriz de Pesos e Notas'!$CM47*'Matriz de Pesos e Notas'!$A$145*$C47,0)</f>
        <v>0</v>
      </c>
      <c r="K47" s="175">
        <f>IF($C47,'Matriz de Pesos e Notas'!BP47/'Matriz de Pesos e Notas'!$CN47*'Matriz de Pesos e Notas'!$A$146*$C47,0)</f>
        <v>0</v>
      </c>
      <c r="L47" s="175"/>
      <c r="M47" s="163">
        <f>IF($C47,'Matriz de Pesos e Notas'!BR47/'Matriz de Pesos e Notas'!$CM47*'Matriz de Pesos e Notas'!$A$145*$C47,0)</f>
        <v>0</v>
      </c>
      <c r="N47" s="175">
        <f>IF($C47,'Matriz de Pesos e Notas'!BS47/'Matriz de Pesos e Notas'!$CN47*'Matriz de Pesos e Notas'!$A$146*$C47,0)</f>
        <v>0</v>
      </c>
      <c r="O47" s="175"/>
      <c r="P47" s="163">
        <f>IF($C47,'Matriz de Pesos e Notas'!BU47/'Matriz de Pesos e Notas'!$CM47*'Matriz de Pesos e Notas'!$A$145*$C47,0)</f>
        <v>0</v>
      </c>
      <c r="Q47" s="175">
        <f>IF($C47,'Matriz de Pesos e Notas'!BV47/'Matriz de Pesos e Notas'!$CN47*'Matriz de Pesos e Notas'!$A$146*$C47,0)</f>
        <v>0</v>
      </c>
      <c r="R47" s="175"/>
      <c r="S47" s="163">
        <f>IF($C47,'Matriz de Pesos e Notas'!BX47/'Matriz de Pesos e Notas'!$CM47*'Matriz de Pesos e Notas'!$A$145*$C47,0)</f>
        <v>0</v>
      </c>
      <c r="T47" s="175">
        <f>IF($C47,'Matriz de Pesos e Notas'!BY47/'Matriz de Pesos e Notas'!$CN47*'Matriz de Pesos e Notas'!$A$146*$C47,0)</f>
        <v>0</v>
      </c>
      <c r="U47" s="175"/>
      <c r="V47" s="163">
        <f>IF($C47,'Matriz de Pesos e Notas'!CA47/'Matriz de Pesos e Notas'!$CM47*'Matriz de Pesos e Notas'!$A$145*$C47,0)</f>
        <v>0</v>
      </c>
      <c r="W47" s="175">
        <f>IF($C47,'Matriz de Pesos e Notas'!CB47/'Matriz de Pesos e Notas'!$CN47*'Matriz de Pesos e Notas'!$A$146*$C47,0)</f>
        <v>0</v>
      </c>
      <c r="X47" s="175"/>
      <c r="Y47" s="163">
        <f>IF($C47,'Matriz de Pesos e Notas'!CD47/'Matriz de Pesos e Notas'!$CM47*'Matriz de Pesos e Notas'!$A$145*$C47,0)</f>
        <v>0</v>
      </c>
      <c r="Z47" s="175">
        <f>IF($C47,'Matriz de Pesos e Notas'!CE47/'Matriz de Pesos e Notas'!$CN47*'Matriz de Pesos e Notas'!$A$146*$C47,0)</f>
        <v>0</v>
      </c>
      <c r="AA47" s="175"/>
      <c r="AB47" s="163">
        <f>IF($C47,'Matriz de Pesos e Notas'!CG47/'Matriz de Pesos e Notas'!$CM47*'Matriz de Pesos e Notas'!$A$145*$C47,0)</f>
        <v>0</v>
      </c>
      <c r="AC47" s="175">
        <f>IF($C47,'Matriz de Pesos e Notas'!CH47/'Matriz de Pesos e Notas'!$CN47*'Matriz de Pesos e Notas'!$A$146*$C47,0)</f>
        <v>0</v>
      </c>
      <c r="AD47" s="175"/>
      <c r="AE47" s="163">
        <f>IF($C47,'Matriz de Pesos e Notas'!CJ47/'Matriz de Pesos e Notas'!$CM47*'Matriz de Pesos e Notas'!$A$145*$C47,0)</f>
        <v>0</v>
      </c>
      <c r="AF47" s="175">
        <f>IF($C47,'Matriz de Pesos e Notas'!CK47/'Matriz de Pesos e Notas'!$CN47*'Matriz de Pesos e Notas'!$A$146*$C47,0)</f>
        <v>0</v>
      </c>
      <c r="AG47" s="164"/>
      <c r="AH47" s="1" t="str">
        <f>IF(C47,"Imprime","Não Imprime")</f>
        <v>Não Imprime</v>
      </c>
    </row>
    <row r="48" spans="1:34" x14ac:dyDescent="0.2">
      <c r="A48" s="43"/>
      <c r="B48" s="65" t="str">
        <f>TEXT(D47,"0,00%")&amp;"        "&amp;TEXT(E47,"0,00%")</f>
        <v>0,00%        0,00%</v>
      </c>
      <c r="C48" s="92"/>
      <c r="D48" s="74"/>
      <c r="E48" s="74"/>
      <c r="F48" s="86"/>
      <c r="G48" s="165"/>
      <c r="H48" s="176"/>
      <c r="I48" s="176"/>
      <c r="J48" s="165"/>
      <c r="K48" s="176"/>
      <c r="L48" s="176"/>
      <c r="M48" s="165"/>
      <c r="N48" s="176"/>
      <c r="O48" s="176"/>
      <c r="P48" s="165"/>
      <c r="Q48" s="176"/>
      <c r="R48" s="176"/>
      <c r="S48" s="165"/>
      <c r="T48" s="176"/>
      <c r="U48" s="176"/>
      <c r="V48" s="165"/>
      <c r="W48" s="176"/>
      <c r="X48" s="176"/>
      <c r="Y48" s="165"/>
      <c r="Z48" s="176"/>
      <c r="AA48" s="176"/>
      <c r="AB48" s="165"/>
      <c r="AC48" s="176"/>
      <c r="AD48" s="176"/>
      <c r="AE48" s="165"/>
      <c r="AF48" s="176"/>
      <c r="AG48" s="166"/>
      <c r="AH48" s="8" t="str">
        <f>+AH47</f>
        <v>Não Imprime</v>
      </c>
    </row>
    <row r="49" spans="1:34" x14ac:dyDescent="0.2">
      <c r="A49" s="628" t="str">
        <f>'Matriz de Pesos e Notas'!A49</f>
        <v>Nome da Atividade 6 da Unidade 1</v>
      </c>
      <c r="B49" s="629"/>
      <c r="C49" s="92">
        <f>IF(ISTEXT('Matriz de Pesos e Notas'!C49),letrapeso('Matriz de Pesos e Notas'!C49)/SUM(letrapeso('Matriz de Pesos e Notas'!C39)+letrapeso('Matriz de Pesos e Notas'!C41)+letrapeso('Matriz de Pesos e Notas'!C43)+letrapeso('Matriz de Pesos e Notas'!C45)+letrapeso('Matriz de Pesos e Notas'!C47)+letrapeso('Matriz de Pesos e Notas'!C49)+letrapeso('Matriz de Pesos e Notas'!C51))*C37,0)</f>
        <v>0</v>
      </c>
      <c r="D49" s="85">
        <f>G49+J49+M49+P49+S49+V49+Y49+AB49+AE49</f>
        <v>0</v>
      </c>
      <c r="E49" s="85">
        <f>H49+K49+N49+Q49+T49+W49+Z49+AC49+AF49</f>
        <v>0</v>
      </c>
      <c r="F49" s="72"/>
      <c r="G49" s="163">
        <f>IF($C49,'Matriz de Pesos e Notas'!BL49/'Matriz de Pesos e Notas'!$CM49*'Matriz de Pesos e Notas'!$A$145*$C49,0)</f>
        <v>0</v>
      </c>
      <c r="H49" s="175">
        <f>IF($C49,'Matriz de Pesos e Notas'!BM49/'Matriz de Pesos e Notas'!$CN49*'Matriz de Pesos e Notas'!$A$146*$C49,0)</f>
        <v>0</v>
      </c>
      <c r="I49" s="175"/>
      <c r="J49" s="163">
        <f>IF($C49,'Matriz de Pesos e Notas'!BO49/'Matriz de Pesos e Notas'!$CM49*'Matriz de Pesos e Notas'!$A$145*$C49,0)</f>
        <v>0</v>
      </c>
      <c r="K49" s="175">
        <f>IF($C49,'Matriz de Pesos e Notas'!BP49/'Matriz de Pesos e Notas'!$CN49*'Matriz de Pesos e Notas'!$A$146*$C49,0)</f>
        <v>0</v>
      </c>
      <c r="L49" s="175"/>
      <c r="M49" s="163">
        <f>IF($C49,'Matriz de Pesos e Notas'!BR49/'Matriz de Pesos e Notas'!$CM49*'Matriz de Pesos e Notas'!$A$145*$C49,0)</f>
        <v>0</v>
      </c>
      <c r="N49" s="175">
        <f>IF($C49,'Matriz de Pesos e Notas'!BS49/'Matriz de Pesos e Notas'!$CN49*'Matriz de Pesos e Notas'!$A$146*$C49,0)</f>
        <v>0</v>
      </c>
      <c r="O49" s="175"/>
      <c r="P49" s="163">
        <f>IF($C49,'Matriz de Pesos e Notas'!BU49/'Matriz de Pesos e Notas'!$CM49*'Matriz de Pesos e Notas'!$A$145*$C49,0)</f>
        <v>0</v>
      </c>
      <c r="Q49" s="175">
        <f>IF($C49,'Matriz de Pesos e Notas'!BV49/'Matriz de Pesos e Notas'!$CN49*'Matriz de Pesos e Notas'!$A$146*$C49,0)</f>
        <v>0</v>
      </c>
      <c r="R49" s="175"/>
      <c r="S49" s="163">
        <f>IF($C49,'Matriz de Pesos e Notas'!BX49/'Matriz de Pesos e Notas'!$CM49*'Matriz de Pesos e Notas'!$A$145*$C49,0)</f>
        <v>0</v>
      </c>
      <c r="T49" s="175">
        <f>IF($C49,'Matriz de Pesos e Notas'!BY49/'Matriz de Pesos e Notas'!$CN49*'Matriz de Pesos e Notas'!$A$146*$C49,0)</f>
        <v>0</v>
      </c>
      <c r="U49" s="175"/>
      <c r="V49" s="163">
        <f>IF($C49,'Matriz de Pesos e Notas'!CA49/'Matriz de Pesos e Notas'!$CM49*'Matriz de Pesos e Notas'!$A$145*$C49,0)</f>
        <v>0</v>
      </c>
      <c r="W49" s="175">
        <f>IF($C49,'Matriz de Pesos e Notas'!CB49/'Matriz de Pesos e Notas'!$CN49*'Matriz de Pesos e Notas'!$A$146*$C49,0)</f>
        <v>0</v>
      </c>
      <c r="X49" s="175"/>
      <c r="Y49" s="163">
        <f>IF($C49,'Matriz de Pesos e Notas'!CD49/'Matriz de Pesos e Notas'!$CM49*'Matriz de Pesos e Notas'!$A$145*$C49,0)</f>
        <v>0</v>
      </c>
      <c r="Z49" s="175">
        <f>IF($C49,'Matriz de Pesos e Notas'!CE49/'Matriz de Pesos e Notas'!$CN49*'Matriz de Pesos e Notas'!$A$146*$C49,0)</f>
        <v>0</v>
      </c>
      <c r="AA49" s="175"/>
      <c r="AB49" s="163">
        <f>IF($C49,'Matriz de Pesos e Notas'!CG49/'Matriz de Pesos e Notas'!$CM49*'Matriz de Pesos e Notas'!$A$145*$C49,0)</f>
        <v>0</v>
      </c>
      <c r="AC49" s="175">
        <f>IF($C49,'Matriz de Pesos e Notas'!CH49/'Matriz de Pesos e Notas'!$CN49*'Matriz de Pesos e Notas'!$A$146*$C49,0)</f>
        <v>0</v>
      </c>
      <c r="AD49" s="175"/>
      <c r="AE49" s="163">
        <f>IF($C49,'Matriz de Pesos e Notas'!CJ49/'Matriz de Pesos e Notas'!$CM49*'Matriz de Pesos e Notas'!$A$145*$C49,0)</f>
        <v>0</v>
      </c>
      <c r="AF49" s="175">
        <f>IF($C49,'Matriz de Pesos e Notas'!CK49/'Matriz de Pesos e Notas'!$CN49*'Matriz de Pesos e Notas'!$A$146*$C49,0)</f>
        <v>0</v>
      </c>
      <c r="AG49" s="164"/>
      <c r="AH49" s="1" t="str">
        <f>IF(C49,"Imprime","Não Imprime")</f>
        <v>Não Imprime</v>
      </c>
    </row>
    <row r="50" spans="1:34" x14ac:dyDescent="0.2">
      <c r="A50" s="43"/>
      <c r="B50" s="65" t="str">
        <f>TEXT(D49,"0,00%")&amp;"        "&amp;TEXT(E49,"0,00%")</f>
        <v>0,00%        0,00%</v>
      </c>
      <c r="C50" s="92"/>
      <c r="D50" s="74"/>
      <c r="E50" s="74"/>
      <c r="F50" s="86"/>
      <c r="G50" s="165"/>
      <c r="H50" s="176"/>
      <c r="I50" s="176"/>
      <c r="J50" s="165"/>
      <c r="K50" s="176"/>
      <c r="L50" s="176"/>
      <c r="M50" s="165"/>
      <c r="N50" s="176"/>
      <c r="O50" s="176"/>
      <c r="P50" s="165"/>
      <c r="Q50" s="176"/>
      <c r="R50" s="176"/>
      <c r="S50" s="165"/>
      <c r="T50" s="176"/>
      <c r="U50" s="176"/>
      <c r="V50" s="165"/>
      <c r="W50" s="176"/>
      <c r="X50" s="176"/>
      <c r="Y50" s="165"/>
      <c r="Z50" s="176"/>
      <c r="AA50" s="176"/>
      <c r="AB50" s="165"/>
      <c r="AC50" s="176"/>
      <c r="AD50" s="176"/>
      <c r="AE50" s="165"/>
      <c r="AF50" s="176"/>
      <c r="AG50" s="166"/>
      <c r="AH50" s="8" t="str">
        <f>+AH49</f>
        <v>Não Imprime</v>
      </c>
    </row>
    <row r="51" spans="1:34" x14ac:dyDescent="0.2">
      <c r="A51" s="628" t="str">
        <f>'Matriz de Pesos e Notas'!A51</f>
        <v>Nome da Atividade 7 da Unidade 1</v>
      </c>
      <c r="B51" s="629"/>
      <c r="C51" s="92">
        <f>IF(ISTEXT('Matriz de Pesos e Notas'!C51),letrapeso('Matriz de Pesos e Notas'!C51)/SUM(letrapeso('Matriz de Pesos e Notas'!C39)+letrapeso('Matriz de Pesos e Notas'!C41)+letrapeso('Matriz de Pesos e Notas'!C43)+letrapeso('Matriz de Pesos e Notas'!C45)+letrapeso('Matriz de Pesos e Notas'!C47)+letrapeso('Matriz de Pesos e Notas'!C49)+letrapeso('Matriz de Pesos e Notas'!C51))*C37,0)</f>
        <v>0</v>
      </c>
      <c r="D51" s="85">
        <f>G51+J51+M51+P51+S51+V51+Y51+AB51+AE51</f>
        <v>0</v>
      </c>
      <c r="E51" s="85">
        <f>H51+K51+N51+Q51+T51+W51+Z51+AC51+AF51</f>
        <v>0</v>
      </c>
      <c r="F51" s="72"/>
      <c r="G51" s="163">
        <f>IF($C51,'Matriz de Pesos e Notas'!BL51/'Matriz de Pesos e Notas'!$CM51*'Matriz de Pesos e Notas'!$A$145*$C51,0)</f>
        <v>0</v>
      </c>
      <c r="H51" s="175">
        <f>IF($C51,'Matriz de Pesos e Notas'!BM51/'Matriz de Pesos e Notas'!$CN51*'Matriz de Pesos e Notas'!$A$146*$C51,0)</f>
        <v>0</v>
      </c>
      <c r="I51" s="175"/>
      <c r="J51" s="163">
        <f>IF($C51,'Matriz de Pesos e Notas'!BO51/'Matriz de Pesos e Notas'!$CM51*'Matriz de Pesos e Notas'!$A$145*$C51,0)</f>
        <v>0</v>
      </c>
      <c r="K51" s="175">
        <f>IF($C51,'Matriz de Pesos e Notas'!BP51/'Matriz de Pesos e Notas'!$CN51*'Matriz de Pesos e Notas'!$A$146*$C51,0)</f>
        <v>0</v>
      </c>
      <c r="L51" s="175"/>
      <c r="M51" s="163">
        <f>IF($C51,'Matriz de Pesos e Notas'!BR51/'Matriz de Pesos e Notas'!$CM51*'Matriz de Pesos e Notas'!$A$145*$C51,0)</f>
        <v>0</v>
      </c>
      <c r="N51" s="175">
        <f>IF($C51,'Matriz de Pesos e Notas'!BS51/'Matriz de Pesos e Notas'!$CN51*'Matriz de Pesos e Notas'!$A$146*$C51,0)</f>
        <v>0</v>
      </c>
      <c r="O51" s="175"/>
      <c r="P51" s="163">
        <f>IF($C51,'Matriz de Pesos e Notas'!BU51/'Matriz de Pesos e Notas'!$CM51*'Matriz de Pesos e Notas'!$A$145*$C51,0)</f>
        <v>0</v>
      </c>
      <c r="Q51" s="175">
        <f>IF($C51,'Matriz de Pesos e Notas'!BV51/'Matriz de Pesos e Notas'!$CN51*'Matriz de Pesos e Notas'!$A$146*$C51,0)</f>
        <v>0</v>
      </c>
      <c r="R51" s="175"/>
      <c r="S51" s="163">
        <f>IF($C51,'Matriz de Pesos e Notas'!BX51/'Matriz de Pesos e Notas'!$CM51*'Matriz de Pesos e Notas'!$A$145*$C51,0)</f>
        <v>0</v>
      </c>
      <c r="T51" s="175">
        <f>IF($C51,'Matriz de Pesos e Notas'!BY51/'Matriz de Pesos e Notas'!$CN51*'Matriz de Pesos e Notas'!$A$146*$C51,0)</f>
        <v>0</v>
      </c>
      <c r="U51" s="175"/>
      <c r="V51" s="163">
        <f>IF($C51,'Matriz de Pesos e Notas'!CA51/'Matriz de Pesos e Notas'!$CM51*'Matriz de Pesos e Notas'!$A$145*$C51,0)</f>
        <v>0</v>
      </c>
      <c r="W51" s="175">
        <f>IF($C51,'Matriz de Pesos e Notas'!CB51/'Matriz de Pesos e Notas'!$CN51*'Matriz de Pesos e Notas'!$A$146*$C51,0)</f>
        <v>0</v>
      </c>
      <c r="X51" s="175"/>
      <c r="Y51" s="163">
        <f>IF($C51,'Matriz de Pesos e Notas'!CD51/'Matriz de Pesos e Notas'!$CM51*'Matriz de Pesos e Notas'!$A$145*$C51,0)</f>
        <v>0</v>
      </c>
      <c r="Z51" s="175">
        <f>IF($C51,'Matriz de Pesos e Notas'!CE51/'Matriz de Pesos e Notas'!$CN51*'Matriz de Pesos e Notas'!$A$146*$C51,0)</f>
        <v>0</v>
      </c>
      <c r="AA51" s="175"/>
      <c r="AB51" s="163">
        <f>IF($C51,'Matriz de Pesos e Notas'!CG51/'Matriz de Pesos e Notas'!$CM51*'Matriz de Pesos e Notas'!$A$145*$C51,0)</f>
        <v>0</v>
      </c>
      <c r="AC51" s="175">
        <f>IF($C51,'Matriz de Pesos e Notas'!CH51/'Matriz de Pesos e Notas'!$CN51*'Matriz de Pesos e Notas'!$A$146*$C51,0)</f>
        <v>0</v>
      </c>
      <c r="AD51" s="175"/>
      <c r="AE51" s="163">
        <f>IF($C51,'Matriz de Pesos e Notas'!CJ51/'Matriz de Pesos e Notas'!$CM51*'Matriz de Pesos e Notas'!$A$145*$C51,0)</f>
        <v>0</v>
      </c>
      <c r="AF51" s="175">
        <f>IF($C51,'Matriz de Pesos e Notas'!CK51/'Matriz de Pesos e Notas'!$CN51*'Matriz de Pesos e Notas'!$A$146*$C51,0)</f>
        <v>0</v>
      </c>
      <c r="AG51" s="164"/>
      <c r="AH51" s="1" t="str">
        <f>IF(C51,"Imprime","Não Imprime")</f>
        <v>Não Imprime</v>
      </c>
    </row>
    <row r="52" spans="1:34" x14ac:dyDescent="0.2">
      <c r="A52" s="43"/>
      <c r="B52" s="65" t="str">
        <f>TEXT(D51,"0,00%")&amp;"        "&amp;TEXT(E51,"0,00%")</f>
        <v>0,00%        0,00%</v>
      </c>
      <c r="C52" s="93"/>
      <c r="D52" s="76"/>
      <c r="E52" s="76"/>
      <c r="F52" s="100"/>
      <c r="G52" s="167"/>
      <c r="H52" s="177"/>
      <c r="I52" s="177"/>
      <c r="J52" s="167"/>
      <c r="K52" s="177"/>
      <c r="L52" s="177"/>
      <c r="M52" s="167"/>
      <c r="N52" s="177"/>
      <c r="O52" s="177"/>
      <c r="P52" s="167"/>
      <c r="Q52" s="177"/>
      <c r="R52" s="177"/>
      <c r="S52" s="167"/>
      <c r="T52" s="177"/>
      <c r="U52" s="177"/>
      <c r="V52" s="167"/>
      <c r="W52" s="177"/>
      <c r="X52" s="177"/>
      <c r="Y52" s="167"/>
      <c r="Z52" s="177"/>
      <c r="AA52" s="177"/>
      <c r="AB52" s="167"/>
      <c r="AC52" s="177"/>
      <c r="AD52" s="177"/>
      <c r="AE52" s="167"/>
      <c r="AF52" s="177"/>
      <c r="AG52" s="166"/>
      <c r="AH52" s="8" t="str">
        <f>+AH51</f>
        <v>Não Imprime</v>
      </c>
    </row>
    <row r="53" spans="1:34" x14ac:dyDescent="0.2">
      <c r="A53" s="105" t="str">
        <f>'Matriz de Pesos e Notas'!A53</f>
        <v>Bradesco Financiamentos</v>
      </c>
      <c r="B53" s="106"/>
      <c r="C53" s="108">
        <f>C153*'Matriz de Pesos e Notas'!$A$135</f>
        <v>4.1379310344827586E-2</v>
      </c>
      <c r="D53" s="109">
        <f>SUM(D55:D67)</f>
        <v>2.2758620689655173E-2</v>
      </c>
      <c r="E53" s="111">
        <f>SUM(E55:E67)</f>
        <v>1.8620689655172416E-2</v>
      </c>
      <c r="F53" s="110"/>
      <c r="G53" s="162"/>
      <c r="H53" s="174"/>
      <c r="I53" s="174"/>
      <c r="J53" s="162"/>
      <c r="K53" s="174"/>
      <c r="L53" s="174"/>
      <c r="M53" s="162"/>
      <c r="N53" s="174"/>
      <c r="O53" s="174"/>
      <c r="P53" s="162"/>
      <c r="Q53" s="174"/>
      <c r="R53" s="174"/>
      <c r="S53" s="162"/>
      <c r="T53" s="174"/>
      <c r="U53" s="174"/>
      <c r="V53" s="162"/>
      <c r="W53" s="174"/>
      <c r="X53" s="174"/>
      <c r="Y53" s="162"/>
      <c r="Z53" s="174"/>
      <c r="AA53" s="174"/>
      <c r="AB53" s="162"/>
      <c r="AC53" s="174"/>
      <c r="AD53" s="174"/>
      <c r="AE53" s="162"/>
      <c r="AF53" s="174"/>
      <c r="AG53" s="164"/>
      <c r="AH53" s="102" t="str">
        <f>IF(C53,"Imprime","Não Imprime")</f>
        <v>Imprime</v>
      </c>
    </row>
    <row r="54" spans="1:34" x14ac:dyDescent="0.2">
      <c r="A54" s="113" t="str">
        <f>TEXT(D53,"0,00%")&amp;"        "&amp;TEXT(E53,"0,00%")</f>
        <v>2,28%        1,86%</v>
      </c>
      <c r="B54" s="114"/>
      <c r="C54" s="91"/>
      <c r="D54" s="71"/>
      <c r="E54" s="71"/>
      <c r="F54" s="99"/>
      <c r="G54" s="163"/>
      <c r="H54" s="175"/>
      <c r="I54" s="175"/>
      <c r="J54" s="163"/>
      <c r="K54" s="175"/>
      <c r="L54" s="175"/>
      <c r="M54" s="163"/>
      <c r="N54" s="175"/>
      <c r="O54" s="175"/>
      <c r="P54" s="163"/>
      <c r="Q54" s="175"/>
      <c r="R54" s="175"/>
      <c r="S54" s="163"/>
      <c r="T54" s="175"/>
      <c r="U54" s="175"/>
      <c r="V54" s="163"/>
      <c r="W54" s="175"/>
      <c r="X54" s="175"/>
      <c r="Y54" s="163"/>
      <c r="Z54" s="175"/>
      <c r="AA54" s="175"/>
      <c r="AB54" s="163"/>
      <c r="AC54" s="175"/>
      <c r="AD54" s="175"/>
      <c r="AE54" s="163"/>
      <c r="AF54" s="175"/>
      <c r="AG54" s="164"/>
      <c r="AH54" s="1" t="str">
        <f>+AH53</f>
        <v>Imprime</v>
      </c>
    </row>
    <row r="55" spans="1:34" x14ac:dyDescent="0.2">
      <c r="A55" s="628" t="str">
        <f>'Matriz de Pesos e Notas'!A55</f>
        <v>Bradesco Financiamentos</v>
      </c>
      <c r="B55" s="629"/>
      <c r="C55" s="92">
        <f>IF(ISTEXT('Matriz de Pesos e Notas'!C55),letrapeso('Matriz de Pesos e Notas'!C55)/SUM(letrapeso('Matriz de Pesos e Notas'!C55)+letrapeso('Matriz de Pesos e Notas'!C57)+letrapeso('Matriz de Pesos e Notas'!C59)+letrapeso('Matriz de Pesos e Notas'!C61)+letrapeso('Matriz de Pesos e Notas'!C63)+letrapeso('Matriz de Pesos e Notas'!C65)+letrapeso('Matriz de Pesos e Notas'!C67))*C53,0)</f>
        <v>4.1379310344827586E-2</v>
      </c>
      <c r="D55" s="85">
        <f>G55+J55+M55+P55+S55+V55+Y55+AB55+AE55</f>
        <v>2.2758620689655173E-2</v>
      </c>
      <c r="E55" s="85">
        <f>H55+K55+N55+Q55+T55+W55+Z55+AC55+AF55</f>
        <v>1.8620689655172416E-2</v>
      </c>
      <c r="F55" s="72"/>
      <c r="G55" s="163">
        <f>IF($C55,'Matriz de Pesos e Notas'!BL55/'Matriz de Pesos e Notas'!$CM55*'Matriz de Pesos e Notas'!$A$145*$C55,0)</f>
        <v>2.2758620689655173E-2</v>
      </c>
      <c r="H55" s="175">
        <f>IF($C55,'Matriz de Pesos e Notas'!BM55/'Matriz de Pesos e Notas'!$CN55*'Matriz de Pesos e Notas'!$A$146*$C55,0)</f>
        <v>1.8620689655172416E-2</v>
      </c>
      <c r="I55" s="175"/>
      <c r="J55" s="163">
        <f>IF($C55,'Matriz de Pesos e Notas'!BO55/'Matriz de Pesos e Notas'!$CM55*'Matriz de Pesos e Notas'!$A$145*$C55,0)</f>
        <v>0</v>
      </c>
      <c r="K55" s="175">
        <f>IF($C55,'Matriz de Pesos e Notas'!BP55/'Matriz de Pesos e Notas'!$CN55*'Matriz de Pesos e Notas'!$A$146*$C55,0)</f>
        <v>0</v>
      </c>
      <c r="L55" s="175"/>
      <c r="M55" s="163">
        <f>IF($C55,'Matriz de Pesos e Notas'!BR55/'Matriz de Pesos e Notas'!$CM55*'Matriz de Pesos e Notas'!$A$145*$C55,0)</f>
        <v>0</v>
      </c>
      <c r="N55" s="175">
        <f>IF($C55,'Matriz de Pesos e Notas'!BS55/'Matriz de Pesos e Notas'!$CN55*'Matriz de Pesos e Notas'!$A$146*$C55,0)</f>
        <v>0</v>
      </c>
      <c r="O55" s="175"/>
      <c r="P55" s="163">
        <f>IF($C55,'Matriz de Pesos e Notas'!BU55/'Matriz de Pesos e Notas'!$CM55*'Matriz de Pesos e Notas'!$A$145*$C55,0)</f>
        <v>0</v>
      </c>
      <c r="Q55" s="175">
        <f>IF($C55,'Matriz de Pesos e Notas'!BV55/'Matriz de Pesos e Notas'!$CN55*'Matriz de Pesos e Notas'!$A$146*$C55,0)</f>
        <v>0</v>
      </c>
      <c r="R55" s="175"/>
      <c r="S55" s="163">
        <f>IF($C55,'Matriz de Pesos e Notas'!BX55/'Matriz de Pesos e Notas'!$CM55*'Matriz de Pesos e Notas'!$A$145*$C55,0)</f>
        <v>0</v>
      </c>
      <c r="T55" s="175">
        <f>IF($C55,'Matriz de Pesos e Notas'!BY55/'Matriz de Pesos e Notas'!$CN55*'Matriz de Pesos e Notas'!$A$146*$C55,0)</f>
        <v>0</v>
      </c>
      <c r="U55" s="175"/>
      <c r="V55" s="163">
        <f>IF($C55,'Matriz de Pesos e Notas'!CA55/'Matriz de Pesos e Notas'!$CM55*'Matriz de Pesos e Notas'!$A$145*$C55,0)</f>
        <v>0</v>
      </c>
      <c r="W55" s="175">
        <f>IF($C55,'Matriz de Pesos e Notas'!CB55/'Matriz de Pesos e Notas'!$CN55*'Matriz de Pesos e Notas'!$A$146*$C55,0)</f>
        <v>0</v>
      </c>
      <c r="X55" s="175"/>
      <c r="Y55" s="163">
        <f>IF($C55,'Matriz de Pesos e Notas'!CD55/'Matriz de Pesos e Notas'!$CM55*'Matriz de Pesos e Notas'!$A$145*$C55,0)</f>
        <v>0</v>
      </c>
      <c r="Z55" s="175">
        <f>IF($C55,'Matriz de Pesos e Notas'!CE55/'Matriz de Pesos e Notas'!$CN55*'Matriz de Pesos e Notas'!$A$146*$C55,0)</f>
        <v>0</v>
      </c>
      <c r="AA55" s="175"/>
      <c r="AB55" s="163">
        <f>IF($C55,'Matriz de Pesos e Notas'!CG55/'Matriz de Pesos e Notas'!$CM55*'Matriz de Pesos e Notas'!$A$145*$C55,0)</f>
        <v>0</v>
      </c>
      <c r="AC55" s="175">
        <f>IF($C55,'Matriz de Pesos e Notas'!CH55/'Matriz de Pesos e Notas'!$CN55*'Matriz de Pesos e Notas'!$A$146*$C55,0)</f>
        <v>0</v>
      </c>
      <c r="AD55" s="175"/>
      <c r="AE55" s="163">
        <f>IF($C55,'Matriz de Pesos e Notas'!CJ55/'Matriz de Pesos e Notas'!$CM55*'Matriz de Pesos e Notas'!$A$145*$C55,0)</f>
        <v>0</v>
      </c>
      <c r="AF55" s="175">
        <f>IF($C55,'Matriz de Pesos e Notas'!CK55/'Matriz de Pesos e Notas'!$CN55*'Matriz de Pesos e Notas'!$A$146*$C55,0)</f>
        <v>0</v>
      </c>
      <c r="AG55" s="164"/>
      <c r="AH55" s="102" t="str">
        <f>IF(C55,"Imprime","Não Imprime")</f>
        <v>Imprime</v>
      </c>
    </row>
    <row r="56" spans="1:34" x14ac:dyDescent="0.2">
      <c r="A56" s="42"/>
      <c r="B56" s="65" t="str">
        <f>TEXT(D55,"0,00%")&amp;"        "&amp;TEXT(E55,"0,00%")</f>
        <v>2,28%        1,86%</v>
      </c>
      <c r="C56" s="92"/>
      <c r="D56" s="73"/>
      <c r="E56" s="72"/>
      <c r="F56" s="72"/>
      <c r="G56" s="165"/>
      <c r="H56" s="176"/>
      <c r="I56" s="176"/>
      <c r="J56" s="165"/>
      <c r="K56" s="176"/>
      <c r="L56" s="176"/>
      <c r="M56" s="165"/>
      <c r="N56" s="176"/>
      <c r="O56" s="176"/>
      <c r="P56" s="165"/>
      <c r="Q56" s="176"/>
      <c r="R56" s="176"/>
      <c r="S56" s="165"/>
      <c r="T56" s="176"/>
      <c r="U56" s="176"/>
      <c r="V56" s="165"/>
      <c r="W56" s="176"/>
      <c r="X56" s="176"/>
      <c r="Y56" s="165"/>
      <c r="Z56" s="176"/>
      <c r="AA56" s="176"/>
      <c r="AB56" s="165"/>
      <c r="AC56" s="176"/>
      <c r="AD56" s="176"/>
      <c r="AE56" s="165"/>
      <c r="AF56" s="176"/>
      <c r="AG56" s="166"/>
      <c r="AH56" s="8" t="str">
        <f>+AH55</f>
        <v>Imprime</v>
      </c>
    </row>
    <row r="57" spans="1:34" x14ac:dyDescent="0.2">
      <c r="A57" s="628" t="str">
        <f>'Matriz de Pesos e Notas'!A57</f>
        <v>Nome da Atividade 3 da Unidade 3</v>
      </c>
      <c r="B57" s="629"/>
      <c r="C57" s="92">
        <f>IF(ISTEXT('Matriz de Pesos e Notas'!C57),letrapeso('Matriz de Pesos e Notas'!C57)/SUM(letrapeso('Matriz de Pesos e Notas'!C55)+letrapeso('Matriz de Pesos e Notas'!C57)+letrapeso('Matriz de Pesos e Notas'!C59)+letrapeso('Matriz de Pesos e Notas'!C61)+letrapeso('Matriz de Pesos e Notas'!C63)+letrapeso('Matriz de Pesos e Notas'!C65)+letrapeso('Matriz de Pesos e Notas'!C67))*C53,0)</f>
        <v>0</v>
      </c>
      <c r="D57" s="85">
        <f>G57+J57+M57+P57+S57+V57+Y57+AB57+AE57</f>
        <v>0</v>
      </c>
      <c r="E57" s="85">
        <f>H57+K57+N57+Q57+T57+W57+Z57+AC57+AF57</f>
        <v>0</v>
      </c>
      <c r="F57" s="72"/>
      <c r="G57" s="163">
        <f>IF($C57,'Matriz de Pesos e Notas'!BL57/'Matriz de Pesos e Notas'!$CM57*'Matriz de Pesos e Notas'!$A$145*$C57,0)</f>
        <v>0</v>
      </c>
      <c r="H57" s="175">
        <f>IF($C57,'Matriz de Pesos e Notas'!BM57/'Matriz de Pesos e Notas'!$CN57*'Matriz de Pesos e Notas'!$A$146*$C57,0)</f>
        <v>0</v>
      </c>
      <c r="I57" s="175"/>
      <c r="J57" s="163">
        <f>IF($C57,'Matriz de Pesos e Notas'!BO57/'Matriz de Pesos e Notas'!$CM57*'Matriz de Pesos e Notas'!$A$145*$C57,0)</f>
        <v>0</v>
      </c>
      <c r="K57" s="175">
        <f>IF($C57,'Matriz de Pesos e Notas'!BP57/'Matriz de Pesos e Notas'!$CN57*'Matriz de Pesos e Notas'!$A$146*$C57,0)</f>
        <v>0</v>
      </c>
      <c r="L57" s="175"/>
      <c r="M57" s="163">
        <f>IF($C57,'Matriz de Pesos e Notas'!BR57/'Matriz de Pesos e Notas'!$CM57*'Matriz de Pesos e Notas'!$A$145*$C57,0)</f>
        <v>0</v>
      </c>
      <c r="N57" s="175">
        <f>IF($C57,'Matriz de Pesos e Notas'!BS57/'Matriz de Pesos e Notas'!$CN57*'Matriz de Pesos e Notas'!$A$146*$C57,0)</f>
        <v>0</v>
      </c>
      <c r="O57" s="175"/>
      <c r="P57" s="163">
        <f>IF($C57,'Matriz de Pesos e Notas'!BU57/'Matriz de Pesos e Notas'!$CM57*'Matriz de Pesos e Notas'!$A$145*$C57,0)</f>
        <v>0</v>
      </c>
      <c r="Q57" s="175">
        <f>IF($C57,'Matriz de Pesos e Notas'!BV57/'Matriz de Pesos e Notas'!$CN57*'Matriz de Pesos e Notas'!$A$146*$C57,0)</f>
        <v>0</v>
      </c>
      <c r="R57" s="175"/>
      <c r="S57" s="163">
        <f>IF($C57,'Matriz de Pesos e Notas'!BX57/'Matriz de Pesos e Notas'!$CM57*'Matriz de Pesos e Notas'!$A$145*$C57,0)</f>
        <v>0</v>
      </c>
      <c r="T57" s="175">
        <f>IF($C57,'Matriz de Pesos e Notas'!BY57/'Matriz de Pesos e Notas'!$CN57*'Matriz de Pesos e Notas'!$A$146*$C57,0)</f>
        <v>0</v>
      </c>
      <c r="U57" s="175"/>
      <c r="V57" s="163">
        <f>IF($C57,'Matriz de Pesos e Notas'!CA57/'Matriz de Pesos e Notas'!$CM57*'Matriz de Pesos e Notas'!$A$145*$C57,0)</f>
        <v>0</v>
      </c>
      <c r="W57" s="175">
        <f>IF($C57,'Matriz de Pesos e Notas'!CB57/'Matriz de Pesos e Notas'!$CN57*'Matriz de Pesos e Notas'!$A$146*$C57,0)</f>
        <v>0</v>
      </c>
      <c r="X57" s="175"/>
      <c r="Y57" s="163">
        <f>IF($C57,'Matriz de Pesos e Notas'!CD57/'Matriz de Pesos e Notas'!$CM57*'Matriz de Pesos e Notas'!$A$145*$C57,0)</f>
        <v>0</v>
      </c>
      <c r="Z57" s="175">
        <f>IF($C57,'Matriz de Pesos e Notas'!CE57/'Matriz de Pesos e Notas'!$CN57*'Matriz de Pesos e Notas'!$A$146*$C57,0)</f>
        <v>0</v>
      </c>
      <c r="AA57" s="175"/>
      <c r="AB57" s="163">
        <f>IF($C57,'Matriz de Pesos e Notas'!CG57/'Matriz de Pesos e Notas'!$CM57*'Matriz de Pesos e Notas'!$A$145*$C57,0)</f>
        <v>0</v>
      </c>
      <c r="AC57" s="175">
        <f>IF($C57,'Matriz de Pesos e Notas'!CH57/'Matriz de Pesos e Notas'!$CN57*'Matriz de Pesos e Notas'!$A$146*$C57,0)</f>
        <v>0</v>
      </c>
      <c r="AD57" s="175"/>
      <c r="AE57" s="163">
        <f>IF($C57,'Matriz de Pesos e Notas'!CJ57/'Matriz de Pesos e Notas'!$CM57*'Matriz de Pesos e Notas'!$A$145*$C57,0)</f>
        <v>0</v>
      </c>
      <c r="AF57" s="175">
        <f>IF($C57,'Matriz de Pesos e Notas'!CK57/'Matriz de Pesos e Notas'!$CN57*'Matriz de Pesos e Notas'!$A$146*$C57,0)</f>
        <v>0</v>
      </c>
      <c r="AG57" s="164"/>
      <c r="AH57" s="4" t="str">
        <f>IF(C57,"Imprime","Não Imprime")</f>
        <v>Não Imprime</v>
      </c>
    </row>
    <row r="58" spans="1:34" x14ac:dyDescent="0.2">
      <c r="A58" s="43"/>
      <c r="B58" s="65" t="str">
        <f>TEXT(D57,"0,00%")&amp;"        "&amp;TEXT(E57,"0,00%")</f>
        <v>0,00%        0,00%</v>
      </c>
      <c r="C58" s="92"/>
      <c r="D58" s="73"/>
      <c r="E58" s="72"/>
      <c r="F58" s="72"/>
      <c r="G58" s="165"/>
      <c r="H58" s="176"/>
      <c r="I58" s="176"/>
      <c r="J58" s="165"/>
      <c r="K58" s="176"/>
      <c r="L58" s="176"/>
      <c r="M58" s="165"/>
      <c r="N58" s="176"/>
      <c r="O58" s="176"/>
      <c r="P58" s="165"/>
      <c r="Q58" s="176"/>
      <c r="R58" s="176"/>
      <c r="S58" s="165"/>
      <c r="T58" s="176"/>
      <c r="U58" s="176"/>
      <c r="V58" s="165"/>
      <c r="W58" s="176"/>
      <c r="X58" s="176"/>
      <c r="Y58" s="165"/>
      <c r="Z58" s="176"/>
      <c r="AA58" s="176"/>
      <c r="AB58" s="165"/>
      <c r="AC58" s="176"/>
      <c r="AD58" s="176"/>
      <c r="AE58" s="165"/>
      <c r="AF58" s="176"/>
      <c r="AG58" s="166"/>
      <c r="AH58" s="8" t="str">
        <f>+AH57</f>
        <v>Não Imprime</v>
      </c>
    </row>
    <row r="59" spans="1:34" x14ac:dyDescent="0.2">
      <c r="A59" s="628" t="str">
        <f>'Matriz de Pesos e Notas'!A59</f>
        <v>Nome da Atividade 3 da Unidade 3</v>
      </c>
      <c r="B59" s="629"/>
      <c r="C59" s="92">
        <f>IF(ISTEXT('Matriz de Pesos e Notas'!C59),letrapeso('Matriz de Pesos e Notas'!C59)/SUM(letrapeso('Matriz de Pesos e Notas'!C55)+letrapeso('Matriz de Pesos e Notas'!C57)+letrapeso('Matriz de Pesos e Notas'!C59)+letrapeso('Matriz de Pesos e Notas'!C61)+letrapeso('Matriz de Pesos e Notas'!C63)+letrapeso('Matriz de Pesos e Notas'!C65)+letrapeso('Matriz de Pesos e Notas'!C67))*C53,0)</f>
        <v>0</v>
      </c>
      <c r="D59" s="85">
        <f>G59+J59+M59+P59+S59+V59+Y59+AB59+AE59</f>
        <v>0</v>
      </c>
      <c r="E59" s="85">
        <f>H59+K59+N59+Q59+T59+W59+Z59+AC59+AF59</f>
        <v>0</v>
      </c>
      <c r="F59" s="72"/>
      <c r="G59" s="163">
        <f>IF($C59,'Matriz de Pesos e Notas'!BL59/'Matriz de Pesos e Notas'!$CM59*'Matriz de Pesos e Notas'!$A$145*$C59,0)</f>
        <v>0</v>
      </c>
      <c r="H59" s="175">
        <f>IF($C59,'Matriz de Pesos e Notas'!BM59/'Matriz de Pesos e Notas'!$CN59*'Matriz de Pesos e Notas'!$A$146*$C59,0)</f>
        <v>0</v>
      </c>
      <c r="I59" s="175"/>
      <c r="J59" s="163">
        <f>IF($C59,'Matriz de Pesos e Notas'!BO59/'Matriz de Pesos e Notas'!$CM59*'Matriz de Pesos e Notas'!$A$145*$C59,0)</f>
        <v>0</v>
      </c>
      <c r="K59" s="175">
        <f>IF($C59,'Matriz de Pesos e Notas'!BP59/'Matriz de Pesos e Notas'!$CN59*'Matriz de Pesos e Notas'!$A$146*$C59,0)</f>
        <v>0</v>
      </c>
      <c r="L59" s="175"/>
      <c r="M59" s="163">
        <f>IF($C59,'Matriz de Pesos e Notas'!BR59/'Matriz de Pesos e Notas'!$CM59*'Matriz de Pesos e Notas'!$A$145*$C59,0)</f>
        <v>0</v>
      </c>
      <c r="N59" s="175">
        <f>IF($C59,'Matriz de Pesos e Notas'!BS59/'Matriz de Pesos e Notas'!$CN59*'Matriz de Pesos e Notas'!$A$146*$C59,0)</f>
        <v>0</v>
      </c>
      <c r="O59" s="175"/>
      <c r="P59" s="163">
        <f>IF($C59,'Matriz de Pesos e Notas'!BU59/'Matriz de Pesos e Notas'!$CM59*'Matriz de Pesos e Notas'!$A$145*$C59,0)</f>
        <v>0</v>
      </c>
      <c r="Q59" s="175">
        <f>IF($C59,'Matriz de Pesos e Notas'!BV59/'Matriz de Pesos e Notas'!$CN59*'Matriz de Pesos e Notas'!$A$146*$C59,0)</f>
        <v>0</v>
      </c>
      <c r="R59" s="175"/>
      <c r="S59" s="163">
        <f>IF($C59,'Matriz de Pesos e Notas'!BX59/'Matriz de Pesos e Notas'!$CM59*'Matriz de Pesos e Notas'!$A$145*$C59,0)</f>
        <v>0</v>
      </c>
      <c r="T59" s="175">
        <f>IF($C59,'Matriz de Pesos e Notas'!BY59/'Matriz de Pesos e Notas'!$CN59*'Matriz de Pesos e Notas'!$A$146*$C59,0)</f>
        <v>0</v>
      </c>
      <c r="U59" s="175"/>
      <c r="V59" s="163">
        <f>IF($C59,'Matriz de Pesos e Notas'!CA59/'Matriz de Pesos e Notas'!$CM59*'Matriz de Pesos e Notas'!$A$145*$C59,0)</f>
        <v>0</v>
      </c>
      <c r="W59" s="175">
        <f>IF($C59,'Matriz de Pesos e Notas'!CB59/'Matriz de Pesos e Notas'!$CN59*'Matriz de Pesos e Notas'!$A$146*$C59,0)</f>
        <v>0</v>
      </c>
      <c r="X59" s="175"/>
      <c r="Y59" s="163">
        <f>IF($C59,'Matriz de Pesos e Notas'!CD59/'Matriz de Pesos e Notas'!$CM59*'Matriz de Pesos e Notas'!$A$145*$C59,0)</f>
        <v>0</v>
      </c>
      <c r="Z59" s="175">
        <f>IF($C59,'Matriz de Pesos e Notas'!CE59/'Matriz de Pesos e Notas'!$CN59*'Matriz de Pesos e Notas'!$A$146*$C59,0)</f>
        <v>0</v>
      </c>
      <c r="AA59" s="175"/>
      <c r="AB59" s="163">
        <f>IF($C59,'Matriz de Pesos e Notas'!CG59/'Matriz de Pesos e Notas'!$CM59*'Matriz de Pesos e Notas'!$A$145*$C59,0)</f>
        <v>0</v>
      </c>
      <c r="AC59" s="175">
        <f>IF($C59,'Matriz de Pesos e Notas'!CH59/'Matriz de Pesos e Notas'!$CN59*'Matriz de Pesos e Notas'!$A$146*$C59,0)</f>
        <v>0</v>
      </c>
      <c r="AD59" s="175"/>
      <c r="AE59" s="163">
        <f>IF($C59,'Matriz de Pesos e Notas'!CJ59/'Matriz de Pesos e Notas'!$CM59*'Matriz de Pesos e Notas'!$A$145*$C59,0)</f>
        <v>0</v>
      </c>
      <c r="AF59" s="175">
        <f>IF($C59,'Matriz de Pesos e Notas'!CK59/'Matriz de Pesos e Notas'!$CN59*'Matriz de Pesos e Notas'!$A$146*$C59,0)</f>
        <v>0</v>
      </c>
      <c r="AG59" s="164"/>
      <c r="AH59" s="4" t="str">
        <f>IF(C59,"Imprime","Não Imprime")</f>
        <v>Não Imprime</v>
      </c>
    </row>
    <row r="60" spans="1:34" x14ac:dyDescent="0.2">
      <c r="A60" s="43"/>
      <c r="B60" s="65" t="str">
        <f>TEXT(D59,"0,00%")&amp;"        "&amp;TEXT(E59,"0,00%")</f>
        <v>0,00%        0,00%</v>
      </c>
      <c r="C60" s="92"/>
      <c r="D60" s="73"/>
      <c r="E60" s="72"/>
      <c r="F60" s="72"/>
      <c r="G60" s="165"/>
      <c r="H60" s="176"/>
      <c r="I60" s="176"/>
      <c r="J60" s="165"/>
      <c r="K60" s="176"/>
      <c r="L60" s="176"/>
      <c r="M60" s="165"/>
      <c r="N60" s="176"/>
      <c r="O60" s="176"/>
      <c r="P60" s="165"/>
      <c r="Q60" s="176"/>
      <c r="R60" s="176"/>
      <c r="S60" s="165"/>
      <c r="T60" s="176"/>
      <c r="U60" s="176"/>
      <c r="V60" s="165"/>
      <c r="W60" s="176"/>
      <c r="X60" s="176"/>
      <c r="Y60" s="165"/>
      <c r="Z60" s="176"/>
      <c r="AA60" s="176"/>
      <c r="AB60" s="165"/>
      <c r="AC60" s="176"/>
      <c r="AD60" s="176"/>
      <c r="AE60" s="165"/>
      <c r="AF60" s="176"/>
      <c r="AG60" s="166"/>
      <c r="AH60" s="8" t="str">
        <f>+AH59</f>
        <v>Não Imprime</v>
      </c>
    </row>
    <row r="61" spans="1:34" x14ac:dyDescent="0.2">
      <c r="A61" s="628" t="str">
        <f>'Matriz de Pesos e Notas'!A61</f>
        <v>Nome da Atividade 4 da Unidade 3</v>
      </c>
      <c r="B61" s="629"/>
      <c r="C61" s="92">
        <f>IF(ISTEXT('Matriz de Pesos e Notas'!C61),letrapeso('Matriz de Pesos e Notas'!C61)/SUM(letrapeso('Matriz de Pesos e Notas'!C55)+letrapeso('Matriz de Pesos e Notas'!C57)+letrapeso('Matriz de Pesos e Notas'!C59)+letrapeso('Matriz de Pesos e Notas'!C61)+letrapeso('Matriz de Pesos e Notas'!C63)+letrapeso('Matriz de Pesos e Notas'!C65)+letrapeso('Matriz de Pesos e Notas'!C67))*C53,0)</f>
        <v>0</v>
      </c>
      <c r="D61" s="85">
        <f>G61+J61+M61+P61+S61+V61+Y61+AB61+AE61</f>
        <v>0</v>
      </c>
      <c r="E61" s="85">
        <f>H61+K61+N61+Q61+T61+W61+Z61+AC61+AF61</f>
        <v>0</v>
      </c>
      <c r="F61" s="72"/>
      <c r="G61" s="163">
        <f>IF($C61,'Matriz de Pesos e Notas'!BL61/'Matriz de Pesos e Notas'!$CM61*'Matriz de Pesos e Notas'!$A$145*$C61,0)</f>
        <v>0</v>
      </c>
      <c r="H61" s="175">
        <f>IF($C61,'Matriz de Pesos e Notas'!BM61/'Matriz de Pesos e Notas'!$CN61*'Matriz de Pesos e Notas'!$A$146*$C61,0)</f>
        <v>0</v>
      </c>
      <c r="I61" s="175"/>
      <c r="J61" s="163">
        <f>IF($C61,'Matriz de Pesos e Notas'!BO61/'Matriz de Pesos e Notas'!$CM61*'Matriz de Pesos e Notas'!$A$145*$C61,0)</f>
        <v>0</v>
      </c>
      <c r="K61" s="175">
        <f>IF($C61,'Matriz de Pesos e Notas'!BP61/'Matriz de Pesos e Notas'!$CN61*'Matriz de Pesos e Notas'!$A$146*$C61,0)</f>
        <v>0</v>
      </c>
      <c r="L61" s="175"/>
      <c r="M61" s="163">
        <f>IF($C61,'Matriz de Pesos e Notas'!BR61/'Matriz de Pesos e Notas'!$CM61*'Matriz de Pesos e Notas'!$A$145*$C61,0)</f>
        <v>0</v>
      </c>
      <c r="N61" s="175">
        <f>IF($C61,'Matriz de Pesos e Notas'!BS61/'Matriz de Pesos e Notas'!$CN61*'Matriz de Pesos e Notas'!$A$146*$C61,0)</f>
        <v>0</v>
      </c>
      <c r="O61" s="175"/>
      <c r="P61" s="163">
        <f>IF($C61,'Matriz de Pesos e Notas'!BU61/'Matriz de Pesos e Notas'!$CM61*'Matriz de Pesos e Notas'!$A$145*$C61,0)</f>
        <v>0</v>
      </c>
      <c r="Q61" s="175">
        <f>IF($C61,'Matriz de Pesos e Notas'!BV61/'Matriz de Pesos e Notas'!$CN61*'Matriz de Pesos e Notas'!$A$146*$C61,0)</f>
        <v>0</v>
      </c>
      <c r="R61" s="175"/>
      <c r="S61" s="163">
        <f>IF($C61,'Matriz de Pesos e Notas'!BX61/'Matriz de Pesos e Notas'!$CM61*'Matriz de Pesos e Notas'!$A$145*$C61,0)</f>
        <v>0</v>
      </c>
      <c r="T61" s="175">
        <f>IF($C61,'Matriz de Pesos e Notas'!BY61/'Matriz de Pesos e Notas'!$CN61*'Matriz de Pesos e Notas'!$A$146*$C61,0)</f>
        <v>0</v>
      </c>
      <c r="U61" s="175"/>
      <c r="V61" s="163">
        <f>IF($C61,'Matriz de Pesos e Notas'!CA61/'Matriz de Pesos e Notas'!$CM61*'Matriz de Pesos e Notas'!$A$145*$C61,0)</f>
        <v>0</v>
      </c>
      <c r="W61" s="175">
        <f>IF($C61,'Matriz de Pesos e Notas'!CB61/'Matriz de Pesos e Notas'!$CN61*'Matriz de Pesos e Notas'!$A$146*$C61,0)</f>
        <v>0</v>
      </c>
      <c r="X61" s="175"/>
      <c r="Y61" s="163">
        <f>IF($C61,'Matriz de Pesos e Notas'!CD61/'Matriz de Pesos e Notas'!$CM61*'Matriz de Pesos e Notas'!$A$145*$C61,0)</f>
        <v>0</v>
      </c>
      <c r="Z61" s="175">
        <f>IF($C61,'Matriz de Pesos e Notas'!CE61/'Matriz de Pesos e Notas'!$CN61*'Matriz de Pesos e Notas'!$A$146*$C61,0)</f>
        <v>0</v>
      </c>
      <c r="AA61" s="175"/>
      <c r="AB61" s="163">
        <f>IF($C61,'Matriz de Pesos e Notas'!CG61/'Matriz de Pesos e Notas'!$CM61*'Matriz de Pesos e Notas'!$A$145*$C61,0)</f>
        <v>0</v>
      </c>
      <c r="AC61" s="175">
        <f>IF($C61,'Matriz de Pesos e Notas'!CH61/'Matriz de Pesos e Notas'!$CN61*'Matriz de Pesos e Notas'!$A$146*$C61,0)</f>
        <v>0</v>
      </c>
      <c r="AD61" s="175"/>
      <c r="AE61" s="163">
        <f>IF($C61,'Matriz de Pesos e Notas'!CJ61/'Matriz de Pesos e Notas'!$CM61*'Matriz de Pesos e Notas'!$A$145*$C61,0)</f>
        <v>0</v>
      </c>
      <c r="AF61" s="175">
        <f>IF($C61,'Matriz de Pesos e Notas'!CK61/'Matriz de Pesos e Notas'!$CN61*'Matriz de Pesos e Notas'!$A$146*$C61,0)</f>
        <v>0</v>
      </c>
      <c r="AG61" s="164"/>
      <c r="AH61" s="1" t="str">
        <f>IF(C61,"Imprime","Não Imprime")</f>
        <v>Não Imprime</v>
      </c>
    </row>
    <row r="62" spans="1:34" x14ac:dyDescent="0.2">
      <c r="A62" s="43"/>
      <c r="B62" s="65" t="str">
        <f>TEXT(D61,"0,00%")&amp;"        "&amp;TEXT(E61,"0,00%")</f>
        <v>0,00%        0,00%</v>
      </c>
      <c r="C62" s="92"/>
      <c r="D62" s="74"/>
      <c r="E62" s="74"/>
      <c r="F62" s="86"/>
      <c r="G62" s="165"/>
      <c r="H62" s="176"/>
      <c r="I62" s="176"/>
      <c r="J62" s="165"/>
      <c r="K62" s="176"/>
      <c r="L62" s="176"/>
      <c r="M62" s="165"/>
      <c r="N62" s="176"/>
      <c r="O62" s="176"/>
      <c r="P62" s="165"/>
      <c r="Q62" s="176"/>
      <c r="R62" s="176"/>
      <c r="S62" s="165"/>
      <c r="T62" s="176"/>
      <c r="U62" s="176"/>
      <c r="V62" s="165"/>
      <c r="W62" s="176"/>
      <c r="X62" s="176"/>
      <c r="Y62" s="165"/>
      <c r="Z62" s="176"/>
      <c r="AA62" s="176"/>
      <c r="AB62" s="165"/>
      <c r="AC62" s="176"/>
      <c r="AD62" s="176"/>
      <c r="AE62" s="165"/>
      <c r="AF62" s="176"/>
      <c r="AG62" s="166"/>
      <c r="AH62" s="8" t="str">
        <f>+AH61</f>
        <v>Não Imprime</v>
      </c>
    </row>
    <row r="63" spans="1:34" x14ac:dyDescent="0.2">
      <c r="A63" s="628" t="str">
        <f>'Matriz de Pesos e Notas'!A63</f>
        <v>Nome da Atividade 5 da Unidade 3</v>
      </c>
      <c r="B63" s="629"/>
      <c r="C63" s="92">
        <f>IF(ISTEXT('Matriz de Pesos e Notas'!C63),letrapeso('Matriz de Pesos e Notas'!C63)/SUM(letrapeso('Matriz de Pesos e Notas'!C55)+letrapeso('Matriz de Pesos e Notas'!C57)+letrapeso('Matriz de Pesos e Notas'!C59)+letrapeso('Matriz de Pesos e Notas'!C61)+letrapeso('Matriz de Pesos e Notas'!C63)+letrapeso('Matriz de Pesos e Notas'!C65)+letrapeso('Matriz de Pesos e Notas'!C67))*C53,0)</f>
        <v>0</v>
      </c>
      <c r="D63" s="85">
        <f>G63+J63+M63+P63+S63+V63+Y63+AB63+AE63</f>
        <v>0</v>
      </c>
      <c r="E63" s="85">
        <f>H63+K63+N63+Q63+T63+W63+Z63+AC63+AF63</f>
        <v>0</v>
      </c>
      <c r="F63" s="72"/>
      <c r="G63" s="163">
        <f>IF($C63,'Matriz de Pesos e Notas'!BL63/'Matriz de Pesos e Notas'!$CM63*'Matriz de Pesos e Notas'!$A$145*$C63,0)</f>
        <v>0</v>
      </c>
      <c r="H63" s="175">
        <f>IF($C63,'Matriz de Pesos e Notas'!BM63/'Matriz de Pesos e Notas'!$CN63*'Matriz de Pesos e Notas'!$A$146*$C63,0)</f>
        <v>0</v>
      </c>
      <c r="I63" s="175"/>
      <c r="J63" s="163">
        <f>IF($C63,'Matriz de Pesos e Notas'!BO63/'Matriz de Pesos e Notas'!$CM63*'Matriz de Pesos e Notas'!$A$145*$C63,0)</f>
        <v>0</v>
      </c>
      <c r="K63" s="175">
        <f>IF($C63,'Matriz de Pesos e Notas'!BP63/'Matriz de Pesos e Notas'!$CN63*'Matriz de Pesos e Notas'!$A$146*$C63,0)</f>
        <v>0</v>
      </c>
      <c r="L63" s="175"/>
      <c r="M63" s="163">
        <f>IF($C63,'Matriz de Pesos e Notas'!BR63/'Matriz de Pesos e Notas'!$CM63*'Matriz de Pesos e Notas'!$A$145*$C63,0)</f>
        <v>0</v>
      </c>
      <c r="N63" s="175">
        <f>IF($C63,'Matriz de Pesos e Notas'!BS63/'Matriz de Pesos e Notas'!$CN63*'Matriz de Pesos e Notas'!$A$146*$C63,0)</f>
        <v>0</v>
      </c>
      <c r="O63" s="175"/>
      <c r="P63" s="163">
        <f>IF($C63,'Matriz de Pesos e Notas'!BU63/'Matriz de Pesos e Notas'!$CM63*'Matriz de Pesos e Notas'!$A$145*$C63,0)</f>
        <v>0</v>
      </c>
      <c r="Q63" s="175">
        <f>IF($C63,'Matriz de Pesos e Notas'!BV63/'Matriz de Pesos e Notas'!$CN63*'Matriz de Pesos e Notas'!$A$146*$C63,0)</f>
        <v>0</v>
      </c>
      <c r="R63" s="175"/>
      <c r="S63" s="163">
        <f>IF($C63,'Matriz de Pesos e Notas'!BX63/'Matriz de Pesos e Notas'!$CM63*'Matriz de Pesos e Notas'!$A$145*$C63,0)</f>
        <v>0</v>
      </c>
      <c r="T63" s="175">
        <f>IF($C63,'Matriz de Pesos e Notas'!BY63/'Matriz de Pesos e Notas'!$CN63*'Matriz de Pesos e Notas'!$A$146*$C63,0)</f>
        <v>0</v>
      </c>
      <c r="U63" s="175"/>
      <c r="V63" s="163">
        <f>IF($C63,'Matriz de Pesos e Notas'!CA63/'Matriz de Pesos e Notas'!$CM63*'Matriz de Pesos e Notas'!$A$145*$C63,0)</f>
        <v>0</v>
      </c>
      <c r="W63" s="175">
        <f>IF($C63,'Matriz de Pesos e Notas'!CB63/'Matriz de Pesos e Notas'!$CN63*'Matriz de Pesos e Notas'!$A$146*$C63,0)</f>
        <v>0</v>
      </c>
      <c r="X63" s="175"/>
      <c r="Y63" s="163">
        <f>IF($C63,'Matriz de Pesos e Notas'!CD63/'Matriz de Pesos e Notas'!$CM63*'Matriz de Pesos e Notas'!$A$145*$C63,0)</f>
        <v>0</v>
      </c>
      <c r="Z63" s="175">
        <f>IF($C63,'Matriz de Pesos e Notas'!CE63/'Matriz de Pesos e Notas'!$CN63*'Matriz de Pesos e Notas'!$A$146*$C63,0)</f>
        <v>0</v>
      </c>
      <c r="AA63" s="175"/>
      <c r="AB63" s="163">
        <f>IF($C63,'Matriz de Pesos e Notas'!CG63/'Matriz de Pesos e Notas'!$CM63*'Matriz de Pesos e Notas'!$A$145*$C63,0)</f>
        <v>0</v>
      </c>
      <c r="AC63" s="175">
        <f>IF($C63,'Matriz de Pesos e Notas'!CH63/'Matriz de Pesos e Notas'!$CN63*'Matriz de Pesos e Notas'!$A$146*$C63,0)</f>
        <v>0</v>
      </c>
      <c r="AD63" s="175"/>
      <c r="AE63" s="163">
        <f>IF($C63,'Matriz de Pesos e Notas'!CJ63/'Matriz de Pesos e Notas'!$CM63*'Matriz de Pesos e Notas'!$A$145*$C63,0)</f>
        <v>0</v>
      </c>
      <c r="AF63" s="175">
        <f>IF($C63,'Matriz de Pesos e Notas'!CK63/'Matriz de Pesos e Notas'!$CN63*'Matriz de Pesos e Notas'!$A$146*$C63,0)</f>
        <v>0</v>
      </c>
      <c r="AG63" s="164"/>
      <c r="AH63" s="1" t="str">
        <f>IF(C63,"Imprime","Não Imprime")</f>
        <v>Não Imprime</v>
      </c>
    </row>
    <row r="64" spans="1:34" x14ac:dyDescent="0.2">
      <c r="A64" s="43"/>
      <c r="B64" s="65" t="str">
        <f>TEXT(D63,"0,00%")&amp;"        "&amp;TEXT(E63,"0,00%")</f>
        <v>0,00%        0,00%</v>
      </c>
      <c r="C64" s="92"/>
      <c r="D64" s="74"/>
      <c r="E64" s="74"/>
      <c r="F64" s="86"/>
      <c r="G64" s="165"/>
      <c r="H64" s="176"/>
      <c r="I64" s="176"/>
      <c r="J64" s="165"/>
      <c r="K64" s="176"/>
      <c r="L64" s="176"/>
      <c r="M64" s="165"/>
      <c r="N64" s="176"/>
      <c r="O64" s="176"/>
      <c r="P64" s="165"/>
      <c r="Q64" s="176"/>
      <c r="R64" s="176"/>
      <c r="S64" s="165"/>
      <c r="T64" s="176"/>
      <c r="U64" s="176"/>
      <c r="V64" s="165"/>
      <c r="W64" s="176"/>
      <c r="X64" s="176"/>
      <c r="Y64" s="165"/>
      <c r="Z64" s="176"/>
      <c r="AA64" s="176"/>
      <c r="AB64" s="165"/>
      <c r="AC64" s="176"/>
      <c r="AD64" s="176"/>
      <c r="AE64" s="165"/>
      <c r="AF64" s="176"/>
      <c r="AG64" s="166"/>
      <c r="AH64" s="8" t="str">
        <f>+AH63</f>
        <v>Não Imprime</v>
      </c>
    </row>
    <row r="65" spans="1:34" x14ac:dyDescent="0.2">
      <c r="A65" s="628" t="str">
        <f>'Matriz de Pesos e Notas'!A65</f>
        <v>Nome da Atividade 6 da Unidade 3</v>
      </c>
      <c r="B65" s="629"/>
      <c r="C65" s="92">
        <f>IF(ISTEXT('Matriz de Pesos e Notas'!C65),letrapeso('Matriz de Pesos e Notas'!C65)/SUM(letrapeso('Matriz de Pesos e Notas'!C55)+letrapeso('Matriz de Pesos e Notas'!C57)+letrapeso('Matriz de Pesos e Notas'!C59)+letrapeso('Matriz de Pesos e Notas'!C61)+letrapeso('Matriz de Pesos e Notas'!C63)+letrapeso('Matriz de Pesos e Notas'!C65)+letrapeso('Matriz de Pesos e Notas'!C67))*C53,0)</f>
        <v>0</v>
      </c>
      <c r="D65" s="85">
        <f>G65+J65+M65+P65+S65+V65+Y65+AB65+AE65</f>
        <v>0</v>
      </c>
      <c r="E65" s="85">
        <f>H65+K65+N65+Q65+T65+W65+Z65+AC65+AF65</f>
        <v>0</v>
      </c>
      <c r="F65" s="72"/>
      <c r="G65" s="163">
        <f>IF($C65,'Matriz de Pesos e Notas'!BL65/'Matriz de Pesos e Notas'!$CM65*'Matriz de Pesos e Notas'!$A$145*$C65,0)</f>
        <v>0</v>
      </c>
      <c r="H65" s="175">
        <f>IF($C65,'Matriz de Pesos e Notas'!BM65/'Matriz de Pesos e Notas'!$CN65*'Matriz de Pesos e Notas'!$A$146*$C65,0)</f>
        <v>0</v>
      </c>
      <c r="I65" s="175"/>
      <c r="J65" s="163">
        <f>IF($C65,'Matriz de Pesos e Notas'!BO65/'Matriz de Pesos e Notas'!$CM65*'Matriz de Pesos e Notas'!$A$145*$C65,0)</f>
        <v>0</v>
      </c>
      <c r="K65" s="175">
        <f>IF($C65,'Matriz de Pesos e Notas'!BP65/'Matriz de Pesos e Notas'!$CN65*'Matriz de Pesos e Notas'!$A$146*$C65,0)</f>
        <v>0</v>
      </c>
      <c r="L65" s="175"/>
      <c r="M65" s="163">
        <f>IF($C65,'Matriz de Pesos e Notas'!BR65/'Matriz de Pesos e Notas'!$CM65*'Matriz de Pesos e Notas'!$A$145*$C65,0)</f>
        <v>0</v>
      </c>
      <c r="N65" s="175">
        <f>IF($C65,'Matriz de Pesos e Notas'!BS65/'Matriz de Pesos e Notas'!$CN65*'Matriz de Pesos e Notas'!$A$146*$C65,0)</f>
        <v>0</v>
      </c>
      <c r="O65" s="175"/>
      <c r="P65" s="163">
        <f>IF($C65,'Matriz de Pesos e Notas'!BU65/'Matriz de Pesos e Notas'!$CM65*'Matriz de Pesos e Notas'!$A$145*$C65,0)</f>
        <v>0</v>
      </c>
      <c r="Q65" s="175">
        <f>IF($C65,'Matriz de Pesos e Notas'!BV65/'Matriz de Pesos e Notas'!$CN65*'Matriz de Pesos e Notas'!$A$146*$C65,0)</f>
        <v>0</v>
      </c>
      <c r="R65" s="175"/>
      <c r="S65" s="163">
        <f>IF($C65,'Matriz de Pesos e Notas'!BX65/'Matriz de Pesos e Notas'!$CM65*'Matriz de Pesos e Notas'!$A$145*$C65,0)</f>
        <v>0</v>
      </c>
      <c r="T65" s="175">
        <f>IF($C65,'Matriz de Pesos e Notas'!BY65/'Matriz de Pesos e Notas'!$CN65*'Matriz de Pesos e Notas'!$A$146*$C65,0)</f>
        <v>0</v>
      </c>
      <c r="U65" s="175"/>
      <c r="V65" s="163">
        <f>IF($C65,'Matriz de Pesos e Notas'!CA65/'Matriz de Pesos e Notas'!$CM65*'Matriz de Pesos e Notas'!$A$145*$C65,0)</f>
        <v>0</v>
      </c>
      <c r="W65" s="175">
        <f>IF($C65,'Matriz de Pesos e Notas'!CB65/'Matriz de Pesos e Notas'!$CN65*'Matriz de Pesos e Notas'!$A$146*$C65,0)</f>
        <v>0</v>
      </c>
      <c r="X65" s="175"/>
      <c r="Y65" s="163">
        <f>IF($C65,'Matriz de Pesos e Notas'!CD65/'Matriz de Pesos e Notas'!$CM65*'Matriz de Pesos e Notas'!$A$145*$C65,0)</f>
        <v>0</v>
      </c>
      <c r="Z65" s="175">
        <f>IF($C65,'Matriz de Pesos e Notas'!CE65/'Matriz de Pesos e Notas'!$CN65*'Matriz de Pesos e Notas'!$A$146*$C65,0)</f>
        <v>0</v>
      </c>
      <c r="AA65" s="175"/>
      <c r="AB65" s="163">
        <f>IF($C65,'Matriz de Pesos e Notas'!CG65/'Matriz de Pesos e Notas'!$CM65*'Matriz de Pesos e Notas'!$A$145*$C65,0)</f>
        <v>0</v>
      </c>
      <c r="AC65" s="175">
        <f>IF($C65,'Matriz de Pesos e Notas'!CH65/'Matriz de Pesos e Notas'!$CN65*'Matriz de Pesos e Notas'!$A$146*$C65,0)</f>
        <v>0</v>
      </c>
      <c r="AD65" s="175"/>
      <c r="AE65" s="163">
        <f>IF($C65,'Matriz de Pesos e Notas'!CJ65/'Matriz de Pesos e Notas'!$CM65*'Matriz de Pesos e Notas'!$A$145*$C65,0)</f>
        <v>0</v>
      </c>
      <c r="AF65" s="175">
        <f>IF($C65,'Matriz de Pesos e Notas'!CK65/'Matriz de Pesos e Notas'!$CN65*'Matriz de Pesos e Notas'!$A$146*$C65,0)</f>
        <v>0</v>
      </c>
      <c r="AG65" s="164"/>
      <c r="AH65" s="1" t="str">
        <f>IF(C65,"Imprime","Não Imprime")</f>
        <v>Não Imprime</v>
      </c>
    </row>
    <row r="66" spans="1:34" x14ac:dyDescent="0.2">
      <c r="A66" s="43"/>
      <c r="B66" s="65" t="str">
        <f>TEXT(D65,"0,00%")&amp;"        "&amp;TEXT(E65,"0,00%")</f>
        <v>0,00%        0,00%</v>
      </c>
      <c r="C66" s="92"/>
      <c r="D66" s="74"/>
      <c r="E66" s="74"/>
      <c r="F66" s="86"/>
      <c r="G66" s="165"/>
      <c r="H66" s="176"/>
      <c r="I66" s="176"/>
      <c r="J66" s="165"/>
      <c r="K66" s="176"/>
      <c r="L66" s="176"/>
      <c r="M66" s="165"/>
      <c r="N66" s="176"/>
      <c r="O66" s="176"/>
      <c r="P66" s="165"/>
      <c r="Q66" s="176"/>
      <c r="R66" s="176"/>
      <c r="S66" s="165"/>
      <c r="T66" s="176"/>
      <c r="U66" s="176"/>
      <c r="V66" s="165"/>
      <c r="W66" s="176"/>
      <c r="X66" s="176"/>
      <c r="Y66" s="165"/>
      <c r="Z66" s="176"/>
      <c r="AA66" s="176"/>
      <c r="AB66" s="165"/>
      <c r="AC66" s="176"/>
      <c r="AD66" s="176"/>
      <c r="AE66" s="165"/>
      <c r="AF66" s="176"/>
      <c r="AG66" s="166"/>
      <c r="AH66" s="8" t="str">
        <f>+AH65</f>
        <v>Não Imprime</v>
      </c>
    </row>
    <row r="67" spans="1:34" x14ac:dyDescent="0.2">
      <c r="A67" s="628" t="str">
        <f>'Matriz de Pesos e Notas'!A67</f>
        <v>Nome da Atividade 7 da Unidade 3</v>
      </c>
      <c r="B67" s="629"/>
      <c r="C67" s="92">
        <f>IF(ISTEXT('Matriz de Pesos e Notas'!C67),letrapeso('Matriz de Pesos e Notas'!C67)/SUM(letrapeso('Matriz de Pesos e Notas'!C55)+letrapeso('Matriz de Pesos e Notas'!C57)+letrapeso('Matriz de Pesos e Notas'!C59)+letrapeso('Matriz de Pesos e Notas'!C61)+letrapeso('Matriz de Pesos e Notas'!C63)+letrapeso('Matriz de Pesos e Notas'!C65)+letrapeso('Matriz de Pesos e Notas'!C67))*C53,0)</f>
        <v>0</v>
      </c>
      <c r="D67" s="85">
        <f>G67+J67+M67+P67+S67+V67+Y67+AB67+AE67</f>
        <v>0</v>
      </c>
      <c r="E67" s="85">
        <f>H67+K67+N67+Q67+T67+W67+Z67+AC67+AF67</f>
        <v>0</v>
      </c>
      <c r="F67" s="72"/>
      <c r="G67" s="163">
        <f>IF($C67,'Matriz de Pesos e Notas'!BL67/'Matriz de Pesos e Notas'!$CM67*'Matriz de Pesos e Notas'!$A$145*$C67,0)</f>
        <v>0</v>
      </c>
      <c r="H67" s="175">
        <f>IF($C67,'Matriz de Pesos e Notas'!BM67/'Matriz de Pesos e Notas'!$CN67*'Matriz de Pesos e Notas'!$A$146*$C67,0)</f>
        <v>0</v>
      </c>
      <c r="I67" s="175"/>
      <c r="J67" s="163">
        <f>IF($C67,'Matriz de Pesos e Notas'!BO67/'Matriz de Pesos e Notas'!$CM67*'Matriz de Pesos e Notas'!$A$145*$C67,0)</f>
        <v>0</v>
      </c>
      <c r="K67" s="175">
        <f>IF($C67,'Matriz de Pesos e Notas'!BP67/'Matriz de Pesos e Notas'!$CN67*'Matriz de Pesos e Notas'!$A$146*$C67,0)</f>
        <v>0</v>
      </c>
      <c r="L67" s="175"/>
      <c r="M67" s="163">
        <f>IF($C67,'Matriz de Pesos e Notas'!BR67/'Matriz de Pesos e Notas'!$CM67*'Matriz de Pesos e Notas'!$A$145*$C67,0)</f>
        <v>0</v>
      </c>
      <c r="N67" s="175">
        <f>IF($C67,'Matriz de Pesos e Notas'!BS67/'Matriz de Pesos e Notas'!$CN67*'Matriz de Pesos e Notas'!$A$146*$C67,0)</f>
        <v>0</v>
      </c>
      <c r="O67" s="175"/>
      <c r="P67" s="163">
        <f>IF($C67,'Matriz de Pesos e Notas'!BU67/'Matriz de Pesos e Notas'!$CM67*'Matriz de Pesos e Notas'!$A$145*$C67,0)</f>
        <v>0</v>
      </c>
      <c r="Q67" s="175">
        <f>IF($C67,'Matriz de Pesos e Notas'!BV67/'Matriz de Pesos e Notas'!$CN67*'Matriz de Pesos e Notas'!$A$146*$C67,0)</f>
        <v>0</v>
      </c>
      <c r="R67" s="175"/>
      <c r="S67" s="163">
        <f>IF($C67,'Matriz de Pesos e Notas'!BX67/'Matriz de Pesos e Notas'!$CM67*'Matriz de Pesos e Notas'!$A$145*$C67,0)</f>
        <v>0</v>
      </c>
      <c r="T67" s="175">
        <f>IF($C67,'Matriz de Pesos e Notas'!BY67/'Matriz de Pesos e Notas'!$CN67*'Matriz de Pesos e Notas'!$A$146*$C67,0)</f>
        <v>0</v>
      </c>
      <c r="U67" s="175"/>
      <c r="V67" s="163">
        <f>IF($C67,'Matriz de Pesos e Notas'!CA67/'Matriz de Pesos e Notas'!$CM67*'Matriz de Pesos e Notas'!$A$145*$C67,0)</f>
        <v>0</v>
      </c>
      <c r="W67" s="175">
        <f>IF($C67,'Matriz de Pesos e Notas'!CB67/'Matriz de Pesos e Notas'!$CN67*'Matriz de Pesos e Notas'!$A$146*$C67,0)</f>
        <v>0</v>
      </c>
      <c r="X67" s="175"/>
      <c r="Y67" s="163">
        <f>IF($C67,'Matriz de Pesos e Notas'!CD67/'Matriz de Pesos e Notas'!$CM67*'Matriz de Pesos e Notas'!$A$145*$C67,0)</f>
        <v>0</v>
      </c>
      <c r="Z67" s="175">
        <f>IF($C67,'Matriz de Pesos e Notas'!CE67/'Matriz de Pesos e Notas'!$CN67*'Matriz de Pesos e Notas'!$A$146*$C67,0)</f>
        <v>0</v>
      </c>
      <c r="AA67" s="175"/>
      <c r="AB67" s="163">
        <f>IF($C67,'Matriz de Pesos e Notas'!CG67/'Matriz de Pesos e Notas'!$CM67*'Matriz de Pesos e Notas'!$A$145*$C67,0)</f>
        <v>0</v>
      </c>
      <c r="AC67" s="175">
        <f>IF($C67,'Matriz de Pesos e Notas'!CH67/'Matriz de Pesos e Notas'!$CN67*'Matriz de Pesos e Notas'!$A$146*$C67,0)</f>
        <v>0</v>
      </c>
      <c r="AD67" s="175"/>
      <c r="AE67" s="163">
        <f>IF($C67,'Matriz de Pesos e Notas'!CJ67/'Matriz de Pesos e Notas'!$CM67*'Matriz de Pesos e Notas'!$A$145*$C67,0)</f>
        <v>0</v>
      </c>
      <c r="AF67" s="175">
        <f>IF($C67,'Matriz de Pesos e Notas'!CK67/'Matriz de Pesos e Notas'!$CN67*'Matriz de Pesos e Notas'!$A$146*$C67,0)</f>
        <v>0</v>
      </c>
      <c r="AG67" s="164"/>
      <c r="AH67" s="1" t="str">
        <f>IF(C67,"Imprime","Não Imprime")</f>
        <v>Não Imprime</v>
      </c>
    </row>
    <row r="68" spans="1:34" x14ac:dyDescent="0.2">
      <c r="A68" s="43"/>
      <c r="B68" s="65" t="str">
        <f>TEXT(D67,"0,00%")&amp;"        "&amp;TEXT(E67,"0,00%")</f>
        <v>0,00%        0,00%</v>
      </c>
      <c r="C68" s="93"/>
      <c r="D68" s="76"/>
      <c r="E68" s="76"/>
      <c r="F68" s="100"/>
      <c r="G68" s="167"/>
      <c r="H68" s="177"/>
      <c r="I68" s="177"/>
      <c r="J68" s="167"/>
      <c r="K68" s="177"/>
      <c r="L68" s="177"/>
      <c r="M68" s="167"/>
      <c r="N68" s="177"/>
      <c r="O68" s="177"/>
      <c r="P68" s="167"/>
      <c r="Q68" s="177"/>
      <c r="R68" s="177"/>
      <c r="S68" s="167"/>
      <c r="T68" s="177"/>
      <c r="U68" s="177"/>
      <c r="V68" s="167"/>
      <c r="W68" s="177"/>
      <c r="X68" s="177"/>
      <c r="Y68" s="167"/>
      <c r="Z68" s="177"/>
      <c r="AA68" s="177"/>
      <c r="AB68" s="167"/>
      <c r="AC68" s="177"/>
      <c r="AD68" s="177"/>
      <c r="AE68" s="167"/>
      <c r="AF68" s="177"/>
      <c r="AG68" s="166"/>
      <c r="AH68" s="8" t="str">
        <f>+AH67</f>
        <v>Não Imprime</v>
      </c>
    </row>
    <row r="69" spans="1:34" x14ac:dyDescent="0.2">
      <c r="A69" s="105" t="str">
        <f>'Matriz de Pesos e Notas'!A69</f>
        <v>Tesouraria</v>
      </c>
      <c r="B69" s="106"/>
      <c r="C69" s="108">
        <f>C154*'Matriz de Pesos e Notas'!$A$135</f>
        <v>0.16551724137931034</v>
      </c>
      <c r="D69" s="109">
        <f>SUM(D71:D83)</f>
        <v>9.1034482758620694E-2</v>
      </c>
      <c r="E69" s="111">
        <f>SUM(E71:E83)</f>
        <v>7.4482758620689662E-2</v>
      </c>
      <c r="F69" s="110"/>
      <c r="G69" s="162"/>
      <c r="H69" s="174"/>
      <c r="I69" s="174"/>
      <c r="J69" s="162"/>
      <c r="K69" s="174"/>
      <c r="L69" s="174"/>
      <c r="M69" s="162"/>
      <c r="N69" s="174"/>
      <c r="O69" s="174"/>
      <c r="P69" s="162"/>
      <c r="Q69" s="174"/>
      <c r="R69" s="174"/>
      <c r="S69" s="162"/>
      <c r="T69" s="174"/>
      <c r="U69" s="174"/>
      <c r="V69" s="162"/>
      <c r="W69" s="174"/>
      <c r="X69" s="174"/>
      <c r="Y69" s="162"/>
      <c r="Z69" s="174"/>
      <c r="AA69" s="174"/>
      <c r="AB69" s="162"/>
      <c r="AC69" s="174"/>
      <c r="AD69" s="174"/>
      <c r="AE69" s="162"/>
      <c r="AF69" s="174"/>
      <c r="AG69" s="164"/>
      <c r="AH69" s="102" t="str">
        <f>IF(C69,"Imprime","Não Imprime")</f>
        <v>Imprime</v>
      </c>
    </row>
    <row r="70" spans="1:34" x14ac:dyDescent="0.2">
      <c r="A70" s="113" t="str">
        <f>TEXT(D69,"0,00%")&amp;"        "&amp;TEXT(E69,"0,00%")</f>
        <v>9,10%        7,45%</v>
      </c>
      <c r="B70" s="114"/>
      <c r="C70" s="91"/>
      <c r="D70" s="71"/>
      <c r="E70" s="71"/>
      <c r="F70" s="99"/>
      <c r="G70" s="163"/>
      <c r="H70" s="175"/>
      <c r="I70" s="175"/>
      <c r="J70" s="163"/>
      <c r="K70" s="175"/>
      <c r="L70" s="175"/>
      <c r="M70" s="163"/>
      <c r="N70" s="175"/>
      <c r="O70" s="175"/>
      <c r="P70" s="163"/>
      <c r="Q70" s="175"/>
      <c r="R70" s="175"/>
      <c r="S70" s="163"/>
      <c r="T70" s="175"/>
      <c r="U70" s="175"/>
      <c r="V70" s="163"/>
      <c r="W70" s="175"/>
      <c r="X70" s="175"/>
      <c r="Y70" s="163"/>
      <c r="Z70" s="175"/>
      <c r="AA70" s="175"/>
      <c r="AB70" s="163"/>
      <c r="AC70" s="175"/>
      <c r="AD70" s="175"/>
      <c r="AE70" s="163"/>
      <c r="AF70" s="175"/>
      <c r="AG70" s="164"/>
      <c r="AH70" s="1" t="str">
        <f>+AH69</f>
        <v>Imprime</v>
      </c>
    </row>
    <row r="71" spans="1:34" x14ac:dyDescent="0.2">
      <c r="A71" s="628" t="str">
        <f>'Matriz de Pesos e Notas'!A71</f>
        <v>Tesouraria</v>
      </c>
      <c r="B71" s="629"/>
      <c r="C71" s="92">
        <f>IF(ISTEXT('Matriz de Pesos e Notas'!C71),letrapeso('Matriz de Pesos e Notas'!C71)/SUM(letrapeso('Matriz de Pesos e Notas'!C71)+letrapeso('Matriz de Pesos e Notas'!C73)+letrapeso('Matriz de Pesos e Notas'!C75)+letrapeso('Matriz de Pesos e Notas'!C77)+letrapeso('Matriz de Pesos e Notas'!C79)+letrapeso('Matriz de Pesos e Notas'!C81)+letrapeso('Matriz de Pesos e Notas'!C83))*C69,0)</f>
        <v>0.16551724137931034</v>
      </c>
      <c r="D71" s="85">
        <f>G71+J71+M71+P71+S71+V71+Y71+AB71+AE71</f>
        <v>9.1034482758620694E-2</v>
      </c>
      <c r="E71" s="85">
        <f>H71+K71+N71+Q71+T71+W71+Z71+AC71+AF71</f>
        <v>7.4482758620689662E-2</v>
      </c>
      <c r="F71" s="72"/>
      <c r="G71" s="163">
        <f>IF($C71,'Matriz de Pesos e Notas'!BL71/'Matriz de Pesos e Notas'!$CM71*'Matriz de Pesos e Notas'!$A$145*$C71,0)</f>
        <v>0</v>
      </c>
      <c r="H71" s="175">
        <f>IF($C71,'Matriz de Pesos e Notas'!BM71/'Matriz de Pesos e Notas'!$CN71*'Matriz de Pesos e Notas'!$A$146*$C71,0)</f>
        <v>0</v>
      </c>
      <c r="I71" s="175"/>
      <c r="J71" s="163">
        <f>IF($C71,'Matriz de Pesos e Notas'!BO71/'Matriz de Pesos e Notas'!$CM71*'Matriz de Pesos e Notas'!$A$145*$C71,0)</f>
        <v>4.5517241379310347E-2</v>
      </c>
      <c r="K71" s="175">
        <f>IF($C71,'Matriz de Pesos e Notas'!BP71/'Matriz de Pesos e Notas'!$CN71*'Matriz de Pesos e Notas'!$A$146*$C71,0)</f>
        <v>3.7241379310344831E-2</v>
      </c>
      <c r="L71" s="175"/>
      <c r="M71" s="163">
        <f>IF($C71,'Matriz de Pesos e Notas'!BR71/'Matriz de Pesos e Notas'!$CM71*'Matriz de Pesos e Notas'!$A$145*$C71,0)</f>
        <v>4.5517241379310347E-2</v>
      </c>
      <c r="N71" s="175">
        <f>IF($C71,'Matriz de Pesos e Notas'!BS71/'Matriz de Pesos e Notas'!$CN71*'Matriz de Pesos e Notas'!$A$146*$C71,0)</f>
        <v>3.7241379310344831E-2</v>
      </c>
      <c r="O71" s="175"/>
      <c r="P71" s="163">
        <f>IF($C71,'Matriz de Pesos e Notas'!BU71/'Matriz de Pesos e Notas'!$CM71*'Matriz de Pesos e Notas'!$A$145*$C71,0)</f>
        <v>0</v>
      </c>
      <c r="Q71" s="175">
        <f>IF($C71,'Matriz de Pesos e Notas'!BV71/'Matriz de Pesos e Notas'!$CN71*'Matriz de Pesos e Notas'!$A$146*$C71,0)</f>
        <v>0</v>
      </c>
      <c r="R71" s="175"/>
      <c r="S71" s="163">
        <f>IF($C71,'Matriz de Pesos e Notas'!BX71/'Matriz de Pesos e Notas'!$CM71*'Matriz de Pesos e Notas'!$A$145*$C71,0)</f>
        <v>0</v>
      </c>
      <c r="T71" s="175">
        <f>IF($C71,'Matriz de Pesos e Notas'!BY71/'Matriz de Pesos e Notas'!$CN71*'Matriz de Pesos e Notas'!$A$146*$C71,0)</f>
        <v>0</v>
      </c>
      <c r="U71" s="175"/>
      <c r="V71" s="163">
        <f>IF($C71,'Matriz de Pesos e Notas'!CA71/'Matriz de Pesos e Notas'!$CM71*'Matriz de Pesos e Notas'!$A$145*$C71,0)</f>
        <v>0</v>
      </c>
      <c r="W71" s="175">
        <f>IF($C71,'Matriz de Pesos e Notas'!CB71/'Matriz de Pesos e Notas'!$CN71*'Matriz de Pesos e Notas'!$A$146*$C71,0)</f>
        <v>0</v>
      </c>
      <c r="X71" s="175"/>
      <c r="Y71" s="163">
        <f>IF($C71,'Matriz de Pesos e Notas'!CD71/'Matriz de Pesos e Notas'!$CM71*'Matriz de Pesos e Notas'!$A$145*$C71,0)</f>
        <v>0</v>
      </c>
      <c r="Z71" s="175">
        <f>IF($C71,'Matriz de Pesos e Notas'!CE71/'Matriz de Pesos e Notas'!$CN71*'Matriz de Pesos e Notas'!$A$146*$C71,0)</f>
        <v>0</v>
      </c>
      <c r="AA71" s="175"/>
      <c r="AB71" s="163">
        <f>IF($C71,'Matriz de Pesos e Notas'!CG71/'Matriz de Pesos e Notas'!$CM71*'Matriz de Pesos e Notas'!$A$145*$C71,0)</f>
        <v>0</v>
      </c>
      <c r="AC71" s="175">
        <f>IF($C71,'Matriz de Pesos e Notas'!CH71/'Matriz de Pesos e Notas'!$CN71*'Matriz de Pesos e Notas'!$A$146*$C71,0)</f>
        <v>0</v>
      </c>
      <c r="AD71" s="175"/>
      <c r="AE71" s="163">
        <f>IF($C71,'Matriz de Pesos e Notas'!CJ71/'Matriz de Pesos e Notas'!$CM71*'Matriz de Pesos e Notas'!$A$145*$C71,0)</f>
        <v>0</v>
      </c>
      <c r="AF71" s="175">
        <f>IF($C71,'Matriz de Pesos e Notas'!CK71/'Matriz de Pesos e Notas'!$CN71*'Matriz de Pesos e Notas'!$A$146*$C71,0)</f>
        <v>0</v>
      </c>
      <c r="AG71" s="164"/>
      <c r="AH71" s="102" t="str">
        <f>IF(C71,"Imprime","Não Imprime")</f>
        <v>Imprime</v>
      </c>
    </row>
    <row r="72" spans="1:34" x14ac:dyDescent="0.2">
      <c r="A72" s="42"/>
      <c r="B72" s="65" t="str">
        <f>TEXT(D71,"0,00%")&amp;"        "&amp;TEXT(E71,"0,00%")</f>
        <v>9,10%        7,45%</v>
      </c>
      <c r="C72" s="92"/>
      <c r="D72" s="73"/>
      <c r="E72" s="72"/>
      <c r="F72" s="72"/>
      <c r="G72" s="165"/>
      <c r="H72" s="176"/>
      <c r="I72" s="176"/>
      <c r="J72" s="165"/>
      <c r="K72" s="176"/>
      <c r="L72" s="176"/>
      <c r="M72" s="165"/>
      <c r="N72" s="176"/>
      <c r="O72" s="176"/>
      <c r="P72" s="165"/>
      <c r="Q72" s="176"/>
      <c r="R72" s="176"/>
      <c r="S72" s="165"/>
      <c r="T72" s="176"/>
      <c r="U72" s="176"/>
      <c r="V72" s="165"/>
      <c r="W72" s="176"/>
      <c r="X72" s="176"/>
      <c r="Y72" s="165"/>
      <c r="Z72" s="176"/>
      <c r="AA72" s="176"/>
      <c r="AB72" s="165"/>
      <c r="AC72" s="176"/>
      <c r="AD72" s="176"/>
      <c r="AE72" s="165"/>
      <c r="AF72" s="176"/>
      <c r="AG72" s="166"/>
      <c r="AH72" s="8" t="str">
        <f>+AH71</f>
        <v>Imprime</v>
      </c>
    </row>
    <row r="73" spans="1:34" x14ac:dyDescent="0.2">
      <c r="A73" s="628" t="str">
        <f>'Matriz de Pesos e Notas'!A73</f>
        <v>Nome da Atividade 2 da Unidade 4</v>
      </c>
      <c r="B73" s="629"/>
      <c r="C73" s="92">
        <f>IF(ISTEXT('Matriz de Pesos e Notas'!C73),letrapeso('Matriz de Pesos e Notas'!C73)/SUM(letrapeso('Matriz de Pesos e Notas'!C71)+letrapeso('Matriz de Pesos e Notas'!C73)+letrapeso('Matriz de Pesos e Notas'!C75)+letrapeso('Matriz de Pesos e Notas'!C77)+letrapeso('Matriz de Pesos e Notas'!C79)+letrapeso('Matriz de Pesos e Notas'!C81)+letrapeso('Matriz de Pesos e Notas'!C83))*C69,0)</f>
        <v>0</v>
      </c>
      <c r="D73" s="85">
        <f>G73+J73+M73+P73+S73+V73+Y73+AB73+AE73</f>
        <v>0</v>
      </c>
      <c r="E73" s="85">
        <f>H73+K73+N73+Q73+T73+W73+Z73+AC73+AF73</f>
        <v>0</v>
      </c>
      <c r="F73" s="72"/>
      <c r="G73" s="163">
        <f>IF($C73,'Matriz de Pesos e Notas'!BL73/'Matriz de Pesos e Notas'!$CM73*'Matriz de Pesos e Notas'!$A$145*$C73,0)</f>
        <v>0</v>
      </c>
      <c r="H73" s="175">
        <f>IF($C73,'Matriz de Pesos e Notas'!BM73/'Matriz de Pesos e Notas'!$CN73*'Matriz de Pesos e Notas'!$A$146*$C73,0)</f>
        <v>0</v>
      </c>
      <c r="I73" s="175"/>
      <c r="J73" s="163">
        <f>IF($C73,'Matriz de Pesos e Notas'!BO73/'Matriz de Pesos e Notas'!$CM73*'Matriz de Pesos e Notas'!$A$145*$C73,0)</f>
        <v>0</v>
      </c>
      <c r="K73" s="175">
        <f>IF($C73,'Matriz de Pesos e Notas'!BP73/'Matriz de Pesos e Notas'!$CN73*'Matriz de Pesos e Notas'!$A$146*$C73,0)</f>
        <v>0</v>
      </c>
      <c r="L73" s="175"/>
      <c r="M73" s="163">
        <f>IF($C73,'Matriz de Pesos e Notas'!BR73/'Matriz de Pesos e Notas'!$CM73*'Matriz de Pesos e Notas'!$A$145*$C73,0)</f>
        <v>0</v>
      </c>
      <c r="N73" s="175">
        <f>IF($C73,'Matriz de Pesos e Notas'!BS73/'Matriz de Pesos e Notas'!$CN73*'Matriz de Pesos e Notas'!$A$146*$C73,0)</f>
        <v>0</v>
      </c>
      <c r="O73" s="175"/>
      <c r="P73" s="163">
        <f>IF($C73,'Matriz de Pesos e Notas'!BU73/'Matriz de Pesos e Notas'!$CM73*'Matriz de Pesos e Notas'!$A$145*$C73,0)</f>
        <v>0</v>
      </c>
      <c r="Q73" s="175">
        <f>IF($C73,'Matriz de Pesos e Notas'!BV73/'Matriz de Pesos e Notas'!$CN73*'Matriz de Pesos e Notas'!$A$146*$C73,0)</f>
        <v>0</v>
      </c>
      <c r="R73" s="175"/>
      <c r="S73" s="163">
        <f>IF($C73,'Matriz de Pesos e Notas'!BX73/'Matriz de Pesos e Notas'!$CM73*'Matriz de Pesos e Notas'!$A$145*$C73,0)</f>
        <v>0</v>
      </c>
      <c r="T73" s="175">
        <f>IF($C73,'Matriz de Pesos e Notas'!BY73/'Matriz de Pesos e Notas'!$CN73*'Matriz de Pesos e Notas'!$A$146*$C73,0)</f>
        <v>0</v>
      </c>
      <c r="U73" s="175"/>
      <c r="V73" s="163">
        <f>IF($C73,'Matriz de Pesos e Notas'!CA73/'Matriz de Pesos e Notas'!$CM73*'Matriz de Pesos e Notas'!$A$145*$C73,0)</f>
        <v>0</v>
      </c>
      <c r="W73" s="175">
        <f>IF($C73,'Matriz de Pesos e Notas'!CB73/'Matriz de Pesos e Notas'!$CN73*'Matriz de Pesos e Notas'!$A$146*$C73,0)</f>
        <v>0</v>
      </c>
      <c r="X73" s="175"/>
      <c r="Y73" s="163">
        <f>IF($C73,'Matriz de Pesos e Notas'!CD73/'Matriz de Pesos e Notas'!$CM73*'Matriz de Pesos e Notas'!$A$145*$C73,0)</f>
        <v>0</v>
      </c>
      <c r="Z73" s="175">
        <f>IF($C73,'Matriz de Pesos e Notas'!CE73/'Matriz de Pesos e Notas'!$CN73*'Matriz de Pesos e Notas'!$A$146*$C73,0)</f>
        <v>0</v>
      </c>
      <c r="AA73" s="175"/>
      <c r="AB73" s="163">
        <f>IF($C73,'Matriz de Pesos e Notas'!CG73/'Matriz de Pesos e Notas'!$CM73*'Matriz de Pesos e Notas'!$A$145*$C73,0)</f>
        <v>0</v>
      </c>
      <c r="AC73" s="175">
        <f>IF($C73,'Matriz de Pesos e Notas'!CH73/'Matriz de Pesos e Notas'!$CN73*'Matriz de Pesos e Notas'!$A$146*$C73,0)</f>
        <v>0</v>
      </c>
      <c r="AD73" s="175"/>
      <c r="AE73" s="163">
        <f>IF($C73,'Matriz de Pesos e Notas'!CJ73/'Matriz de Pesos e Notas'!$CM73*'Matriz de Pesos e Notas'!$A$145*$C73,0)</f>
        <v>0</v>
      </c>
      <c r="AF73" s="175">
        <f>IF($C73,'Matriz de Pesos e Notas'!CK73/'Matriz de Pesos e Notas'!$CN73*'Matriz de Pesos e Notas'!$A$146*$C73,0)</f>
        <v>0</v>
      </c>
      <c r="AG73" s="164"/>
      <c r="AH73" s="4" t="str">
        <f>IF(C73,"Imprime","Não Imprime")</f>
        <v>Não Imprime</v>
      </c>
    </row>
    <row r="74" spans="1:34" x14ac:dyDescent="0.2">
      <c r="A74" s="43"/>
      <c r="B74" s="65" t="str">
        <f>TEXT(D73,"0,00%")&amp;"        "&amp;TEXT(E73,"0,00%")</f>
        <v>0,00%        0,00%</v>
      </c>
      <c r="C74" s="92"/>
      <c r="D74" s="73"/>
      <c r="E74" s="72"/>
      <c r="F74" s="72"/>
      <c r="G74" s="165"/>
      <c r="H74" s="176"/>
      <c r="I74" s="176"/>
      <c r="J74" s="165"/>
      <c r="K74" s="176"/>
      <c r="L74" s="176"/>
      <c r="M74" s="165"/>
      <c r="N74" s="176"/>
      <c r="O74" s="176"/>
      <c r="P74" s="165"/>
      <c r="Q74" s="176"/>
      <c r="R74" s="176"/>
      <c r="S74" s="165"/>
      <c r="T74" s="176"/>
      <c r="U74" s="176"/>
      <c r="V74" s="165"/>
      <c r="W74" s="176"/>
      <c r="X74" s="176"/>
      <c r="Y74" s="165"/>
      <c r="Z74" s="176"/>
      <c r="AA74" s="176"/>
      <c r="AB74" s="165"/>
      <c r="AC74" s="176"/>
      <c r="AD74" s="176"/>
      <c r="AE74" s="165"/>
      <c r="AF74" s="176"/>
      <c r="AG74" s="166"/>
      <c r="AH74" s="8" t="str">
        <f>+AH73</f>
        <v>Não Imprime</v>
      </c>
    </row>
    <row r="75" spans="1:34" x14ac:dyDescent="0.2">
      <c r="A75" s="628" t="str">
        <f>'Matriz de Pesos e Notas'!A75</f>
        <v>Nome da Atividade 3 da Unidade 4</v>
      </c>
      <c r="B75" s="629"/>
      <c r="C75" s="92">
        <f>IF(ISTEXT('Matriz de Pesos e Notas'!C75),letrapeso('Matriz de Pesos e Notas'!C75)/SUM(letrapeso('Matriz de Pesos e Notas'!C71)+letrapeso('Matriz de Pesos e Notas'!C73)+letrapeso('Matriz de Pesos e Notas'!C75)+letrapeso('Matriz de Pesos e Notas'!C77)+letrapeso('Matriz de Pesos e Notas'!C79)+letrapeso('Matriz de Pesos e Notas'!C81)+letrapeso('Matriz de Pesos e Notas'!C83))*C69,0)</f>
        <v>0</v>
      </c>
      <c r="D75" s="85">
        <f>G75+J75+M75+P75+S75+V75+Y75+AB75+AE75</f>
        <v>0</v>
      </c>
      <c r="E75" s="85">
        <f>H75+K75+N75+Q75+T75+W75+Z75+AC75+AF75</f>
        <v>0</v>
      </c>
      <c r="F75" s="72"/>
      <c r="G75" s="163">
        <f>IF($C75,'Matriz de Pesos e Notas'!BL75/'Matriz de Pesos e Notas'!$CM75*'Matriz de Pesos e Notas'!$A$145*$C75,0)</f>
        <v>0</v>
      </c>
      <c r="H75" s="175">
        <f>IF($C75,'Matriz de Pesos e Notas'!BM75/'Matriz de Pesos e Notas'!$CN75*'Matriz de Pesos e Notas'!$A$146*$C75,0)</f>
        <v>0</v>
      </c>
      <c r="I75" s="175"/>
      <c r="J75" s="163">
        <f>IF($C75,'Matriz de Pesos e Notas'!BO75/'Matriz de Pesos e Notas'!$CM75*'Matriz de Pesos e Notas'!$A$145*$C75,0)</f>
        <v>0</v>
      </c>
      <c r="K75" s="175">
        <f>IF($C75,'Matriz de Pesos e Notas'!BP75/'Matriz de Pesos e Notas'!$CN75*'Matriz de Pesos e Notas'!$A$146*$C75,0)</f>
        <v>0</v>
      </c>
      <c r="L75" s="175"/>
      <c r="M75" s="163">
        <f>IF($C75,'Matriz de Pesos e Notas'!BR75/'Matriz de Pesos e Notas'!$CM75*'Matriz de Pesos e Notas'!$A$145*$C75,0)</f>
        <v>0</v>
      </c>
      <c r="N75" s="175">
        <f>IF($C75,'Matriz de Pesos e Notas'!BS75/'Matriz de Pesos e Notas'!$CN75*'Matriz de Pesos e Notas'!$A$146*$C75,0)</f>
        <v>0</v>
      </c>
      <c r="O75" s="175"/>
      <c r="P75" s="163">
        <f>IF($C75,'Matriz de Pesos e Notas'!BU75/'Matriz de Pesos e Notas'!$CM75*'Matriz de Pesos e Notas'!$A$145*$C75,0)</f>
        <v>0</v>
      </c>
      <c r="Q75" s="175">
        <f>IF($C75,'Matriz de Pesos e Notas'!BV75/'Matriz de Pesos e Notas'!$CN75*'Matriz de Pesos e Notas'!$A$146*$C75,0)</f>
        <v>0</v>
      </c>
      <c r="R75" s="175"/>
      <c r="S75" s="163">
        <f>IF($C75,'Matriz de Pesos e Notas'!BX75/'Matriz de Pesos e Notas'!$CM75*'Matriz de Pesos e Notas'!$A$145*$C75,0)</f>
        <v>0</v>
      </c>
      <c r="T75" s="175">
        <f>IF($C75,'Matriz de Pesos e Notas'!BY75/'Matriz de Pesos e Notas'!$CN75*'Matriz de Pesos e Notas'!$A$146*$C75,0)</f>
        <v>0</v>
      </c>
      <c r="U75" s="175"/>
      <c r="V75" s="163">
        <f>IF($C75,'Matriz de Pesos e Notas'!CA75/'Matriz de Pesos e Notas'!$CM75*'Matriz de Pesos e Notas'!$A$145*$C75,0)</f>
        <v>0</v>
      </c>
      <c r="W75" s="175">
        <f>IF($C75,'Matriz de Pesos e Notas'!CB75/'Matriz de Pesos e Notas'!$CN75*'Matriz de Pesos e Notas'!$A$146*$C75,0)</f>
        <v>0</v>
      </c>
      <c r="X75" s="175"/>
      <c r="Y75" s="163">
        <f>IF($C75,'Matriz de Pesos e Notas'!CD75/'Matriz de Pesos e Notas'!$CM75*'Matriz de Pesos e Notas'!$A$145*$C75,0)</f>
        <v>0</v>
      </c>
      <c r="Z75" s="175">
        <f>IF($C75,'Matriz de Pesos e Notas'!CE75/'Matriz de Pesos e Notas'!$CN75*'Matriz de Pesos e Notas'!$A$146*$C75,0)</f>
        <v>0</v>
      </c>
      <c r="AA75" s="175"/>
      <c r="AB75" s="163">
        <f>IF($C75,'Matriz de Pesos e Notas'!CG75/'Matriz de Pesos e Notas'!$CM75*'Matriz de Pesos e Notas'!$A$145*$C75,0)</f>
        <v>0</v>
      </c>
      <c r="AC75" s="175">
        <f>IF($C75,'Matriz de Pesos e Notas'!CH75/'Matriz de Pesos e Notas'!$CN75*'Matriz de Pesos e Notas'!$A$146*$C75,0)</f>
        <v>0</v>
      </c>
      <c r="AD75" s="175"/>
      <c r="AE75" s="163">
        <f>IF($C75,'Matriz de Pesos e Notas'!CJ75/'Matriz de Pesos e Notas'!$CM75*'Matriz de Pesos e Notas'!$A$145*$C75,0)</f>
        <v>0</v>
      </c>
      <c r="AF75" s="175">
        <f>IF($C75,'Matriz de Pesos e Notas'!CK75/'Matriz de Pesos e Notas'!$CN75*'Matriz de Pesos e Notas'!$A$146*$C75,0)</f>
        <v>0</v>
      </c>
      <c r="AG75" s="164"/>
      <c r="AH75" s="4" t="str">
        <f>IF(C75,"Imprime","Não Imprime")</f>
        <v>Não Imprime</v>
      </c>
    </row>
    <row r="76" spans="1:34" x14ac:dyDescent="0.2">
      <c r="A76" s="43"/>
      <c r="B76" s="65" t="str">
        <f>TEXT(D75,"0,00%")&amp;"        "&amp;TEXT(E75,"0,00%")</f>
        <v>0,00%        0,00%</v>
      </c>
      <c r="C76" s="92"/>
      <c r="D76" s="73"/>
      <c r="E76" s="72"/>
      <c r="F76" s="72"/>
      <c r="G76" s="165"/>
      <c r="H76" s="176"/>
      <c r="I76" s="176"/>
      <c r="J76" s="165"/>
      <c r="K76" s="176"/>
      <c r="L76" s="176"/>
      <c r="M76" s="165"/>
      <c r="N76" s="176"/>
      <c r="O76" s="176"/>
      <c r="P76" s="165"/>
      <c r="Q76" s="176"/>
      <c r="R76" s="176"/>
      <c r="S76" s="165"/>
      <c r="T76" s="176"/>
      <c r="U76" s="176"/>
      <c r="V76" s="165"/>
      <c r="W76" s="176"/>
      <c r="X76" s="176"/>
      <c r="Y76" s="165"/>
      <c r="Z76" s="176"/>
      <c r="AA76" s="176"/>
      <c r="AB76" s="165"/>
      <c r="AC76" s="176"/>
      <c r="AD76" s="176"/>
      <c r="AE76" s="165"/>
      <c r="AF76" s="176"/>
      <c r="AG76" s="166"/>
      <c r="AH76" s="8" t="str">
        <f>+AH75</f>
        <v>Não Imprime</v>
      </c>
    </row>
    <row r="77" spans="1:34" x14ac:dyDescent="0.2">
      <c r="A77" s="628" t="str">
        <f>'Matriz de Pesos e Notas'!A77</f>
        <v>Nome da Atividade 4 da Unidade 4</v>
      </c>
      <c r="B77" s="629"/>
      <c r="C77" s="92">
        <f>IF(ISTEXT('Matriz de Pesos e Notas'!C77),letrapeso('Matriz de Pesos e Notas'!C77)/SUM(letrapeso('Matriz de Pesos e Notas'!C71)+letrapeso('Matriz de Pesos e Notas'!C73)+letrapeso('Matriz de Pesos e Notas'!C75)+letrapeso('Matriz de Pesos e Notas'!C77)+letrapeso('Matriz de Pesos e Notas'!C79)+letrapeso('Matriz de Pesos e Notas'!C81)+letrapeso('Matriz de Pesos e Notas'!C83))*C69,0)</f>
        <v>0</v>
      </c>
      <c r="D77" s="85">
        <f>G77+J77+M77+P77+S77+V77+Y77+AB77+AE77</f>
        <v>0</v>
      </c>
      <c r="E77" s="85">
        <f>H77+K77+N77+Q77+T77+W77+Z77+AC77+AF77</f>
        <v>0</v>
      </c>
      <c r="F77" s="72"/>
      <c r="G77" s="163">
        <f>IF($C77,'Matriz de Pesos e Notas'!BL77/'Matriz de Pesos e Notas'!$CM77*'Matriz de Pesos e Notas'!$A$145*$C77,0)</f>
        <v>0</v>
      </c>
      <c r="H77" s="175">
        <f>IF($C77,'Matriz de Pesos e Notas'!BM77/'Matriz de Pesos e Notas'!$CN77*'Matriz de Pesos e Notas'!$A$146*$C77,0)</f>
        <v>0</v>
      </c>
      <c r="I77" s="175"/>
      <c r="J77" s="163">
        <f>IF($C77,'Matriz de Pesos e Notas'!BO77/'Matriz de Pesos e Notas'!$CM77*'Matriz de Pesos e Notas'!$A$145*$C77,0)</f>
        <v>0</v>
      </c>
      <c r="K77" s="175">
        <f>IF($C77,'Matriz de Pesos e Notas'!BP77/'Matriz de Pesos e Notas'!$CN77*'Matriz de Pesos e Notas'!$A$146*$C77,0)</f>
        <v>0</v>
      </c>
      <c r="L77" s="175"/>
      <c r="M77" s="163">
        <f>IF($C77,'Matriz de Pesos e Notas'!BR77/'Matriz de Pesos e Notas'!$CM77*'Matriz de Pesos e Notas'!$A$145*$C77,0)</f>
        <v>0</v>
      </c>
      <c r="N77" s="175">
        <f>IF($C77,'Matriz de Pesos e Notas'!BS77/'Matriz de Pesos e Notas'!$CN77*'Matriz de Pesos e Notas'!$A$146*$C77,0)</f>
        <v>0</v>
      </c>
      <c r="O77" s="175"/>
      <c r="P77" s="163">
        <f>IF($C77,'Matriz de Pesos e Notas'!BU77/'Matriz de Pesos e Notas'!$CM77*'Matriz de Pesos e Notas'!$A$145*$C77,0)</f>
        <v>0</v>
      </c>
      <c r="Q77" s="175">
        <f>IF($C77,'Matriz de Pesos e Notas'!BV77/'Matriz de Pesos e Notas'!$CN77*'Matriz de Pesos e Notas'!$A$146*$C77,0)</f>
        <v>0</v>
      </c>
      <c r="R77" s="175"/>
      <c r="S77" s="163">
        <f>IF($C77,'Matriz de Pesos e Notas'!BX77/'Matriz de Pesos e Notas'!$CM77*'Matriz de Pesos e Notas'!$A$145*$C77,0)</f>
        <v>0</v>
      </c>
      <c r="T77" s="175">
        <f>IF($C77,'Matriz de Pesos e Notas'!BY77/'Matriz de Pesos e Notas'!$CN77*'Matriz de Pesos e Notas'!$A$146*$C77,0)</f>
        <v>0</v>
      </c>
      <c r="U77" s="175"/>
      <c r="V77" s="163">
        <f>IF($C77,'Matriz de Pesos e Notas'!CA77/'Matriz de Pesos e Notas'!$CM77*'Matriz de Pesos e Notas'!$A$145*$C77,0)</f>
        <v>0</v>
      </c>
      <c r="W77" s="175">
        <f>IF($C77,'Matriz de Pesos e Notas'!CB77/'Matriz de Pesos e Notas'!$CN77*'Matriz de Pesos e Notas'!$A$146*$C77,0)</f>
        <v>0</v>
      </c>
      <c r="X77" s="175"/>
      <c r="Y77" s="163">
        <f>IF($C77,'Matriz de Pesos e Notas'!CD77/'Matriz de Pesos e Notas'!$CM77*'Matriz de Pesos e Notas'!$A$145*$C77,0)</f>
        <v>0</v>
      </c>
      <c r="Z77" s="175">
        <f>IF($C77,'Matriz de Pesos e Notas'!CE77/'Matriz de Pesos e Notas'!$CN77*'Matriz de Pesos e Notas'!$A$146*$C77,0)</f>
        <v>0</v>
      </c>
      <c r="AA77" s="175"/>
      <c r="AB77" s="163">
        <f>IF($C77,'Matriz de Pesos e Notas'!CG77/'Matriz de Pesos e Notas'!$CM77*'Matriz de Pesos e Notas'!$A$145*$C77,0)</f>
        <v>0</v>
      </c>
      <c r="AC77" s="175">
        <f>IF($C77,'Matriz de Pesos e Notas'!CH77/'Matriz de Pesos e Notas'!$CN77*'Matriz de Pesos e Notas'!$A$146*$C77,0)</f>
        <v>0</v>
      </c>
      <c r="AD77" s="175"/>
      <c r="AE77" s="163">
        <f>IF($C77,'Matriz de Pesos e Notas'!CJ77/'Matriz de Pesos e Notas'!$CM77*'Matriz de Pesos e Notas'!$A$145*$C77,0)</f>
        <v>0</v>
      </c>
      <c r="AF77" s="175">
        <f>IF($C77,'Matriz de Pesos e Notas'!CK77/'Matriz de Pesos e Notas'!$CN77*'Matriz de Pesos e Notas'!$A$146*$C77,0)</f>
        <v>0</v>
      </c>
      <c r="AG77" s="164"/>
      <c r="AH77" s="1" t="str">
        <f>IF(C77,"Imprime","Não Imprime")</f>
        <v>Não Imprime</v>
      </c>
    </row>
    <row r="78" spans="1:34" x14ac:dyDescent="0.2">
      <c r="A78" s="43"/>
      <c r="B78" s="65" t="str">
        <f>TEXT(D77,"0,00%")&amp;"        "&amp;TEXT(E77,"0,00%")</f>
        <v>0,00%        0,00%</v>
      </c>
      <c r="C78" s="92"/>
      <c r="D78" s="74"/>
      <c r="E78" s="74"/>
      <c r="F78" s="86"/>
      <c r="G78" s="165"/>
      <c r="H78" s="176"/>
      <c r="I78" s="176"/>
      <c r="J78" s="165"/>
      <c r="K78" s="176"/>
      <c r="L78" s="176"/>
      <c r="M78" s="165"/>
      <c r="N78" s="176"/>
      <c r="O78" s="176"/>
      <c r="P78" s="165"/>
      <c r="Q78" s="176"/>
      <c r="R78" s="176"/>
      <c r="S78" s="165"/>
      <c r="T78" s="176"/>
      <c r="U78" s="176"/>
      <c r="V78" s="165"/>
      <c r="W78" s="176"/>
      <c r="X78" s="176"/>
      <c r="Y78" s="165"/>
      <c r="Z78" s="176"/>
      <c r="AA78" s="176"/>
      <c r="AB78" s="165"/>
      <c r="AC78" s="176"/>
      <c r="AD78" s="176"/>
      <c r="AE78" s="165"/>
      <c r="AF78" s="176"/>
      <c r="AG78" s="166"/>
      <c r="AH78" s="8" t="str">
        <f>+AH77</f>
        <v>Não Imprime</v>
      </c>
    </row>
    <row r="79" spans="1:34" x14ac:dyDescent="0.2">
      <c r="A79" s="628" t="str">
        <f>'Matriz de Pesos e Notas'!A79</f>
        <v>Nome da Atividade 5 da Unidade 4</v>
      </c>
      <c r="B79" s="629"/>
      <c r="C79" s="92">
        <f>IF(ISTEXT('Matriz de Pesos e Notas'!C79),letrapeso('Matriz de Pesos e Notas'!C79)/SUM(letrapeso('Matriz de Pesos e Notas'!C71)+letrapeso('Matriz de Pesos e Notas'!C73)+letrapeso('Matriz de Pesos e Notas'!C75)+letrapeso('Matriz de Pesos e Notas'!C77)+letrapeso('Matriz de Pesos e Notas'!C79)+letrapeso('Matriz de Pesos e Notas'!C81)+letrapeso('Matriz de Pesos e Notas'!C83))*C69,0)</f>
        <v>0</v>
      </c>
      <c r="D79" s="85">
        <f>G79+J79+M79+P79+S79+V79+Y79+AB79+AE79</f>
        <v>0</v>
      </c>
      <c r="E79" s="85">
        <f>H79+K79+N79+Q79+T79+W79+Z79+AC79+AF79</f>
        <v>0</v>
      </c>
      <c r="F79" s="72"/>
      <c r="G79" s="163">
        <f>IF($C79,'Matriz de Pesos e Notas'!BL79/'Matriz de Pesos e Notas'!$CM79*'Matriz de Pesos e Notas'!$A$145*$C79,0)</f>
        <v>0</v>
      </c>
      <c r="H79" s="175">
        <f>IF($C79,'Matriz de Pesos e Notas'!BM79/'Matriz de Pesos e Notas'!$CN79*'Matriz de Pesos e Notas'!$A$146*$C79,0)</f>
        <v>0</v>
      </c>
      <c r="I79" s="175"/>
      <c r="J79" s="163">
        <f>IF($C79,'Matriz de Pesos e Notas'!BO79/'Matriz de Pesos e Notas'!$CM79*'Matriz de Pesos e Notas'!$A$145*$C79,0)</f>
        <v>0</v>
      </c>
      <c r="K79" s="175">
        <f>IF($C79,'Matriz de Pesos e Notas'!BP79/'Matriz de Pesos e Notas'!$CN79*'Matriz de Pesos e Notas'!$A$146*$C79,0)</f>
        <v>0</v>
      </c>
      <c r="L79" s="175"/>
      <c r="M79" s="163">
        <f>IF($C79,'Matriz de Pesos e Notas'!BR79/'Matriz de Pesos e Notas'!$CM79*'Matriz de Pesos e Notas'!$A$145*$C79,0)</f>
        <v>0</v>
      </c>
      <c r="N79" s="175">
        <f>IF($C79,'Matriz de Pesos e Notas'!BS79/'Matriz de Pesos e Notas'!$CN79*'Matriz de Pesos e Notas'!$A$146*$C79,0)</f>
        <v>0</v>
      </c>
      <c r="O79" s="175"/>
      <c r="P79" s="163">
        <f>IF($C79,'Matriz de Pesos e Notas'!BU79/'Matriz de Pesos e Notas'!$CM79*'Matriz de Pesos e Notas'!$A$145*$C79,0)</f>
        <v>0</v>
      </c>
      <c r="Q79" s="175">
        <f>IF($C79,'Matriz de Pesos e Notas'!BV79/'Matriz de Pesos e Notas'!$CN79*'Matriz de Pesos e Notas'!$A$146*$C79,0)</f>
        <v>0</v>
      </c>
      <c r="R79" s="175"/>
      <c r="S79" s="163">
        <f>IF($C79,'Matriz de Pesos e Notas'!BX79/'Matriz de Pesos e Notas'!$CM79*'Matriz de Pesos e Notas'!$A$145*$C79,0)</f>
        <v>0</v>
      </c>
      <c r="T79" s="175">
        <f>IF($C79,'Matriz de Pesos e Notas'!BY79/'Matriz de Pesos e Notas'!$CN79*'Matriz de Pesos e Notas'!$A$146*$C79,0)</f>
        <v>0</v>
      </c>
      <c r="U79" s="175"/>
      <c r="V79" s="163">
        <f>IF($C79,'Matriz de Pesos e Notas'!CA79/'Matriz de Pesos e Notas'!$CM79*'Matriz de Pesos e Notas'!$A$145*$C79,0)</f>
        <v>0</v>
      </c>
      <c r="W79" s="175">
        <f>IF($C79,'Matriz de Pesos e Notas'!CB79/'Matriz de Pesos e Notas'!$CN79*'Matriz de Pesos e Notas'!$A$146*$C79,0)</f>
        <v>0</v>
      </c>
      <c r="X79" s="175"/>
      <c r="Y79" s="163">
        <f>IF($C79,'Matriz de Pesos e Notas'!CD79/'Matriz de Pesos e Notas'!$CM79*'Matriz de Pesos e Notas'!$A$145*$C79,0)</f>
        <v>0</v>
      </c>
      <c r="Z79" s="175">
        <f>IF($C79,'Matriz de Pesos e Notas'!CE79/'Matriz de Pesos e Notas'!$CN79*'Matriz de Pesos e Notas'!$A$146*$C79,0)</f>
        <v>0</v>
      </c>
      <c r="AA79" s="175"/>
      <c r="AB79" s="163">
        <f>IF($C79,'Matriz de Pesos e Notas'!CG79/'Matriz de Pesos e Notas'!$CM79*'Matriz de Pesos e Notas'!$A$145*$C79,0)</f>
        <v>0</v>
      </c>
      <c r="AC79" s="175">
        <f>IF($C79,'Matriz de Pesos e Notas'!CH79/'Matriz de Pesos e Notas'!$CN79*'Matriz de Pesos e Notas'!$A$146*$C79,0)</f>
        <v>0</v>
      </c>
      <c r="AD79" s="175"/>
      <c r="AE79" s="163">
        <f>IF($C79,'Matriz de Pesos e Notas'!CJ79/'Matriz de Pesos e Notas'!$CM79*'Matriz de Pesos e Notas'!$A$145*$C79,0)</f>
        <v>0</v>
      </c>
      <c r="AF79" s="175">
        <f>IF($C79,'Matriz de Pesos e Notas'!CK79/'Matriz de Pesos e Notas'!$CN79*'Matriz de Pesos e Notas'!$A$146*$C79,0)</f>
        <v>0</v>
      </c>
      <c r="AG79" s="164"/>
      <c r="AH79" s="1" t="str">
        <f>IF(C79,"Imprime","Não Imprime")</f>
        <v>Não Imprime</v>
      </c>
    </row>
    <row r="80" spans="1:34" x14ac:dyDescent="0.2">
      <c r="A80" s="43"/>
      <c r="B80" s="65" t="str">
        <f>TEXT(D79,"0,00%")&amp;"        "&amp;TEXT(E79,"0,00%")</f>
        <v>0,00%        0,00%</v>
      </c>
      <c r="C80" s="92"/>
      <c r="D80" s="74"/>
      <c r="E80" s="74"/>
      <c r="F80" s="86"/>
      <c r="G80" s="165"/>
      <c r="H80" s="176"/>
      <c r="I80" s="176"/>
      <c r="J80" s="165"/>
      <c r="K80" s="176"/>
      <c r="L80" s="176"/>
      <c r="M80" s="165"/>
      <c r="N80" s="176"/>
      <c r="O80" s="176"/>
      <c r="P80" s="165"/>
      <c r="Q80" s="176"/>
      <c r="R80" s="176"/>
      <c r="S80" s="165"/>
      <c r="T80" s="176"/>
      <c r="U80" s="176"/>
      <c r="V80" s="165"/>
      <c r="W80" s="176"/>
      <c r="X80" s="176"/>
      <c r="Y80" s="165"/>
      <c r="Z80" s="176"/>
      <c r="AA80" s="176"/>
      <c r="AB80" s="165"/>
      <c r="AC80" s="176"/>
      <c r="AD80" s="176"/>
      <c r="AE80" s="165"/>
      <c r="AF80" s="176"/>
      <c r="AG80" s="166"/>
      <c r="AH80" s="8" t="str">
        <f>+AH79</f>
        <v>Não Imprime</v>
      </c>
    </row>
    <row r="81" spans="1:34" x14ac:dyDescent="0.2">
      <c r="A81" s="628" t="str">
        <f>'Matriz de Pesos e Notas'!A81</f>
        <v>Nome da Atividade 6 da Unidade 4</v>
      </c>
      <c r="B81" s="629"/>
      <c r="C81" s="92">
        <f>IF(ISTEXT('Matriz de Pesos e Notas'!C81),letrapeso('Matriz de Pesos e Notas'!C81)/SUM(letrapeso('Matriz de Pesos e Notas'!C71)+letrapeso('Matriz de Pesos e Notas'!C73)+letrapeso('Matriz de Pesos e Notas'!C75)+letrapeso('Matriz de Pesos e Notas'!C77)+letrapeso('Matriz de Pesos e Notas'!C79)+letrapeso('Matriz de Pesos e Notas'!C81)+letrapeso('Matriz de Pesos e Notas'!C83))*C69,0)</f>
        <v>0</v>
      </c>
      <c r="D81" s="85">
        <f>G81+J81+M81+P81+S81+V81+Y81+AB81+AE81</f>
        <v>0</v>
      </c>
      <c r="E81" s="85">
        <f>H81+K81+N81+Q81+T81+W81+Z81+AC81+AF81</f>
        <v>0</v>
      </c>
      <c r="F81" s="72"/>
      <c r="G81" s="163">
        <f>IF($C81,'Matriz de Pesos e Notas'!BL81/'Matriz de Pesos e Notas'!$CM81*'Matriz de Pesos e Notas'!$A$145*$C81,0)</f>
        <v>0</v>
      </c>
      <c r="H81" s="175">
        <f>IF($C81,'Matriz de Pesos e Notas'!BM81/'Matriz de Pesos e Notas'!$CN81*'Matriz de Pesos e Notas'!$A$146*$C81,0)</f>
        <v>0</v>
      </c>
      <c r="I81" s="175"/>
      <c r="J81" s="163">
        <f>IF($C81,'Matriz de Pesos e Notas'!BO81/'Matriz de Pesos e Notas'!$CM81*'Matriz de Pesos e Notas'!$A$145*$C81,0)</f>
        <v>0</v>
      </c>
      <c r="K81" s="175">
        <f>IF($C81,'Matriz de Pesos e Notas'!BP81/'Matriz de Pesos e Notas'!$CN81*'Matriz de Pesos e Notas'!$A$146*$C81,0)</f>
        <v>0</v>
      </c>
      <c r="L81" s="175"/>
      <c r="M81" s="163">
        <f>IF($C81,'Matriz de Pesos e Notas'!BR81/'Matriz de Pesos e Notas'!$CM81*'Matriz de Pesos e Notas'!$A$145*$C81,0)</f>
        <v>0</v>
      </c>
      <c r="N81" s="175">
        <f>IF($C81,'Matriz de Pesos e Notas'!BS81/'Matriz de Pesos e Notas'!$CN81*'Matriz de Pesos e Notas'!$A$146*$C81,0)</f>
        <v>0</v>
      </c>
      <c r="O81" s="175"/>
      <c r="P81" s="163">
        <f>IF($C81,'Matriz de Pesos e Notas'!BU81/'Matriz de Pesos e Notas'!$CM81*'Matriz de Pesos e Notas'!$A$145*$C81,0)</f>
        <v>0</v>
      </c>
      <c r="Q81" s="175">
        <f>IF($C81,'Matriz de Pesos e Notas'!BV81/'Matriz de Pesos e Notas'!$CN81*'Matriz de Pesos e Notas'!$A$146*$C81,0)</f>
        <v>0</v>
      </c>
      <c r="R81" s="175"/>
      <c r="S81" s="163">
        <f>IF($C81,'Matriz de Pesos e Notas'!BX81/'Matriz de Pesos e Notas'!$CM81*'Matriz de Pesos e Notas'!$A$145*$C81,0)</f>
        <v>0</v>
      </c>
      <c r="T81" s="175">
        <f>IF($C81,'Matriz de Pesos e Notas'!BY81/'Matriz de Pesos e Notas'!$CN81*'Matriz de Pesos e Notas'!$A$146*$C81,0)</f>
        <v>0</v>
      </c>
      <c r="U81" s="175"/>
      <c r="V81" s="163">
        <f>IF($C81,'Matriz de Pesos e Notas'!CA81/'Matriz de Pesos e Notas'!$CM81*'Matriz de Pesos e Notas'!$A$145*$C81,0)</f>
        <v>0</v>
      </c>
      <c r="W81" s="175">
        <f>IF($C81,'Matriz de Pesos e Notas'!CB81/'Matriz de Pesos e Notas'!$CN81*'Matriz de Pesos e Notas'!$A$146*$C81,0)</f>
        <v>0</v>
      </c>
      <c r="X81" s="175"/>
      <c r="Y81" s="163">
        <f>IF($C81,'Matriz de Pesos e Notas'!CD81/'Matriz de Pesos e Notas'!$CM81*'Matriz de Pesos e Notas'!$A$145*$C81,0)</f>
        <v>0</v>
      </c>
      <c r="Z81" s="175">
        <f>IF($C81,'Matriz de Pesos e Notas'!CE81/'Matriz de Pesos e Notas'!$CN81*'Matriz de Pesos e Notas'!$A$146*$C81,0)</f>
        <v>0</v>
      </c>
      <c r="AA81" s="175"/>
      <c r="AB81" s="163">
        <f>IF($C81,'Matriz de Pesos e Notas'!CG81/'Matriz de Pesos e Notas'!$CM81*'Matriz de Pesos e Notas'!$A$145*$C81,0)</f>
        <v>0</v>
      </c>
      <c r="AC81" s="175">
        <f>IF($C81,'Matriz de Pesos e Notas'!CH81/'Matriz de Pesos e Notas'!$CN81*'Matriz de Pesos e Notas'!$A$146*$C81,0)</f>
        <v>0</v>
      </c>
      <c r="AD81" s="175"/>
      <c r="AE81" s="163">
        <f>IF($C81,'Matriz de Pesos e Notas'!CJ81/'Matriz de Pesos e Notas'!$CM81*'Matriz de Pesos e Notas'!$A$145*$C81,0)</f>
        <v>0</v>
      </c>
      <c r="AF81" s="175">
        <f>IF($C81,'Matriz de Pesos e Notas'!CK81/'Matriz de Pesos e Notas'!$CN81*'Matriz de Pesos e Notas'!$A$146*$C81,0)</f>
        <v>0</v>
      </c>
      <c r="AG81" s="164"/>
      <c r="AH81" s="1" t="str">
        <f>IF(C81,"Imprime","Não Imprime")</f>
        <v>Não Imprime</v>
      </c>
    </row>
    <row r="82" spans="1:34" x14ac:dyDescent="0.2">
      <c r="A82" s="43"/>
      <c r="B82" s="65" t="str">
        <f>TEXT(D81,"0,00%")&amp;"        "&amp;TEXT(E81,"0,00%")</f>
        <v>0,00%        0,00%</v>
      </c>
      <c r="C82" s="92"/>
      <c r="D82" s="74"/>
      <c r="E82" s="74"/>
      <c r="F82" s="86"/>
      <c r="G82" s="165"/>
      <c r="H82" s="176"/>
      <c r="I82" s="176"/>
      <c r="J82" s="165"/>
      <c r="K82" s="176"/>
      <c r="L82" s="176"/>
      <c r="M82" s="165"/>
      <c r="N82" s="176"/>
      <c r="O82" s="176"/>
      <c r="P82" s="165"/>
      <c r="Q82" s="176"/>
      <c r="R82" s="176"/>
      <c r="S82" s="165"/>
      <c r="T82" s="176"/>
      <c r="U82" s="176"/>
      <c r="V82" s="165"/>
      <c r="W82" s="176"/>
      <c r="X82" s="176"/>
      <c r="Y82" s="165"/>
      <c r="Z82" s="176"/>
      <c r="AA82" s="176"/>
      <c r="AB82" s="165"/>
      <c r="AC82" s="176"/>
      <c r="AD82" s="176"/>
      <c r="AE82" s="165"/>
      <c r="AF82" s="176"/>
      <c r="AG82" s="166"/>
      <c r="AH82" s="8" t="str">
        <f>+AH81</f>
        <v>Não Imprime</v>
      </c>
    </row>
    <row r="83" spans="1:34" x14ac:dyDescent="0.2">
      <c r="A83" s="628" t="str">
        <f>'Matriz de Pesos e Notas'!A83</f>
        <v>Nome da Atividade 7 da Unidade 4</v>
      </c>
      <c r="B83" s="629"/>
      <c r="C83" s="92">
        <f>IF(ISTEXT('Matriz de Pesos e Notas'!C83),letrapeso('Matriz de Pesos e Notas'!C83)/SUM(letrapeso('Matriz de Pesos e Notas'!C71)+letrapeso('Matriz de Pesos e Notas'!C73)+letrapeso('Matriz de Pesos e Notas'!C75)+letrapeso('Matriz de Pesos e Notas'!C77)+letrapeso('Matriz de Pesos e Notas'!C79)+letrapeso('Matriz de Pesos e Notas'!C81)+letrapeso('Matriz de Pesos e Notas'!C83))*C69,0)</f>
        <v>0</v>
      </c>
      <c r="D83" s="85">
        <f>G83+J83+M83+P83+S83+V83+Y83+AB83+AE83</f>
        <v>0</v>
      </c>
      <c r="E83" s="85">
        <f>H83+K83+N83+Q83+T83+W83+Z83+AC83+AF83</f>
        <v>0</v>
      </c>
      <c r="F83" s="72"/>
      <c r="G83" s="163">
        <f>IF($C83,'Matriz de Pesos e Notas'!BL83/'Matriz de Pesos e Notas'!$CM83*'Matriz de Pesos e Notas'!$A$145*$C83,0)</f>
        <v>0</v>
      </c>
      <c r="H83" s="175">
        <f>IF($C83,'Matriz de Pesos e Notas'!BM83/'Matriz de Pesos e Notas'!$CN83*'Matriz de Pesos e Notas'!$A$146*$C83,0)</f>
        <v>0</v>
      </c>
      <c r="I83" s="175"/>
      <c r="J83" s="163">
        <f>IF($C83,'Matriz de Pesos e Notas'!BO83/'Matriz de Pesos e Notas'!$CM83*'Matriz de Pesos e Notas'!$A$145*$C83,0)</f>
        <v>0</v>
      </c>
      <c r="K83" s="175">
        <f>IF($C83,'Matriz de Pesos e Notas'!BP83/'Matriz de Pesos e Notas'!$CN83*'Matriz de Pesos e Notas'!$A$146*$C83,0)</f>
        <v>0</v>
      </c>
      <c r="L83" s="175"/>
      <c r="M83" s="163">
        <f>IF($C83,'Matriz de Pesos e Notas'!BR83/'Matriz de Pesos e Notas'!$CM83*'Matriz de Pesos e Notas'!$A$145*$C83,0)</f>
        <v>0</v>
      </c>
      <c r="N83" s="175">
        <f>IF($C83,'Matriz de Pesos e Notas'!BS83/'Matriz de Pesos e Notas'!$CN83*'Matriz de Pesos e Notas'!$A$146*$C83,0)</f>
        <v>0</v>
      </c>
      <c r="O83" s="175"/>
      <c r="P83" s="163">
        <f>IF($C83,'Matriz de Pesos e Notas'!BU83/'Matriz de Pesos e Notas'!$CM83*'Matriz de Pesos e Notas'!$A$145*$C83,0)</f>
        <v>0</v>
      </c>
      <c r="Q83" s="175">
        <f>IF($C83,'Matriz de Pesos e Notas'!BV83/'Matriz de Pesos e Notas'!$CN83*'Matriz de Pesos e Notas'!$A$146*$C83,0)</f>
        <v>0</v>
      </c>
      <c r="R83" s="175"/>
      <c r="S83" s="163">
        <f>IF($C83,'Matriz de Pesos e Notas'!BX83/'Matriz de Pesos e Notas'!$CM83*'Matriz de Pesos e Notas'!$A$145*$C83,0)</f>
        <v>0</v>
      </c>
      <c r="T83" s="175">
        <f>IF($C83,'Matriz de Pesos e Notas'!BY83/'Matriz de Pesos e Notas'!$CN83*'Matriz de Pesos e Notas'!$A$146*$C83,0)</f>
        <v>0</v>
      </c>
      <c r="U83" s="175"/>
      <c r="V83" s="163">
        <f>IF($C83,'Matriz de Pesos e Notas'!CA83/'Matriz de Pesos e Notas'!$CM83*'Matriz de Pesos e Notas'!$A$145*$C83,0)</f>
        <v>0</v>
      </c>
      <c r="W83" s="175">
        <f>IF($C83,'Matriz de Pesos e Notas'!CB83/'Matriz de Pesos e Notas'!$CN83*'Matriz de Pesos e Notas'!$A$146*$C83,0)</f>
        <v>0</v>
      </c>
      <c r="X83" s="175"/>
      <c r="Y83" s="163">
        <f>IF($C83,'Matriz de Pesos e Notas'!CD83/'Matriz de Pesos e Notas'!$CM83*'Matriz de Pesos e Notas'!$A$145*$C83,0)</f>
        <v>0</v>
      </c>
      <c r="Z83" s="175">
        <f>IF($C83,'Matriz de Pesos e Notas'!CE83/'Matriz de Pesos e Notas'!$CN83*'Matriz de Pesos e Notas'!$A$146*$C83,0)</f>
        <v>0</v>
      </c>
      <c r="AA83" s="175"/>
      <c r="AB83" s="163">
        <f>IF($C83,'Matriz de Pesos e Notas'!CG83/'Matriz de Pesos e Notas'!$CM83*'Matriz de Pesos e Notas'!$A$145*$C83,0)</f>
        <v>0</v>
      </c>
      <c r="AC83" s="175">
        <f>IF($C83,'Matriz de Pesos e Notas'!CH83/'Matriz de Pesos e Notas'!$CN83*'Matriz de Pesos e Notas'!$A$146*$C83,0)</f>
        <v>0</v>
      </c>
      <c r="AD83" s="175"/>
      <c r="AE83" s="163">
        <f>IF($C83,'Matriz de Pesos e Notas'!CJ83/'Matriz de Pesos e Notas'!$CM83*'Matriz de Pesos e Notas'!$A$145*$C83,0)</f>
        <v>0</v>
      </c>
      <c r="AF83" s="175">
        <f>IF($C83,'Matriz de Pesos e Notas'!CK83/'Matriz de Pesos e Notas'!$CN83*'Matriz de Pesos e Notas'!$A$146*$C83,0)</f>
        <v>0</v>
      </c>
      <c r="AG83" s="164"/>
      <c r="AH83" s="1" t="str">
        <f>IF(C83,"Imprime","Não Imprime")</f>
        <v>Não Imprime</v>
      </c>
    </row>
    <row r="84" spans="1:34" x14ac:dyDescent="0.2">
      <c r="A84" s="43"/>
      <c r="B84" s="65" t="str">
        <f>TEXT(D83,"0,00%")&amp;"        "&amp;TEXT(E83,"0,00%")</f>
        <v>0,00%        0,00%</v>
      </c>
      <c r="C84" s="93"/>
      <c r="D84" s="76"/>
      <c r="E84" s="76"/>
      <c r="F84" s="100"/>
      <c r="G84" s="167"/>
      <c r="H84" s="177"/>
      <c r="I84" s="177"/>
      <c r="J84" s="167"/>
      <c r="K84" s="177"/>
      <c r="L84" s="177"/>
      <c r="M84" s="167"/>
      <c r="N84" s="177"/>
      <c r="O84" s="177"/>
      <c r="P84" s="167"/>
      <c r="Q84" s="177"/>
      <c r="R84" s="177"/>
      <c r="S84" s="167"/>
      <c r="T84" s="177"/>
      <c r="U84" s="177"/>
      <c r="V84" s="167"/>
      <c r="W84" s="177"/>
      <c r="X84" s="177"/>
      <c r="Y84" s="167"/>
      <c r="Z84" s="177"/>
      <c r="AA84" s="177"/>
      <c r="AB84" s="167"/>
      <c r="AC84" s="177"/>
      <c r="AD84" s="177"/>
      <c r="AE84" s="167"/>
      <c r="AF84" s="177"/>
      <c r="AG84" s="166"/>
      <c r="AH84" s="8" t="str">
        <f>+AH83</f>
        <v>Não Imprime</v>
      </c>
    </row>
    <row r="85" spans="1:34" x14ac:dyDescent="0.2">
      <c r="A85" s="105" t="str">
        <f>'Matriz de Pesos e Notas'!A85</f>
        <v>Seguros, Previdência e</v>
      </c>
      <c r="B85" s="106"/>
      <c r="C85" s="108">
        <f>C155*'Matriz de Pesos e Notas'!$A$135</f>
        <v>4.1379310344827586E-2</v>
      </c>
      <c r="D85" s="109">
        <f>SUM(D87:D99)</f>
        <v>2.2758620689655173E-2</v>
      </c>
      <c r="E85" s="111">
        <f>SUM(E87:E99)</f>
        <v>1.8620689655172416E-2</v>
      </c>
      <c r="F85" s="110"/>
      <c r="G85" s="162"/>
      <c r="H85" s="174"/>
      <c r="I85" s="174"/>
      <c r="J85" s="162"/>
      <c r="K85" s="174"/>
      <c r="L85" s="174"/>
      <c r="M85" s="162"/>
      <c r="N85" s="174"/>
      <c r="O85" s="174"/>
      <c r="P85" s="162"/>
      <c r="Q85" s="174"/>
      <c r="R85" s="174"/>
      <c r="S85" s="162"/>
      <c r="T85" s="174"/>
      <c r="U85" s="174"/>
      <c r="V85" s="162"/>
      <c r="W85" s="174"/>
      <c r="X85" s="174"/>
      <c r="Y85" s="162"/>
      <c r="Z85" s="174"/>
      <c r="AA85" s="174"/>
      <c r="AB85" s="162"/>
      <c r="AC85" s="174"/>
      <c r="AD85" s="174"/>
      <c r="AE85" s="162"/>
      <c r="AF85" s="174"/>
      <c r="AG85" s="164"/>
      <c r="AH85" s="102" t="str">
        <f>IF(C85,"Imprime","Não Imprime")</f>
        <v>Imprime</v>
      </c>
    </row>
    <row r="86" spans="1:34" x14ac:dyDescent="0.2">
      <c r="A86" s="113" t="str">
        <f>TEXT(D85,"0,00%")&amp;"        "&amp;TEXT(E85,"0,00%")</f>
        <v>2,28%        1,86%</v>
      </c>
      <c r="B86" s="114"/>
      <c r="C86" s="91"/>
      <c r="D86" s="71"/>
      <c r="E86" s="71"/>
      <c r="F86" s="99"/>
      <c r="G86" s="163"/>
      <c r="H86" s="175"/>
      <c r="I86" s="175"/>
      <c r="J86" s="163"/>
      <c r="K86" s="175"/>
      <c r="L86" s="175"/>
      <c r="M86" s="163"/>
      <c r="N86" s="175"/>
      <c r="O86" s="175"/>
      <c r="P86" s="163"/>
      <c r="Q86" s="175"/>
      <c r="R86" s="175"/>
      <c r="S86" s="163"/>
      <c r="T86" s="175"/>
      <c r="U86" s="175"/>
      <c r="V86" s="163"/>
      <c r="W86" s="175"/>
      <c r="X86" s="175"/>
      <c r="Y86" s="163"/>
      <c r="Z86" s="175"/>
      <c r="AA86" s="175"/>
      <c r="AB86" s="163"/>
      <c r="AC86" s="175"/>
      <c r="AD86" s="175"/>
      <c r="AE86" s="163"/>
      <c r="AF86" s="175"/>
      <c r="AG86" s="164"/>
      <c r="AH86" s="1" t="str">
        <f>+AH85</f>
        <v>Imprime</v>
      </c>
    </row>
    <row r="87" spans="1:34" x14ac:dyDescent="0.2">
      <c r="A87" s="628" t="str">
        <f>'Matriz de Pesos e Notas'!A87</f>
        <v>Seguros, Previdência e</v>
      </c>
      <c r="B87" s="629"/>
      <c r="C87" s="92">
        <f>IF(ISTEXT('Matriz de Pesos e Notas'!C87),letrapeso('Matriz de Pesos e Notas'!C87)/SUM(letrapeso('Matriz de Pesos e Notas'!C87)+letrapeso('Matriz de Pesos e Notas'!C89)+letrapeso('Matriz de Pesos e Notas'!C91)+letrapeso('Matriz de Pesos e Notas'!C93)+letrapeso('Matriz de Pesos e Notas'!C95)+letrapeso('Matriz de Pesos e Notas'!C97)+letrapeso('Matriz de Pesos e Notas'!C99))*C85,0)</f>
        <v>4.1379310344827586E-2</v>
      </c>
      <c r="D87" s="85">
        <f>G87+J87+M87+P87+S87+V87+Y87+AB87+AE87</f>
        <v>2.2758620689655173E-2</v>
      </c>
      <c r="E87" s="85">
        <f>H87+K87+N87+Q87+T87+W87+Z87+AC87+AF87</f>
        <v>1.8620689655172416E-2</v>
      </c>
      <c r="F87" s="72"/>
      <c r="G87" s="163">
        <f>IF($C87,'Matriz de Pesos e Notas'!BL87/'Matriz de Pesos e Notas'!$CM87*'Matriz de Pesos e Notas'!$A$145*$C87,0)</f>
        <v>0</v>
      </c>
      <c r="H87" s="175">
        <f>IF($C87,'Matriz de Pesos e Notas'!BM87/'Matriz de Pesos e Notas'!$CN87*'Matriz de Pesos e Notas'!$A$146*$C87,0)</f>
        <v>0</v>
      </c>
      <c r="I87" s="175"/>
      <c r="J87" s="163">
        <f>IF($C87,'Matriz de Pesos e Notas'!BO87/'Matriz de Pesos e Notas'!$CM87*'Matriz de Pesos e Notas'!$A$145*$C87,0)</f>
        <v>0</v>
      </c>
      <c r="K87" s="175">
        <f>IF($C87,'Matriz de Pesos e Notas'!BP87/'Matriz de Pesos e Notas'!$CN87*'Matriz de Pesos e Notas'!$A$146*$C87,0)</f>
        <v>0</v>
      </c>
      <c r="L87" s="175"/>
      <c r="M87" s="163">
        <f>IF($C87,'Matriz de Pesos e Notas'!BR87/'Matriz de Pesos e Notas'!$CM87*'Matriz de Pesos e Notas'!$A$145*$C87,0)</f>
        <v>0</v>
      </c>
      <c r="N87" s="175">
        <f>IF($C87,'Matriz de Pesos e Notas'!BS87/'Matriz de Pesos e Notas'!$CN87*'Matriz de Pesos e Notas'!$A$146*$C87,0)</f>
        <v>0</v>
      </c>
      <c r="O87" s="175"/>
      <c r="P87" s="163">
        <f>IF($C87,'Matriz de Pesos e Notas'!BU87/'Matriz de Pesos e Notas'!$CM87*'Matriz de Pesos e Notas'!$A$145*$C87,0)</f>
        <v>2.2758620689655173E-2</v>
      </c>
      <c r="Q87" s="175">
        <f>IF($C87,'Matriz de Pesos e Notas'!BV87/'Matriz de Pesos e Notas'!$CN87*'Matriz de Pesos e Notas'!$A$146*$C87,0)</f>
        <v>1.8620689655172416E-2</v>
      </c>
      <c r="R87" s="175"/>
      <c r="S87" s="163">
        <f>IF($C87,'Matriz de Pesos e Notas'!BX87/'Matriz de Pesos e Notas'!$CM87*'Matriz de Pesos e Notas'!$A$145*$C87,0)</f>
        <v>0</v>
      </c>
      <c r="T87" s="175">
        <f>IF($C87,'Matriz de Pesos e Notas'!BY87/'Matriz de Pesos e Notas'!$CN87*'Matriz de Pesos e Notas'!$A$146*$C87,0)</f>
        <v>0</v>
      </c>
      <c r="U87" s="175"/>
      <c r="V87" s="163">
        <f>IF($C87,'Matriz de Pesos e Notas'!CA87/'Matriz de Pesos e Notas'!$CM87*'Matriz de Pesos e Notas'!$A$145*$C87,0)</f>
        <v>0</v>
      </c>
      <c r="W87" s="175">
        <f>IF($C87,'Matriz de Pesos e Notas'!CB87/'Matriz de Pesos e Notas'!$CN87*'Matriz de Pesos e Notas'!$A$146*$C87,0)</f>
        <v>0</v>
      </c>
      <c r="X87" s="175"/>
      <c r="Y87" s="163">
        <f>IF($C87,'Matriz de Pesos e Notas'!CD87/'Matriz de Pesos e Notas'!$CM87*'Matriz de Pesos e Notas'!$A$145*$C87,0)</f>
        <v>0</v>
      </c>
      <c r="Z87" s="175">
        <f>IF($C87,'Matriz de Pesos e Notas'!CE87/'Matriz de Pesos e Notas'!$CN87*'Matriz de Pesos e Notas'!$A$146*$C87,0)</f>
        <v>0</v>
      </c>
      <c r="AA87" s="175"/>
      <c r="AB87" s="163">
        <f>IF($C87,'Matriz de Pesos e Notas'!CG87/'Matriz de Pesos e Notas'!$CM87*'Matriz de Pesos e Notas'!$A$145*$C87,0)</f>
        <v>0</v>
      </c>
      <c r="AC87" s="175">
        <f>IF($C87,'Matriz de Pesos e Notas'!CH87/'Matriz de Pesos e Notas'!$CN87*'Matriz de Pesos e Notas'!$A$146*$C87,0)</f>
        <v>0</v>
      </c>
      <c r="AD87" s="175"/>
      <c r="AE87" s="163">
        <f>IF($C87,'Matriz de Pesos e Notas'!CJ87/'Matriz de Pesos e Notas'!$CM87*'Matriz de Pesos e Notas'!$A$145*$C87,0)</f>
        <v>0</v>
      </c>
      <c r="AF87" s="175">
        <f>IF($C87,'Matriz de Pesos e Notas'!CK87/'Matriz de Pesos e Notas'!$CN87*'Matriz de Pesos e Notas'!$A$146*$C87,0)</f>
        <v>0</v>
      </c>
      <c r="AG87" s="164"/>
      <c r="AH87" s="102" t="str">
        <f>IF(C87,"Imprime","Não Imprime")</f>
        <v>Imprime</v>
      </c>
    </row>
    <row r="88" spans="1:34" x14ac:dyDescent="0.2">
      <c r="A88" s="42"/>
      <c r="B88" s="65" t="str">
        <f>TEXT(D87,"0,00%")&amp;"        "&amp;TEXT(E87,"0,00%")</f>
        <v>2,28%        1,86%</v>
      </c>
      <c r="C88" s="92"/>
      <c r="D88" s="73"/>
      <c r="E88" s="72"/>
      <c r="F88" s="72"/>
      <c r="G88" s="165"/>
      <c r="H88" s="176"/>
      <c r="I88" s="176"/>
      <c r="J88" s="165"/>
      <c r="K88" s="176"/>
      <c r="L88" s="176"/>
      <c r="M88" s="165"/>
      <c r="N88" s="176"/>
      <c r="O88" s="176"/>
      <c r="P88" s="165"/>
      <c r="Q88" s="176"/>
      <c r="R88" s="176"/>
      <c r="S88" s="165"/>
      <c r="T88" s="176"/>
      <c r="U88" s="176"/>
      <c r="V88" s="165"/>
      <c r="W88" s="176"/>
      <c r="X88" s="176"/>
      <c r="Y88" s="165"/>
      <c r="Z88" s="176"/>
      <c r="AA88" s="176"/>
      <c r="AB88" s="165"/>
      <c r="AC88" s="176"/>
      <c r="AD88" s="176"/>
      <c r="AE88" s="165"/>
      <c r="AF88" s="176"/>
      <c r="AG88" s="166"/>
      <c r="AH88" s="8" t="str">
        <f>+AH87</f>
        <v>Imprime</v>
      </c>
    </row>
    <row r="89" spans="1:34" x14ac:dyDescent="0.2">
      <c r="A89" s="628" t="str">
        <f>'Matriz de Pesos e Notas'!A89</f>
        <v>Nome da Atividade 2 da Unidade 5</v>
      </c>
      <c r="B89" s="629"/>
      <c r="C89" s="92">
        <f>IF(ISTEXT('Matriz de Pesos e Notas'!C89),letrapeso('Matriz de Pesos e Notas'!C89)/SUM(letrapeso('Matriz de Pesos e Notas'!C87)+letrapeso('Matriz de Pesos e Notas'!C89)+letrapeso('Matriz de Pesos e Notas'!C91)+letrapeso('Matriz de Pesos e Notas'!C93)+letrapeso('Matriz de Pesos e Notas'!C95)+letrapeso('Matriz de Pesos e Notas'!C97)+letrapeso('Matriz de Pesos e Notas'!C99))*C85,0)</f>
        <v>0</v>
      </c>
      <c r="D89" s="85">
        <f>G89+J89+M89+P89+S89+V89+Y89+AB89+AE89</f>
        <v>0</v>
      </c>
      <c r="E89" s="85">
        <f>H89+K89+N89+Q89+T89+W89+Z89+AC89+AF89</f>
        <v>0</v>
      </c>
      <c r="F89" s="72"/>
      <c r="G89" s="163">
        <f>IF($C89,'Matriz de Pesos e Notas'!BL89/'Matriz de Pesos e Notas'!$CM89*'Matriz de Pesos e Notas'!$A$145*$C89,0)</f>
        <v>0</v>
      </c>
      <c r="H89" s="175">
        <f>IF($C89,'Matriz de Pesos e Notas'!BM89/'Matriz de Pesos e Notas'!$CN89*'Matriz de Pesos e Notas'!$A$146*$C89,0)</f>
        <v>0</v>
      </c>
      <c r="I89" s="175"/>
      <c r="J89" s="163">
        <f>IF($C89,'Matriz de Pesos e Notas'!BO89/'Matriz de Pesos e Notas'!$CM89*'Matriz de Pesos e Notas'!$A$145*$C89,0)</f>
        <v>0</v>
      </c>
      <c r="K89" s="175">
        <f>IF($C89,'Matriz de Pesos e Notas'!BP89/'Matriz de Pesos e Notas'!$CN89*'Matriz de Pesos e Notas'!$A$146*$C89,0)</f>
        <v>0</v>
      </c>
      <c r="L89" s="175"/>
      <c r="M89" s="163">
        <f>IF($C89,'Matriz de Pesos e Notas'!BR89/'Matriz de Pesos e Notas'!$CM89*'Matriz de Pesos e Notas'!$A$145*$C89,0)</f>
        <v>0</v>
      </c>
      <c r="N89" s="175">
        <f>IF($C89,'Matriz de Pesos e Notas'!BS89/'Matriz de Pesos e Notas'!$CN89*'Matriz de Pesos e Notas'!$A$146*$C89,0)</f>
        <v>0</v>
      </c>
      <c r="O89" s="175"/>
      <c r="P89" s="163">
        <f>IF($C89,'Matriz de Pesos e Notas'!BU89/'Matriz de Pesos e Notas'!$CM89*'Matriz de Pesos e Notas'!$A$145*$C89,0)</f>
        <v>0</v>
      </c>
      <c r="Q89" s="175">
        <f>IF($C89,'Matriz de Pesos e Notas'!BV89/'Matriz de Pesos e Notas'!$CN89*'Matriz de Pesos e Notas'!$A$146*$C89,0)</f>
        <v>0</v>
      </c>
      <c r="R89" s="175"/>
      <c r="S89" s="163">
        <f>IF($C89,'Matriz de Pesos e Notas'!BX89/'Matriz de Pesos e Notas'!$CM89*'Matriz de Pesos e Notas'!$A$145*$C89,0)</f>
        <v>0</v>
      </c>
      <c r="T89" s="175">
        <f>IF($C89,'Matriz de Pesos e Notas'!BY89/'Matriz de Pesos e Notas'!$CN89*'Matriz de Pesos e Notas'!$A$146*$C89,0)</f>
        <v>0</v>
      </c>
      <c r="U89" s="175"/>
      <c r="V89" s="163">
        <f>IF($C89,'Matriz de Pesos e Notas'!CA89/'Matriz de Pesos e Notas'!$CM89*'Matriz de Pesos e Notas'!$A$145*$C89,0)</f>
        <v>0</v>
      </c>
      <c r="W89" s="175">
        <f>IF($C89,'Matriz de Pesos e Notas'!CB89/'Matriz de Pesos e Notas'!$CN89*'Matriz de Pesos e Notas'!$A$146*$C89,0)</f>
        <v>0</v>
      </c>
      <c r="X89" s="175"/>
      <c r="Y89" s="163">
        <f>IF($C89,'Matriz de Pesos e Notas'!CD89/'Matriz de Pesos e Notas'!$CM89*'Matriz de Pesos e Notas'!$A$145*$C89,0)</f>
        <v>0</v>
      </c>
      <c r="Z89" s="175">
        <f>IF($C89,'Matriz de Pesos e Notas'!CE89/'Matriz de Pesos e Notas'!$CN89*'Matriz de Pesos e Notas'!$A$146*$C89,0)</f>
        <v>0</v>
      </c>
      <c r="AA89" s="175"/>
      <c r="AB89" s="163">
        <f>IF($C89,'Matriz de Pesos e Notas'!CG89/'Matriz de Pesos e Notas'!$CM89*'Matriz de Pesos e Notas'!$A$145*$C89,0)</f>
        <v>0</v>
      </c>
      <c r="AC89" s="175">
        <f>IF($C89,'Matriz de Pesos e Notas'!CH89/'Matriz de Pesos e Notas'!$CN89*'Matriz de Pesos e Notas'!$A$146*$C89,0)</f>
        <v>0</v>
      </c>
      <c r="AD89" s="175"/>
      <c r="AE89" s="163">
        <f>IF($C89,'Matriz de Pesos e Notas'!CJ89/'Matriz de Pesos e Notas'!$CM89*'Matriz de Pesos e Notas'!$A$145*$C89,0)</f>
        <v>0</v>
      </c>
      <c r="AF89" s="175">
        <f>IF($C89,'Matriz de Pesos e Notas'!CK89/'Matriz de Pesos e Notas'!$CN89*'Matriz de Pesos e Notas'!$A$146*$C89,0)</f>
        <v>0</v>
      </c>
      <c r="AG89" s="164"/>
      <c r="AH89" s="4" t="str">
        <f>IF(C89,"Imprime","Não Imprime")</f>
        <v>Não Imprime</v>
      </c>
    </row>
    <row r="90" spans="1:34" x14ac:dyDescent="0.2">
      <c r="A90" s="43"/>
      <c r="B90" s="65" t="str">
        <f>TEXT(D89,"0,00%")&amp;"        "&amp;TEXT(E89,"0,00%")</f>
        <v>0,00%        0,00%</v>
      </c>
      <c r="C90" s="92"/>
      <c r="D90" s="73"/>
      <c r="E90" s="72"/>
      <c r="F90" s="72"/>
      <c r="G90" s="165"/>
      <c r="H90" s="176"/>
      <c r="I90" s="176"/>
      <c r="J90" s="165"/>
      <c r="K90" s="176"/>
      <c r="L90" s="176"/>
      <c r="M90" s="165"/>
      <c r="N90" s="176"/>
      <c r="O90" s="176"/>
      <c r="P90" s="165"/>
      <c r="Q90" s="176"/>
      <c r="R90" s="176"/>
      <c r="S90" s="165"/>
      <c r="T90" s="176"/>
      <c r="U90" s="176"/>
      <c r="V90" s="165"/>
      <c r="W90" s="176"/>
      <c r="X90" s="176"/>
      <c r="Y90" s="165"/>
      <c r="Z90" s="176"/>
      <c r="AA90" s="176"/>
      <c r="AB90" s="165"/>
      <c r="AC90" s="176"/>
      <c r="AD90" s="176"/>
      <c r="AE90" s="165"/>
      <c r="AF90" s="176"/>
      <c r="AG90" s="166"/>
      <c r="AH90" s="8" t="str">
        <f>+AH89</f>
        <v>Não Imprime</v>
      </c>
    </row>
    <row r="91" spans="1:34" x14ac:dyDescent="0.2">
      <c r="A91" s="628" t="str">
        <f>'Matriz de Pesos e Notas'!A91</f>
        <v>Nome da Atividade 3 da Unidade 5</v>
      </c>
      <c r="B91" s="629"/>
      <c r="C91" s="92">
        <f>IF(ISTEXT('Matriz de Pesos e Notas'!C91),letrapeso('Matriz de Pesos e Notas'!C91)/SUM(letrapeso('Matriz de Pesos e Notas'!C87)+letrapeso('Matriz de Pesos e Notas'!C89)+letrapeso('Matriz de Pesos e Notas'!C91)+letrapeso('Matriz de Pesos e Notas'!C93)+letrapeso('Matriz de Pesos e Notas'!C95)+letrapeso('Matriz de Pesos e Notas'!C97)+letrapeso('Matriz de Pesos e Notas'!C99))*C85,0)</f>
        <v>0</v>
      </c>
      <c r="D91" s="85">
        <f>G91+J91+M91+P91+S91+V91+Y91+AB91+AE91</f>
        <v>0</v>
      </c>
      <c r="E91" s="85">
        <f>H91+K91+N91+Q91+T91+W91+Z91+AC91+AF91</f>
        <v>0</v>
      </c>
      <c r="F91" s="72"/>
      <c r="G91" s="163">
        <f>IF($C91,'Matriz de Pesos e Notas'!BL91/'Matriz de Pesos e Notas'!$CM91*'Matriz de Pesos e Notas'!$A$145*$C91,0)</f>
        <v>0</v>
      </c>
      <c r="H91" s="175">
        <f>IF($C91,'Matriz de Pesos e Notas'!BM91/'Matriz de Pesos e Notas'!$CN91*'Matriz de Pesos e Notas'!$A$146*$C91,0)</f>
        <v>0</v>
      </c>
      <c r="I91" s="175"/>
      <c r="J91" s="163">
        <f>IF($C91,'Matriz de Pesos e Notas'!BO91/'Matriz de Pesos e Notas'!$CM91*'Matriz de Pesos e Notas'!$A$145*$C91,0)</f>
        <v>0</v>
      </c>
      <c r="K91" s="175">
        <f>IF($C91,'Matriz de Pesos e Notas'!BP91/'Matriz de Pesos e Notas'!$CN91*'Matriz de Pesos e Notas'!$A$146*$C91,0)</f>
        <v>0</v>
      </c>
      <c r="L91" s="175"/>
      <c r="M91" s="163">
        <f>IF($C91,'Matriz de Pesos e Notas'!BR91/'Matriz de Pesos e Notas'!$CM91*'Matriz de Pesos e Notas'!$A$145*$C91,0)</f>
        <v>0</v>
      </c>
      <c r="N91" s="175">
        <f>IF($C91,'Matriz de Pesos e Notas'!BS91/'Matriz de Pesos e Notas'!$CN91*'Matriz de Pesos e Notas'!$A$146*$C91,0)</f>
        <v>0</v>
      </c>
      <c r="O91" s="175"/>
      <c r="P91" s="163">
        <f>IF($C91,'Matriz de Pesos e Notas'!BU91/'Matriz de Pesos e Notas'!$CM91*'Matriz de Pesos e Notas'!$A$145*$C91,0)</f>
        <v>0</v>
      </c>
      <c r="Q91" s="175">
        <f>IF($C91,'Matriz de Pesos e Notas'!BV91/'Matriz de Pesos e Notas'!$CN91*'Matriz de Pesos e Notas'!$A$146*$C91,0)</f>
        <v>0</v>
      </c>
      <c r="R91" s="175"/>
      <c r="S91" s="163">
        <f>IF($C91,'Matriz de Pesos e Notas'!BX91/'Matriz de Pesos e Notas'!$CM91*'Matriz de Pesos e Notas'!$A$145*$C91,0)</f>
        <v>0</v>
      </c>
      <c r="T91" s="175">
        <f>IF($C91,'Matriz de Pesos e Notas'!BY91/'Matriz de Pesos e Notas'!$CN91*'Matriz de Pesos e Notas'!$A$146*$C91,0)</f>
        <v>0</v>
      </c>
      <c r="U91" s="175"/>
      <c r="V91" s="163">
        <f>IF($C91,'Matriz de Pesos e Notas'!CA91/'Matriz de Pesos e Notas'!$CM91*'Matriz de Pesos e Notas'!$A$145*$C91,0)</f>
        <v>0</v>
      </c>
      <c r="W91" s="175">
        <f>IF($C91,'Matriz de Pesos e Notas'!CB91/'Matriz de Pesos e Notas'!$CN91*'Matriz de Pesos e Notas'!$A$146*$C91,0)</f>
        <v>0</v>
      </c>
      <c r="X91" s="175"/>
      <c r="Y91" s="163">
        <f>IF($C91,'Matriz de Pesos e Notas'!CD91/'Matriz de Pesos e Notas'!$CM91*'Matriz de Pesos e Notas'!$A$145*$C91,0)</f>
        <v>0</v>
      </c>
      <c r="Z91" s="175">
        <f>IF($C91,'Matriz de Pesos e Notas'!CE91/'Matriz de Pesos e Notas'!$CN91*'Matriz de Pesos e Notas'!$A$146*$C91,0)</f>
        <v>0</v>
      </c>
      <c r="AA91" s="175"/>
      <c r="AB91" s="163">
        <f>IF($C91,'Matriz de Pesos e Notas'!CG91/'Matriz de Pesos e Notas'!$CM91*'Matriz de Pesos e Notas'!$A$145*$C91,0)</f>
        <v>0</v>
      </c>
      <c r="AC91" s="175">
        <f>IF($C91,'Matriz de Pesos e Notas'!CH91/'Matriz de Pesos e Notas'!$CN91*'Matriz de Pesos e Notas'!$A$146*$C91,0)</f>
        <v>0</v>
      </c>
      <c r="AD91" s="175"/>
      <c r="AE91" s="163">
        <f>IF($C91,'Matriz de Pesos e Notas'!CJ91/'Matriz de Pesos e Notas'!$CM91*'Matriz de Pesos e Notas'!$A$145*$C91,0)</f>
        <v>0</v>
      </c>
      <c r="AF91" s="175">
        <f>IF($C91,'Matriz de Pesos e Notas'!CK91/'Matriz de Pesos e Notas'!$CN91*'Matriz de Pesos e Notas'!$A$146*$C91,0)</f>
        <v>0</v>
      </c>
      <c r="AG91" s="164"/>
      <c r="AH91" s="4" t="str">
        <f>IF(C91,"Imprime","Não Imprime")</f>
        <v>Não Imprime</v>
      </c>
    </row>
    <row r="92" spans="1:34" x14ac:dyDescent="0.2">
      <c r="A92" s="43"/>
      <c r="B92" s="65" t="str">
        <f>TEXT(D91,"0,00%")&amp;"        "&amp;TEXT(E91,"0,00%")</f>
        <v>0,00%        0,00%</v>
      </c>
      <c r="C92" s="92"/>
      <c r="D92" s="73"/>
      <c r="E92" s="72"/>
      <c r="F92" s="72"/>
      <c r="G92" s="165"/>
      <c r="H92" s="176"/>
      <c r="I92" s="176"/>
      <c r="J92" s="165"/>
      <c r="K92" s="176"/>
      <c r="L92" s="176"/>
      <c r="M92" s="165"/>
      <c r="N92" s="176"/>
      <c r="O92" s="176"/>
      <c r="P92" s="165"/>
      <c r="Q92" s="176"/>
      <c r="R92" s="176"/>
      <c r="S92" s="165"/>
      <c r="T92" s="176"/>
      <c r="U92" s="176"/>
      <c r="V92" s="165"/>
      <c r="W92" s="176"/>
      <c r="X92" s="176"/>
      <c r="Y92" s="165"/>
      <c r="Z92" s="176"/>
      <c r="AA92" s="176"/>
      <c r="AB92" s="165"/>
      <c r="AC92" s="176"/>
      <c r="AD92" s="176"/>
      <c r="AE92" s="165"/>
      <c r="AF92" s="176"/>
      <c r="AG92" s="166"/>
      <c r="AH92" s="8" t="str">
        <f>+AH91</f>
        <v>Não Imprime</v>
      </c>
    </row>
    <row r="93" spans="1:34" x14ac:dyDescent="0.2">
      <c r="A93" s="628" t="str">
        <f>'Matriz de Pesos e Notas'!A93</f>
        <v>Nome da Atividade 4 da Unidade 5</v>
      </c>
      <c r="B93" s="629"/>
      <c r="C93" s="92">
        <f>IF(ISTEXT('Matriz de Pesos e Notas'!C93),letrapeso('Matriz de Pesos e Notas'!C93)/SUM(letrapeso('Matriz de Pesos e Notas'!C87)+letrapeso('Matriz de Pesos e Notas'!C89)+letrapeso('Matriz de Pesos e Notas'!C91)+letrapeso('Matriz de Pesos e Notas'!C93)+letrapeso('Matriz de Pesos e Notas'!C95)+letrapeso('Matriz de Pesos e Notas'!C97)+letrapeso('Matriz de Pesos e Notas'!C99))*C85,0)</f>
        <v>0</v>
      </c>
      <c r="D93" s="85">
        <f>G93+J93+M93+P93+S93+V93+Y93+AB93+AE93</f>
        <v>0</v>
      </c>
      <c r="E93" s="85">
        <f>H93+K93+N93+Q93+T93+W93+Z93+AC93+AF93</f>
        <v>0</v>
      </c>
      <c r="F93" s="72"/>
      <c r="G93" s="163">
        <f>IF($C93,'Matriz de Pesos e Notas'!BL93/'Matriz de Pesos e Notas'!$CM93*'Matriz de Pesos e Notas'!$A$145*$C93,0)</f>
        <v>0</v>
      </c>
      <c r="H93" s="175">
        <f>IF($C93,'Matriz de Pesos e Notas'!BM93/'Matriz de Pesos e Notas'!$CN93*'Matriz de Pesos e Notas'!$A$146*$C93,0)</f>
        <v>0</v>
      </c>
      <c r="I93" s="175"/>
      <c r="J93" s="163">
        <f>IF($C93,'Matriz de Pesos e Notas'!BO93/'Matriz de Pesos e Notas'!$CM93*'Matriz de Pesos e Notas'!$A$145*$C93,0)</f>
        <v>0</v>
      </c>
      <c r="K93" s="175">
        <f>IF($C93,'Matriz de Pesos e Notas'!BP93/'Matriz de Pesos e Notas'!$CN93*'Matriz de Pesos e Notas'!$A$146*$C93,0)</f>
        <v>0</v>
      </c>
      <c r="L93" s="175"/>
      <c r="M93" s="163">
        <f>IF($C93,'Matriz de Pesos e Notas'!BR93/'Matriz de Pesos e Notas'!$CM93*'Matriz de Pesos e Notas'!$A$145*$C93,0)</f>
        <v>0</v>
      </c>
      <c r="N93" s="175">
        <f>IF($C93,'Matriz de Pesos e Notas'!BS93/'Matriz de Pesos e Notas'!$CN93*'Matriz de Pesos e Notas'!$A$146*$C93,0)</f>
        <v>0</v>
      </c>
      <c r="O93" s="175"/>
      <c r="P93" s="163">
        <f>IF($C93,'Matriz de Pesos e Notas'!BU93/'Matriz de Pesos e Notas'!$CM93*'Matriz de Pesos e Notas'!$A$145*$C93,0)</f>
        <v>0</v>
      </c>
      <c r="Q93" s="175">
        <f>IF($C93,'Matriz de Pesos e Notas'!BV93/'Matriz de Pesos e Notas'!$CN93*'Matriz de Pesos e Notas'!$A$146*$C93,0)</f>
        <v>0</v>
      </c>
      <c r="R93" s="175"/>
      <c r="S93" s="163">
        <f>IF($C93,'Matriz de Pesos e Notas'!BX93/'Matriz de Pesos e Notas'!$CM93*'Matriz de Pesos e Notas'!$A$145*$C93,0)</f>
        <v>0</v>
      </c>
      <c r="T93" s="175">
        <f>IF($C93,'Matriz de Pesos e Notas'!BY93/'Matriz de Pesos e Notas'!$CN93*'Matriz de Pesos e Notas'!$A$146*$C93,0)</f>
        <v>0</v>
      </c>
      <c r="U93" s="175"/>
      <c r="V93" s="163">
        <f>IF($C93,'Matriz de Pesos e Notas'!CA93/'Matriz de Pesos e Notas'!$CM93*'Matriz de Pesos e Notas'!$A$145*$C93,0)</f>
        <v>0</v>
      </c>
      <c r="W93" s="175">
        <f>IF($C93,'Matriz de Pesos e Notas'!CB93/'Matriz de Pesos e Notas'!$CN93*'Matriz de Pesos e Notas'!$A$146*$C93,0)</f>
        <v>0</v>
      </c>
      <c r="X93" s="175"/>
      <c r="Y93" s="163">
        <f>IF($C93,'Matriz de Pesos e Notas'!CD93/'Matriz de Pesos e Notas'!$CM93*'Matriz de Pesos e Notas'!$A$145*$C93,0)</f>
        <v>0</v>
      </c>
      <c r="Z93" s="175">
        <f>IF($C93,'Matriz de Pesos e Notas'!CE93/'Matriz de Pesos e Notas'!$CN93*'Matriz de Pesos e Notas'!$A$146*$C93,0)</f>
        <v>0</v>
      </c>
      <c r="AA93" s="175"/>
      <c r="AB93" s="163">
        <f>IF($C93,'Matriz de Pesos e Notas'!CG93/'Matriz de Pesos e Notas'!$CM93*'Matriz de Pesos e Notas'!$A$145*$C93,0)</f>
        <v>0</v>
      </c>
      <c r="AC93" s="175">
        <f>IF($C93,'Matriz de Pesos e Notas'!CH93/'Matriz de Pesos e Notas'!$CN93*'Matriz de Pesos e Notas'!$A$146*$C93,0)</f>
        <v>0</v>
      </c>
      <c r="AD93" s="175"/>
      <c r="AE93" s="163">
        <f>IF($C93,'Matriz de Pesos e Notas'!CJ93/'Matriz de Pesos e Notas'!$CM93*'Matriz de Pesos e Notas'!$A$145*$C93,0)</f>
        <v>0</v>
      </c>
      <c r="AF93" s="175">
        <f>IF($C93,'Matriz de Pesos e Notas'!CK93/'Matriz de Pesos e Notas'!$CN93*'Matriz de Pesos e Notas'!$A$146*$C93,0)</f>
        <v>0</v>
      </c>
      <c r="AG93" s="164"/>
      <c r="AH93" s="1" t="str">
        <f>IF(C93,"Imprime","Não Imprime")</f>
        <v>Não Imprime</v>
      </c>
    </row>
    <row r="94" spans="1:34" x14ac:dyDescent="0.2">
      <c r="A94" s="43"/>
      <c r="B94" s="65" t="str">
        <f>TEXT(D93,"0,00%")&amp;"        "&amp;TEXT(E93,"0,00%")</f>
        <v>0,00%        0,00%</v>
      </c>
      <c r="C94" s="92"/>
      <c r="D94" s="74"/>
      <c r="E94" s="74"/>
      <c r="F94" s="86"/>
      <c r="G94" s="165"/>
      <c r="H94" s="176"/>
      <c r="I94" s="176"/>
      <c r="J94" s="165"/>
      <c r="K94" s="176"/>
      <c r="L94" s="176"/>
      <c r="M94" s="165"/>
      <c r="N94" s="176"/>
      <c r="O94" s="176"/>
      <c r="P94" s="165"/>
      <c r="Q94" s="176"/>
      <c r="R94" s="176"/>
      <c r="S94" s="165"/>
      <c r="T94" s="176"/>
      <c r="U94" s="176"/>
      <c r="V94" s="165"/>
      <c r="W94" s="176"/>
      <c r="X94" s="176"/>
      <c r="Y94" s="165"/>
      <c r="Z94" s="176"/>
      <c r="AA94" s="176"/>
      <c r="AB94" s="165"/>
      <c r="AC94" s="176"/>
      <c r="AD94" s="176"/>
      <c r="AE94" s="165"/>
      <c r="AF94" s="176"/>
      <c r="AG94" s="166"/>
      <c r="AH94" s="8" t="str">
        <f>+AH93</f>
        <v>Não Imprime</v>
      </c>
    </row>
    <row r="95" spans="1:34" x14ac:dyDescent="0.2">
      <c r="A95" s="628" t="str">
        <f>'Matriz de Pesos e Notas'!A95</f>
        <v>Nome da Atividade 5 da Unidade 5</v>
      </c>
      <c r="B95" s="629"/>
      <c r="C95" s="92">
        <f>IF(ISTEXT('Matriz de Pesos e Notas'!C95),letrapeso('Matriz de Pesos e Notas'!C95)/SUM(letrapeso('Matriz de Pesos e Notas'!C87)+letrapeso('Matriz de Pesos e Notas'!C89)+letrapeso('Matriz de Pesos e Notas'!C91)+letrapeso('Matriz de Pesos e Notas'!C93)+letrapeso('Matriz de Pesos e Notas'!C95)+letrapeso('Matriz de Pesos e Notas'!C97)+letrapeso('Matriz de Pesos e Notas'!C99))*C85,0)</f>
        <v>0</v>
      </c>
      <c r="D95" s="85">
        <f>G95+J95+M95+P95+S95+V95+Y95+AB95+AE95</f>
        <v>0</v>
      </c>
      <c r="E95" s="85">
        <f>H95+K95+N95+Q95+T95+W95+Z95+AC95+AF95</f>
        <v>0</v>
      </c>
      <c r="F95" s="72"/>
      <c r="G95" s="163">
        <f>IF($C95,'Matriz de Pesos e Notas'!BL95/'Matriz de Pesos e Notas'!$CM95*'Matriz de Pesos e Notas'!$A$145*$C95,0)</f>
        <v>0</v>
      </c>
      <c r="H95" s="175">
        <f>IF($C95,'Matriz de Pesos e Notas'!BM95/'Matriz de Pesos e Notas'!$CN95*'Matriz de Pesos e Notas'!$A$146*$C95,0)</f>
        <v>0</v>
      </c>
      <c r="I95" s="175"/>
      <c r="J95" s="163">
        <f>IF($C95,'Matriz de Pesos e Notas'!BO95/'Matriz de Pesos e Notas'!$CM95*'Matriz de Pesos e Notas'!$A$145*$C95,0)</f>
        <v>0</v>
      </c>
      <c r="K95" s="175">
        <f>IF($C95,'Matriz de Pesos e Notas'!BP95/'Matriz de Pesos e Notas'!$CN95*'Matriz de Pesos e Notas'!$A$146*$C95,0)</f>
        <v>0</v>
      </c>
      <c r="L95" s="175"/>
      <c r="M95" s="163">
        <f>IF($C95,'Matriz de Pesos e Notas'!BR95/'Matriz de Pesos e Notas'!$CM95*'Matriz de Pesos e Notas'!$A$145*$C95,0)</f>
        <v>0</v>
      </c>
      <c r="N95" s="175">
        <f>IF($C95,'Matriz de Pesos e Notas'!BS95/'Matriz de Pesos e Notas'!$CN95*'Matriz de Pesos e Notas'!$A$146*$C95,0)</f>
        <v>0</v>
      </c>
      <c r="O95" s="175"/>
      <c r="P95" s="163">
        <f>IF($C95,'Matriz de Pesos e Notas'!BU95/'Matriz de Pesos e Notas'!$CM95*'Matriz de Pesos e Notas'!$A$145*$C95,0)</f>
        <v>0</v>
      </c>
      <c r="Q95" s="175">
        <f>IF($C95,'Matriz de Pesos e Notas'!BV95/'Matriz de Pesos e Notas'!$CN95*'Matriz de Pesos e Notas'!$A$146*$C95,0)</f>
        <v>0</v>
      </c>
      <c r="R95" s="175"/>
      <c r="S95" s="163">
        <f>IF($C95,'Matriz de Pesos e Notas'!BX95/'Matriz de Pesos e Notas'!$CM95*'Matriz de Pesos e Notas'!$A$145*$C95,0)</f>
        <v>0</v>
      </c>
      <c r="T95" s="175">
        <f>IF($C95,'Matriz de Pesos e Notas'!BY95/'Matriz de Pesos e Notas'!$CN95*'Matriz de Pesos e Notas'!$A$146*$C95,0)</f>
        <v>0</v>
      </c>
      <c r="U95" s="175"/>
      <c r="V95" s="163">
        <f>IF($C95,'Matriz de Pesos e Notas'!CA95/'Matriz de Pesos e Notas'!$CM95*'Matriz de Pesos e Notas'!$A$145*$C95,0)</f>
        <v>0</v>
      </c>
      <c r="W95" s="175">
        <f>IF($C95,'Matriz de Pesos e Notas'!CB95/'Matriz de Pesos e Notas'!$CN95*'Matriz de Pesos e Notas'!$A$146*$C95,0)</f>
        <v>0</v>
      </c>
      <c r="X95" s="175"/>
      <c r="Y95" s="163">
        <f>IF($C95,'Matriz de Pesos e Notas'!CD95/'Matriz de Pesos e Notas'!$CM95*'Matriz de Pesos e Notas'!$A$145*$C95,0)</f>
        <v>0</v>
      </c>
      <c r="Z95" s="175">
        <f>IF($C95,'Matriz de Pesos e Notas'!CE95/'Matriz de Pesos e Notas'!$CN95*'Matriz de Pesos e Notas'!$A$146*$C95,0)</f>
        <v>0</v>
      </c>
      <c r="AA95" s="175"/>
      <c r="AB95" s="163">
        <f>IF($C95,'Matriz de Pesos e Notas'!CG95/'Matriz de Pesos e Notas'!$CM95*'Matriz de Pesos e Notas'!$A$145*$C95,0)</f>
        <v>0</v>
      </c>
      <c r="AC95" s="175">
        <f>IF($C95,'Matriz de Pesos e Notas'!CH95/'Matriz de Pesos e Notas'!$CN95*'Matriz de Pesos e Notas'!$A$146*$C95,0)</f>
        <v>0</v>
      </c>
      <c r="AD95" s="175"/>
      <c r="AE95" s="163">
        <f>IF($C95,'Matriz de Pesos e Notas'!CJ95/'Matriz de Pesos e Notas'!$CM95*'Matriz de Pesos e Notas'!$A$145*$C95,0)</f>
        <v>0</v>
      </c>
      <c r="AF95" s="175">
        <f>IF($C95,'Matriz de Pesos e Notas'!CK95/'Matriz de Pesos e Notas'!$CN95*'Matriz de Pesos e Notas'!$A$146*$C95,0)</f>
        <v>0</v>
      </c>
      <c r="AG95" s="164"/>
      <c r="AH95" s="1" t="str">
        <f>IF(C95,"Imprime","Não Imprime")</f>
        <v>Não Imprime</v>
      </c>
    </row>
    <row r="96" spans="1:34" x14ac:dyDescent="0.2">
      <c r="A96" s="43"/>
      <c r="B96" s="65" t="str">
        <f>TEXT(D95,"0,00%")&amp;"        "&amp;TEXT(E95,"0,00%")</f>
        <v>0,00%        0,00%</v>
      </c>
      <c r="C96" s="92"/>
      <c r="D96" s="74"/>
      <c r="E96" s="74"/>
      <c r="F96" s="86"/>
      <c r="G96" s="165"/>
      <c r="H96" s="176"/>
      <c r="I96" s="176"/>
      <c r="J96" s="165"/>
      <c r="K96" s="176"/>
      <c r="L96" s="176"/>
      <c r="M96" s="165"/>
      <c r="N96" s="176"/>
      <c r="O96" s="176"/>
      <c r="P96" s="165"/>
      <c r="Q96" s="176"/>
      <c r="R96" s="176"/>
      <c r="S96" s="165"/>
      <c r="T96" s="176"/>
      <c r="U96" s="176"/>
      <c r="V96" s="165"/>
      <c r="W96" s="176"/>
      <c r="X96" s="176"/>
      <c r="Y96" s="165"/>
      <c r="Z96" s="176"/>
      <c r="AA96" s="176"/>
      <c r="AB96" s="165"/>
      <c r="AC96" s="176"/>
      <c r="AD96" s="176"/>
      <c r="AE96" s="165"/>
      <c r="AF96" s="176"/>
      <c r="AG96" s="166"/>
      <c r="AH96" s="8" t="str">
        <f>+AH95</f>
        <v>Não Imprime</v>
      </c>
    </row>
    <row r="97" spans="1:34" x14ac:dyDescent="0.2">
      <c r="A97" s="628" t="str">
        <f>'Matriz de Pesos e Notas'!A97</f>
        <v>Nome da Atividade 6 da Unidade 5</v>
      </c>
      <c r="B97" s="629"/>
      <c r="C97" s="92">
        <f>IF(ISTEXT('Matriz de Pesos e Notas'!C97),letrapeso('Matriz de Pesos e Notas'!C97)/SUM(letrapeso('Matriz de Pesos e Notas'!C87)+letrapeso('Matriz de Pesos e Notas'!C89)+letrapeso('Matriz de Pesos e Notas'!C91)+letrapeso('Matriz de Pesos e Notas'!C93)+letrapeso('Matriz de Pesos e Notas'!C95)+letrapeso('Matriz de Pesos e Notas'!C97)+letrapeso('Matriz de Pesos e Notas'!C99))*C85,0)</f>
        <v>0</v>
      </c>
      <c r="D97" s="85">
        <f>G97+J97+M97+P97+S97+V97+Y97+AB97+AE97</f>
        <v>0</v>
      </c>
      <c r="E97" s="85">
        <f>H97+K97+N97+Q97+T97+W97+Z97+AC97+AF97</f>
        <v>0</v>
      </c>
      <c r="F97" s="72"/>
      <c r="G97" s="163">
        <f>IF($C97,'Matriz de Pesos e Notas'!BL97/'Matriz de Pesos e Notas'!$CM97*'Matriz de Pesos e Notas'!$A$145*$C97,0)</f>
        <v>0</v>
      </c>
      <c r="H97" s="175">
        <f>IF($C97,'Matriz de Pesos e Notas'!BM97/'Matriz de Pesos e Notas'!$CN97*'Matriz de Pesos e Notas'!$A$146*$C97,0)</f>
        <v>0</v>
      </c>
      <c r="I97" s="175"/>
      <c r="J97" s="163">
        <f>IF($C97,'Matriz de Pesos e Notas'!BO97/'Matriz de Pesos e Notas'!$CM97*'Matriz de Pesos e Notas'!$A$145*$C97,0)</f>
        <v>0</v>
      </c>
      <c r="K97" s="175">
        <f>IF($C97,'Matriz de Pesos e Notas'!BP97/'Matriz de Pesos e Notas'!$CN97*'Matriz de Pesos e Notas'!$A$146*$C97,0)</f>
        <v>0</v>
      </c>
      <c r="L97" s="175"/>
      <c r="M97" s="163">
        <f>IF($C97,'Matriz de Pesos e Notas'!BR97/'Matriz de Pesos e Notas'!$CM97*'Matriz de Pesos e Notas'!$A$145*$C97,0)</f>
        <v>0</v>
      </c>
      <c r="N97" s="175">
        <f>IF($C97,'Matriz de Pesos e Notas'!BS97/'Matriz de Pesos e Notas'!$CN97*'Matriz de Pesos e Notas'!$A$146*$C97,0)</f>
        <v>0</v>
      </c>
      <c r="O97" s="175"/>
      <c r="P97" s="163">
        <f>IF($C97,'Matriz de Pesos e Notas'!BU97/'Matriz de Pesos e Notas'!$CM97*'Matriz de Pesos e Notas'!$A$145*$C97,0)</f>
        <v>0</v>
      </c>
      <c r="Q97" s="175">
        <f>IF($C97,'Matriz de Pesos e Notas'!BV97/'Matriz de Pesos e Notas'!$CN97*'Matriz de Pesos e Notas'!$A$146*$C97,0)</f>
        <v>0</v>
      </c>
      <c r="R97" s="175"/>
      <c r="S97" s="163">
        <f>IF($C97,'Matriz de Pesos e Notas'!BX97/'Matriz de Pesos e Notas'!$CM97*'Matriz de Pesos e Notas'!$A$145*$C97,0)</f>
        <v>0</v>
      </c>
      <c r="T97" s="175">
        <f>IF($C97,'Matriz de Pesos e Notas'!BY97/'Matriz de Pesos e Notas'!$CN97*'Matriz de Pesos e Notas'!$A$146*$C97,0)</f>
        <v>0</v>
      </c>
      <c r="U97" s="175"/>
      <c r="V97" s="163">
        <f>IF($C97,'Matriz de Pesos e Notas'!CA97/'Matriz de Pesos e Notas'!$CM97*'Matriz de Pesos e Notas'!$A$145*$C97,0)</f>
        <v>0</v>
      </c>
      <c r="W97" s="175">
        <f>IF($C97,'Matriz de Pesos e Notas'!CB97/'Matriz de Pesos e Notas'!$CN97*'Matriz de Pesos e Notas'!$A$146*$C97,0)</f>
        <v>0</v>
      </c>
      <c r="X97" s="175"/>
      <c r="Y97" s="163">
        <f>IF($C97,'Matriz de Pesos e Notas'!CD97/'Matriz de Pesos e Notas'!$CM97*'Matriz de Pesos e Notas'!$A$145*$C97,0)</f>
        <v>0</v>
      </c>
      <c r="Z97" s="175">
        <f>IF($C97,'Matriz de Pesos e Notas'!CE97/'Matriz de Pesos e Notas'!$CN97*'Matriz de Pesos e Notas'!$A$146*$C97,0)</f>
        <v>0</v>
      </c>
      <c r="AA97" s="175"/>
      <c r="AB97" s="163">
        <f>IF($C97,'Matriz de Pesos e Notas'!CG97/'Matriz de Pesos e Notas'!$CM97*'Matriz de Pesos e Notas'!$A$145*$C97,0)</f>
        <v>0</v>
      </c>
      <c r="AC97" s="175">
        <f>IF($C97,'Matriz de Pesos e Notas'!CH97/'Matriz de Pesos e Notas'!$CN97*'Matriz de Pesos e Notas'!$A$146*$C97,0)</f>
        <v>0</v>
      </c>
      <c r="AD97" s="175"/>
      <c r="AE97" s="163">
        <f>IF($C97,'Matriz de Pesos e Notas'!CJ97/'Matriz de Pesos e Notas'!$CM97*'Matriz de Pesos e Notas'!$A$145*$C97,0)</f>
        <v>0</v>
      </c>
      <c r="AF97" s="175">
        <f>IF($C97,'Matriz de Pesos e Notas'!CK97/'Matriz de Pesos e Notas'!$CN97*'Matriz de Pesos e Notas'!$A$146*$C97,0)</f>
        <v>0</v>
      </c>
      <c r="AG97" s="164"/>
      <c r="AH97" s="1" t="str">
        <f>IF(C97,"Imprime","Não Imprime")</f>
        <v>Não Imprime</v>
      </c>
    </row>
    <row r="98" spans="1:34" x14ac:dyDescent="0.2">
      <c r="A98" s="43"/>
      <c r="B98" s="65" t="str">
        <f>TEXT(D97,"0,00%")&amp;"        "&amp;TEXT(E97,"0,00%")</f>
        <v>0,00%        0,00%</v>
      </c>
      <c r="C98" s="92"/>
      <c r="D98" s="74"/>
      <c r="E98" s="74"/>
      <c r="F98" s="86"/>
      <c r="G98" s="165"/>
      <c r="H98" s="176"/>
      <c r="I98" s="176"/>
      <c r="J98" s="165"/>
      <c r="K98" s="176"/>
      <c r="L98" s="176"/>
      <c r="M98" s="165"/>
      <c r="N98" s="176"/>
      <c r="O98" s="176"/>
      <c r="P98" s="165"/>
      <c r="Q98" s="176"/>
      <c r="R98" s="176"/>
      <c r="S98" s="165"/>
      <c r="T98" s="176"/>
      <c r="U98" s="176"/>
      <c r="V98" s="165"/>
      <c r="W98" s="176"/>
      <c r="X98" s="176"/>
      <c r="Y98" s="165"/>
      <c r="Z98" s="176"/>
      <c r="AA98" s="176"/>
      <c r="AB98" s="165"/>
      <c r="AC98" s="176"/>
      <c r="AD98" s="176"/>
      <c r="AE98" s="165"/>
      <c r="AF98" s="176"/>
      <c r="AG98" s="166"/>
      <c r="AH98" s="8" t="str">
        <f>+AH97</f>
        <v>Não Imprime</v>
      </c>
    </row>
    <row r="99" spans="1:34" x14ac:dyDescent="0.2">
      <c r="A99" s="628" t="str">
        <f>'Matriz de Pesos e Notas'!A99</f>
        <v>Nome da Atividade 7 da Unidade 5</v>
      </c>
      <c r="B99" s="629"/>
      <c r="C99" s="92">
        <f>IF(ISTEXT('Matriz de Pesos e Notas'!C99),letrapeso('Matriz de Pesos e Notas'!C99)/SUM(letrapeso('Matriz de Pesos e Notas'!C87)+letrapeso('Matriz de Pesos e Notas'!C89)+letrapeso('Matriz de Pesos e Notas'!C91)+letrapeso('Matriz de Pesos e Notas'!C93)+letrapeso('Matriz de Pesos e Notas'!C95)+letrapeso('Matriz de Pesos e Notas'!C97)+letrapeso('Matriz de Pesos e Notas'!C99))*C85,0)</f>
        <v>0</v>
      </c>
      <c r="D99" s="85">
        <f>G99+J99+M99+P99+S99+V99+Y99+AB99+AE99</f>
        <v>0</v>
      </c>
      <c r="E99" s="85">
        <f>H99+K99+N99+Q99+T99+W99+Z99+AC99+AF99</f>
        <v>0</v>
      </c>
      <c r="F99" s="72"/>
      <c r="G99" s="163">
        <f>IF($C99,'Matriz de Pesos e Notas'!BL99/'Matriz de Pesos e Notas'!$CM99*'Matriz de Pesos e Notas'!$A$145*$C99,0)</f>
        <v>0</v>
      </c>
      <c r="H99" s="175">
        <f>IF($C99,'Matriz de Pesos e Notas'!BM99/'Matriz de Pesos e Notas'!$CN99*'Matriz de Pesos e Notas'!$A$146*$C99,0)</f>
        <v>0</v>
      </c>
      <c r="I99" s="175"/>
      <c r="J99" s="163">
        <f>IF($C99,'Matriz de Pesos e Notas'!BO99/'Matriz de Pesos e Notas'!$CM99*'Matriz de Pesos e Notas'!$A$145*$C99,0)</f>
        <v>0</v>
      </c>
      <c r="K99" s="175">
        <f>IF($C99,'Matriz de Pesos e Notas'!BP99/'Matriz de Pesos e Notas'!$CN99*'Matriz de Pesos e Notas'!$A$146*$C99,0)</f>
        <v>0</v>
      </c>
      <c r="L99" s="175"/>
      <c r="M99" s="163">
        <f>IF($C99,'Matriz de Pesos e Notas'!BR99/'Matriz de Pesos e Notas'!$CM99*'Matriz de Pesos e Notas'!$A$145*$C99,0)</f>
        <v>0</v>
      </c>
      <c r="N99" s="175">
        <f>IF($C99,'Matriz de Pesos e Notas'!BS99/'Matriz de Pesos e Notas'!$CN99*'Matriz de Pesos e Notas'!$A$146*$C99,0)</f>
        <v>0</v>
      </c>
      <c r="O99" s="175"/>
      <c r="P99" s="163">
        <f>IF($C99,'Matriz de Pesos e Notas'!BU99/'Matriz de Pesos e Notas'!$CM99*'Matriz de Pesos e Notas'!$A$145*$C99,0)</f>
        <v>0</v>
      </c>
      <c r="Q99" s="175">
        <f>IF($C99,'Matriz de Pesos e Notas'!BV99/'Matriz de Pesos e Notas'!$CN99*'Matriz de Pesos e Notas'!$A$146*$C99,0)</f>
        <v>0</v>
      </c>
      <c r="R99" s="175"/>
      <c r="S99" s="163">
        <f>IF($C99,'Matriz de Pesos e Notas'!BX99/'Matriz de Pesos e Notas'!$CM99*'Matriz de Pesos e Notas'!$A$145*$C99,0)</f>
        <v>0</v>
      </c>
      <c r="T99" s="175">
        <f>IF($C99,'Matriz de Pesos e Notas'!BY99/'Matriz de Pesos e Notas'!$CN99*'Matriz de Pesos e Notas'!$A$146*$C99,0)</f>
        <v>0</v>
      </c>
      <c r="U99" s="175"/>
      <c r="V99" s="163">
        <f>IF($C99,'Matriz de Pesos e Notas'!CA99/'Matriz de Pesos e Notas'!$CM99*'Matriz de Pesos e Notas'!$A$145*$C99,0)</f>
        <v>0</v>
      </c>
      <c r="W99" s="175">
        <f>IF($C99,'Matriz de Pesos e Notas'!CB99/'Matriz de Pesos e Notas'!$CN99*'Matriz de Pesos e Notas'!$A$146*$C99,0)</f>
        <v>0</v>
      </c>
      <c r="X99" s="175"/>
      <c r="Y99" s="163">
        <f>IF($C99,'Matriz de Pesos e Notas'!CD99/'Matriz de Pesos e Notas'!$CM99*'Matriz de Pesos e Notas'!$A$145*$C99,0)</f>
        <v>0</v>
      </c>
      <c r="Z99" s="175">
        <f>IF($C99,'Matriz de Pesos e Notas'!CE99/'Matriz de Pesos e Notas'!$CN99*'Matriz de Pesos e Notas'!$A$146*$C99,0)</f>
        <v>0</v>
      </c>
      <c r="AA99" s="175"/>
      <c r="AB99" s="163">
        <f>IF($C99,'Matriz de Pesos e Notas'!CG99/'Matriz de Pesos e Notas'!$CM99*'Matriz de Pesos e Notas'!$A$145*$C99,0)</f>
        <v>0</v>
      </c>
      <c r="AC99" s="175">
        <f>IF($C99,'Matriz de Pesos e Notas'!CH99/'Matriz de Pesos e Notas'!$CN99*'Matriz de Pesos e Notas'!$A$146*$C99,0)</f>
        <v>0</v>
      </c>
      <c r="AD99" s="175"/>
      <c r="AE99" s="163">
        <f>IF($C99,'Matriz de Pesos e Notas'!CJ99/'Matriz de Pesos e Notas'!$CM99*'Matriz de Pesos e Notas'!$A$145*$C99,0)</f>
        <v>0</v>
      </c>
      <c r="AF99" s="175">
        <f>IF($C99,'Matriz de Pesos e Notas'!CK99/'Matriz de Pesos e Notas'!$CN99*'Matriz de Pesos e Notas'!$A$146*$C99,0)</f>
        <v>0</v>
      </c>
      <c r="AG99" s="164"/>
      <c r="AH99" s="1" t="str">
        <f>IF(C99,"Imprime","Não Imprime")</f>
        <v>Não Imprime</v>
      </c>
    </row>
    <row r="100" spans="1:34" x14ac:dyDescent="0.2">
      <c r="A100" s="43"/>
      <c r="B100" s="65" t="str">
        <f>TEXT(D99,"0,00%")&amp;"        "&amp;TEXT(E99,"0,00%")</f>
        <v>0,00%        0,00%</v>
      </c>
      <c r="C100" s="93"/>
      <c r="D100" s="76"/>
      <c r="E100" s="76"/>
      <c r="F100" s="100"/>
      <c r="G100" s="167"/>
      <c r="H100" s="177"/>
      <c r="I100" s="177"/>
      <c r="J100" s="167"/>
      <c r="K100" s="177"/>
      <c r="L100" s="177"/>
      <c r="M100" s="167"/>
      <c r="N100" s="177"/>
      <c r="O100" s="177"/>
      <c r="P100" s="167"/>
      <c r="Q100" s="177"/>
      <c r="R100" s="177"/>
      <c r="S100" s="167"/>
      <c r="T100" s="177"/>
      <c r="U100" s="177"/>
      <c r="V100" s="167"/>
      <c r="W100" s="177"/>
      <c r="X100" s="177"/>
      <c r="Y100" s="167"/>
      <c r="Z100" s="177"/>
      <c r="AA100" s="177"/>
      <c r="AB100" s="167"/>
      <c r="AC100" s="177"/>
      <c r="AD100" s="177"/>
      <c r="AE100" s="167"/>
      <c r="AF100" s="177"/>
      <c r="AG100" s="166"/>
      <c r="AH100" s="8" t="str">
        <f>+AH99</f>
        <v>Não Imprime</v>
      </c>
    </row>
    <row r="101" spans="1:34" x14ac:dyDescent="0.2">
      <c r="A101" s="105" t="str">
        <f>'Matriz de Pesos e Notas'!A101</f>
        <v>Asset Management</v>
      </c>
      <c r="B101" s="106"/>
      <c r="C101" s="108">
        <f>C156*'Matriz de Pesos e Notas'!$A$135</f>
        <v>2.0689655172413793E-2</v>
      </c>
      <c r="D101" s="109">
        <f>SUM(D103:D115)</f>
        <v>1.1379310344827587E-2</v>
      </c>
      <c r="E101" s="111">
        <f>SUM(E103:E115)</f>
        <v>9.3103448275862078E-3</v>
      </c>
      <c r="F101" s="110"/>
      <c r="G101" s="162"/>
      <c r="H101" s="174"/>
      <c r="I101" s="174"/>
      <c r="J101" s="162"/>
      <c r="K101" s="174"/>
      <c r="L101" s="174"/>
      <c r="M101" s="162"/>
      <c r="N101" s="174"/>
      <c r="O101" s="174"/>
      <c r="P101" s="162"/>
      <c r="Q101" s="174"/>
      <c r="R101" s="174"/>
      <c r="S101" s="162"/>
      <c r="T101" s="174"/>
      <c r="U101" s="174"/>
      <c r="V101" s="162"/>
      <c r="W101" s="174"/>
      <c r="X101" s="174"/>
      <c r="Y101" s="162"/>
      <c r="Z101" s="174"/>
      <c r="AA101" s="174"/>
      <c r="AB101" s="162"/>
      <c r="AC101" s="174"/>
      <c r="AD101" s="174"/>
      <c r="AE101" s="162"/>
      <c r="AF101" s="174"/>
      <c r="AG101" s="164"/>
      <c r="AH101" s="102" t="str">
        <f>IF(C101,"Imprime","Não Imprime")</f>
        <v>Imprime</v>
      </c>
    </row>
    <row r="102" spans="1:34" x14ac:dyDescent="0.2">
      <c r="A102" s="113" t="str">
        <f>TEXT(D101,"0,00%")&amp;"        "&amp;TEXT(E101,"0,00%")</f>
        <v>1,14%        0,93%</v>
      </c>
      <c r="B102" s="114"/>
      <c r="C102" s="91"/>
      <c r="D102" s="71"/>
      <c r="E102" s="71"/>
      <c r="F102" s="99"/>
      <c r="G102" s="163"/>
      <c r="H102" s="175"/>
      <c r="I102" s="175"/>
      <c r="J102" s="163"/>
      <c r="K102" s="175"/>
      <c r="L102" s="175"/>
      <c r="M102" s="163"/>
      <c r="N102" s="175"/>
      <c r="O102" s="175"/>
      <c r="P102" s="163"/>
      <c r="Q102" s="175"/>
      <c r="R102" s="175"/>
      <c r="S102" s="163"/>
      <c r="T102" s="175"/>
      <c r="U102" s="175"/>
      <c r="V102" s="163"/>
      <c r="W102" s="175"/>
      <c r="X102" s="175"/>
      <c r="Y102" s="163"/>
      <c r="Z102" s="175"/>
      <c r="AA102" s="175"/>
      <c r="AB102" s="163"/>
      <c r="AC102" s="175"/>
      <c r="AD102" s="175"/>
      <c r="AE102" s="163"/>
      <c r="AF102" s="175"/>
      <c r="AG102" s="164"/>
      <c r="AH102" s="1" t="str">
        <f>+AH101</f>
        <v>Imprime</v>
      </c>
    </row>
    <row r="103" spans="1:34" x14ac:dyDescent="0.2">
      <c r="A103" s="628" t="str">
        <f>'Matriz de Pesos e Notas'!A103</f>
        <v>Asset Management</v>
      </c>
      <c r="B103" s="629"/>
      <c r="C103" s="92">
        <f>IF(ISTEXT('Matriz de Pesos e Notas'!C103),letrapeso('Matriz de Pesos e Notas'!C103)/SUM(letrapeso('Matriz de Pesos e Notas'!C103)+letrapeso('Matriz de Pesos e Notas'!C105)+letrapeso('Matriz de Pesos e Notas'!C107)+letrapeso('Matriz de Pesos e Notas'!C109)+letrapeso('Matriz de Pesos e Notas'!C111)+letrapeso('Matriz de Pesos e Notas'!C113)+letrapeso('Matriz de Pesos e Notas'!C115))*C101,0)</f>
        <v>2.0689655172413793E-2</v>
      </c>
      <c r="D103" s="85">
        <f>G103+J103+M103+P103+S103+V103+Y103+AB103+AE103</f>
        <v>1.1379310344827587E-2</v>
      </c>
      <c r="E103" s="85">
        <f>H103+K103+N103+Q103+T103+W103+Z103+AC103+AF103</f>
        <v>9.3103448275862078E-3</v>
      </c>
      <c r="F103" s="72"/>
      <c r="G103" s="163">
        <f>IF($C103,'Matriz de Pesos e Notas'!BL103/'Matriz de Pesos e Notas'!$CM103*'Matriz de Pesos e Notas'!$A$145*$C103,0)</f>
        <v>0</v>
      </c>
      <c r="H103" s="175">
        <f>IF($C103,'Matriz de Pesos e Notas'!BM103/'Matriz de Pesos e Notas'!$CN103*'Matriz de Pesos e Notas'!$A$146*$C103,0)</f>
        <v>0</v>
      </c>
      <c r="I103" s="175"/>
      <c r="J103" s="163">
        <f>IF($C103,'Matriz de Pesos e Notas'!BO103/'Matriz de Pesos e Notas'!$CM103*'Matriz de Pesos e Notas'!$A$145*$C103,0)</f>
        <v>0</v>
      </c>
      <c r="K103" s="175">
        <f>IF($C103,'Matriz de Pesos e Notas'!BP103/'Matriz de Pesos e Notas'!$CN103*'Matriz de Pesos e Notas'!$A$146*$C103,0)</f>
        <v>0</v>
      </c>
      <c r="L103" s="175"/>
      <c r="M103" s="163">
        <f>IF($C103,'Matriz de Pesos e Notas'!BR103/'Matriz de Pesos e Notas'!$CM103*'Matriz de Pesos e Notas'!$A$145*$C103,0)</f>
        <v>0</v>
      </c>
      <c r="N103" s="175">
        <f>IF($C103,'Matriz de Pesos e Notas'!BS103/'Matriz de Pesos e Notas'!$CN103*'Matriz de Pesos e Notas'!$A$146*$C103,0)</f>
        <v>0</v>
      </c>
      <c r="O103" s="175"/>
      <c r="P103" s="163">
        <f>IF($C103,'Matriz de Pesos e Notas'!BU103/'Matriz de Pesos e Notas'!$CM103*'Matriz de Pesos e Notas'!$A$145*$C103,0)</f>
        <v>1.1379310344827587E-2</v>
      </c>
      <c r="Q103" s="175">
        <f>IF($C103,'Matriz de Pesos e Notas'!BV103/'Matriz de Pesos e Notas'!$CN103*'Matriz de Pesos e Notas'!$A$146*$C103,0)</f>
        <v>9.3103448275862078E-3</v>
      </c>
      <c r="R103" s="175"/>
      <c r="S103" s="163">
        <f>IF($C103,'Matriz de Pesos e Notas'!BX103/'Matriz de Pesos e Notas'!$CM103*'Matriz de Pesos e Notas'!$A$145*$C103,0)</f>
        <v>0</v>
      </c>
      <c r="T103" s="175">
        <f>IF($C103,'Matriz de Pesos e Notas'!BY103/'Matriz de Pesos e Notas'!$CN103*'Matriz de Pesos e Notas'!$A$146*$C103,0)</f>
        <v>0</v>
      </c>
      <c r="U103" s="175"/>
      <c r="V103" s="163">
        <f>IF($C103,'Matriz de Pesos e Notas'!CA103/'Matriz de Pesos e Notas'!$CM103*'Matriz de Pesos e Notas'!$A$145*$C103,0)</f>
        <v>0</v>
      </c>
      <c r="W103" s="175">
        <f>IF($C103,'Matriz de Pesos e Notas'!CB103/'Matriz de Pesos e Notas'!$CN103*'Matriz de Pesos e Notas'!$A$146*$C103,0)</f>
        <v>0</v>
      </c>
      <c r="X103" s="175"/>
      <c r="Y103" s="163">
        <f>IF($C103,'Matriz de Pesos e Notas'!CD103/'Matriz de Pesos e Notas'!$CM103*'Matriz de Pesos e Notas'!$A$145*$C103,0)</f>
        <v>0</v>
      </c>
      <c r="Z103" s="175">
        <f>IF($C103,'Matriz de Pesos e Notas'!CE103/'Matriz de Pesos e Notas'!$CN103*'Matriz de Pesos e Notas'!$A$146*$C103,0)</f>
        <v>0</v>
      </c>
      <c r="AA103" s="175"/>
      <c r="AB103" s="163">
        <f>IF($C103,'Matriz de Pesos e Notas'!CG103/'Matriz de Pesos e Notas'!$CM103*'Matriz de Pesos e Notas'!$A$145*$C103,0)</f>
        <v>0</v>
      </c>
      <c r="AC103" s="175">
        <f>IF($C103,'Matriz de Pesos e Notas'!CH103/'Matriz de Pesos e Notas'!$CN103*'Matriz de Pesos e Notas'!$A$146*$C103,0)</f>
        <v>0</v>
      </c>
      <c r="AD103" s="175"/>
      <c r="AE103" s="163">
        <f>IF($C103,'Matriz de Pesos e Notas'!CJ103/'Matriz de Pesos e Notas'!$CM103*'Matriz de Pesos e Notas'!$A$145*$C103,0)</f>
        <v>0</v>
      </c>
      <c r="AF103" s="175">
        <f>IF($C103,'Matriz de Pesos e Notas'!CK103/'Matriz de Pesos e Notas'!$CN103*'Matriz de Pesos e Notas'!$A$146*$C103,0)</f>
        <v>0</v>
      </c>
      <c r="AG103" s="164"/>
      <c r="AH103" s="102" t="str">
        <f>IF(C103,"Imprime","Não Imprime")</f>
        <v>Imprime</v>
      </c>
    </row>
    <row r="104" spans="1:34" x14ac:dyDescent="0.2">
      <c r="A104" s="42"/>
      <c r="B104" s="65" t="str">
        <f>TEXT(D103,"0,00%")&amp;"        "&amp;TEXT(E103,"0,00%")</f>
        <v>1,14%        0,93%</v>
      </c>
      <c r="C104" s="92"/>
      <c r="D104" s="73"/>
      <c r="E104" s="72"/>
      <c r="F104" s="72"/>
      <c r="G104" s="165"/>
      <c r="H104" s="176"/>
      <c r="I104" s="176"/>
      <c r="J104" s="165"/>
      <c r="K104" s="176"/>
      <c r="L104" s="176"/>
      <c r="M104" s="165"/>
      <c r="N104" s="176"/>
      <c r="O104" s="176"/>
      <c r="P104" s="165"/>
      <c r="Q104" s="176"/>
      <c r="R104" s="176"/>
      <c r="S104" s="165"/>
      <c r="T104" s="176"/>
      <c r="U104" s="176"/>
      <c r="V104" s="165"/>
      <c r="W104" s="176"/>
      <c r="X104" s="176"/>
      <c r="Y104" s="165"/>
      <c r="Z104" s="176"/>
      <c r="AA104" s="176"/>
      <c r="AB104" s="165"/>
      <c r="AC104" s="176"/>
      <c r="AD104" s="176"/>
      <c r="AE104" s="165"/>
      <c r="AF104" s="176"/>
      <c r="AG104" s="166"/>
      <c r="AH104" s="8" t="str">
        <f>+AH103</f>
        <v>Imprime</v>
      </c>
    </row>
    <row r="105" spans="1:34" x14ac:dyDescent="0.2">
      <c r="A105" s="628" t="str">
        <f>'Matriz de Pesos e Notas'!A105</f>
        <v>Nome da Atividade 2 da Unidade 6</v>
      </c>
      <c r="B105" s="629"/>
      <c r="C105" s="92">
        <f>IF(ISTEXT('Matriz de Pesos e Notas'!C105),letrapeso('Matriz de Pesos e Notas'!C105)/SUM(letrapeso('Matriz de Pesos e Notas'!C103)+letrapeso('Matriz de Pesos e Notas'!C105)+letrapeso('Matriz de Pesos e Notas'!C107)+letrapeso('Matriz de Pesos e Notas'!C109)+letrapeso('Matriz de Pesos e Notas'!C111)+letrapeso('Matriz de Pesos e Notas'!C113)+letrapeso('Matriz de Pesos e Notas'!C115))*C101,0)</f>
        <v>0</v>
      </c>
      <c r="D105" s="85">
        <f>G105+J105+M105+P105+S105+V105+Y105+AB105+AE105</f>
        <v>0</v>
      </c>
      <c r="E105" s="85">
        <f>H105+K105+N105+Q105+T105+W105+Z105+AC105+AF105</f>
        <v>0</v>
      </c>
      <c r="F105" s="72"/>
      <c r="G105" s="163">
        <f>IF($C105,'Matriz de Pesos e Notas'!BL105/'Matriz de Pesos e Notas'!$CM105*'Matriz de Pesos e Notas'!$A$145*$C105,0)</f>
        <v>0</v>
      </c>
      <c r="H105" s="175">
        <f>IF($C105,'Matriz de Pesos e Notas'!BM105/'Matriz de Pesos e Notas'!$CN105*'Matriz de Pesos e Notas'!$A$146*$C105,0)</f>
        <v>0</v>
      </c>
      <c r="I105" s="175"/>
      <c r="J105" s="163">
        <f>IF($C105,'Matriz de Pesos e Notas'!BO105/'Matriz de Pesos e Notas'!$CM105*'Matriz de Pesos e Notas'!$A$145*$C105,0)</f>
        <v>0</v>
      </c>
      <c r="K105" s="175">
        <f>IF($C105,'Matriz de Pesos e Notas'!BP105/'Matriz de Pesos e Notas'!$CN105*'Matriz de Pesos e Notas'!$A$146*$C105,0)</f>
        <v>0</v>
      </c>
      <c r="L105" s="175"/>
      <c r="M105" s="163">
        <f>IF($C105,'Matriz de Pesos e Notas'!BR105/'Matriz de Pesos e Notas'!$CM105*'Matriz de Pesos e Notas'!$A$145*$C105,0)</f>
        <v>0</v>
      </c>
      <c r="N105" s="175">
        <f>IF($C105,'Matriz de Pesos e Notas'!BS105/'Matriz de Pesos e Notas'!$CN105*'Matriz de Pesos e Notas'!$A$146*$C105,0)</f>
        <v>0</v>
      </c>
      <c r="O105" s="175"/>
      <c r="P105" s="163">
        <f>IF($C105,'Matriz de Pesos e Notas'!BU105/'Matriz de Pesos e Notas'!$CM105*'Matriz de Pesos e Notas'!$A$145*$C105,0)</f>
        <v>0</v>
      </c>
      <c r="Q105" s="175">
        <f>IF($C105,'Matriz de Pesos e Notas'!BV105/'Matriz de Pesos e Notas'!$CN105*'Matriz de Pesos e Notas'!$A$146*$C105,0)</f>
        <v>0</v>
      </c>
      <c r="R105" s="175"/>
      <c r="S105" s="163">
        <f>IF($C105,'Matriz de Pesos e Notas'!BX105/'Matriz de Pesos e Notas'!$CM105*'Matriz de Pesos e Notas'!$A$145*$C105,0)</f>
        <v>0</v>
      </c>
      <c r="T105" s="175">
        <f>IF($C105,'Matriz de Pesos e Notas'!BY105/'Matriz de Pesos e Notas'!$CN105*'Matriz de Pesos e Notas'!$A$146*$C105,0)</f>
        <v>0</v>
      </c>
      <c r="U105" s="175"/>
      <c r="V105" s="163">
        <f>IF($C105,'Matriz de Pesos e Notas'!CA105/'Matriz de Pesos e Notas'!$CM105*'Matriz de Pesos e Notas'!$A$145*$C105,0)</f>
        <v>0</v>
      </c>
      <c r="W105" s="175">
        <f>IF($C105,'Matriz de Pesos e Notas'!CB105/'Matriz de Pesos e Notas'!$CN105*'Matriz de Pesos e Notas'!$A$146*$C105,0)</f>
        <v>0</v>
      </c>
      <c r="X105" s="175"/>
      <c r="Y105" s="163">
        <f>IF($C105,'Matriz de Pesos e Notas'!CD105/'Matriz de Pesos e Notas'!$CM105*'Matriz de Pesos e Notas'!$A$145*$C105,0)</f>
        <v>0</v>
      </c>
      <c r="Z105" s="175">
        <f>IF($C105,'Matriz de Pesos e Notas'!CE105/'Matriz de Pesos e Notas'!$CN105*'Matriz de Pesos e Notas'!$A$146*$C105,0)</f>
        <v>0</v>
      </c>
      <c r="AA105" s="175"/>
      <c r="AB105" s="163">
        <f>IF($C105,'Matriz de Pesos e Notas'!CG105/'Matriz de Pesos e Notas'!$CM105*'Matriz de Pesos e Notas'!$A$145*$C105,0)</f>
        <v>0</v>
      </c>
      <c r="AC105" s="175">
        <f>IF($C105,'Matriz de Pesos e Notas'!CH105/'Matriz de Pesos e Notas'!$CN105*'Matriz de Pesos e Notas'!$A$146*$C105,0)</f>
        <v>0</v>
      </c>
      <c r="AD105" s="175"/>
      <c r="AE105" s="163">
        <f>IF($C105,'Matriz de Pesos e Notas'!CJ105/'Matriz de Pesos e Notas'!$CM105*'Matriz de Pesos e Notas'!$A$145*$C105,0)</f>
        <v>0</v>
      </c>
      <c r="AF105" s="175">
        <f>IF($C105,'Matriz de Pesos e Notas'!CK105/'Matriz de Pesos e Notas'!$CN105*'Matriz de Pesos e Notas'!$A$146*$C105,0)</f>
        <v>0</v>
      </c>
      <c r="AG105" s="164"/>
      <c r="AH105" s="4" t="str">
        <f>IF(C105,"Imprime","Não Imprime")</f>
        <v>Não Imprime</v>
      </c>
    </row>
    <row r="106" spans="1:34" x14ac:dyDescent="0.2">
      <c r="A106" s="43"/>
      <c r="B106" s="65" t="str">
        <f>TEXT(D105,"0,00%")&amp;"        "&amp;TEXT(E105,"0,00%")</f>
        <v>0,00%        0,00%</v>
      </c>
      <c r="C106" s="92"/>
      <c r="D106" s="73"/>
      <c r="E106" s="72"/>
      <c r="F106" s="72"/>
      <c r="G106" s="165"/>
      <c r="H106" s="176"/>
      <c r="I106" s="176"/>
      <c r="J106" s="165"/>
      <c r="K106" s="176"/>
      <c r="L106" s="176"/>
      <c r="M106" s="165"/>
      <c r="N106" s="176"/>
      <c r="O106" s="176"/>
      <c r="P106" s="165"/>
      <c r="Q106" s="176"/>
      <c r="R106" s="176"/>
      <c r="S106" s="165"/>
      <c r="T106" s="176"/>
      <c r="U106" s="176"/>
      <c r="V106" s="165"/>
      <c r="W106" s="176"/>
      <c r="X106" s="176"/>
      <c r="Y106" s="165"/>
      <c r="Z106" s="176"/>
      <c r="AA106" s="176"/>
      <c r="AB106" s="165"/>
      <c r="AC106" s="176"/>
      <c r="AD106" s="176"/>
      <c r="AE106" s="165"/>
      <c r="AF106" s="176"/>
      <c r="AG106" s="166"/>
      <c r="AH106" s="8" t="str">
        <f>+AH105</f>
        <v>Não Imprime</v>
      </c>
    </row>
    <row r="107" spans="1:34" x14ac:dyDescent="0.2">
      <c r="A107" s="628" t="str">
        <f>'Matriz de Pesos e Notas'!A107</f>
        <v>Nome da Atividade 3 da Unidade 6</v>
      </c>
      <c r="B107" s="629"/>
      <c r="C107" s="92">
        <f>IF(ISTEXT('Matriz de Pesos e Notas'!C107),letrapeso('Matriz de Pesos e Notas'!C107)/SUM(letrapeso('Matriz de Pesos e Notas'!C103)+letrapeso('Matriz de Pesos e Notas'!C105)+letrapeso('Matriz de Pesos e Notas'!C107)+letrapeso('Matriz de Pesos e Notas'!C109)+letrapeso('Matriz de Pesos e Notas'!C111)+letrapeso('Matriz de Pesos e Notas'!C113)+letrapeso('Matriz de Pesos e Notas'!C115))*C101,0)</f>
        <v>0</v>
      </c>
      <c r="D107" s="85">
        <f>G107+J107+M107+P107+S107+V107+Y107+AB107+AE107</f>
        <v>0</v>
      </c>
      <c r="E107" s="85">
        <f>H107+K107+N107+Q107+T107+W107+Z107+AC107+AF107</f>
        <v>0</v>
      </c>
      <c r="F107" s="72"/>
      <c r="G107" s="163">
        <f>IF($C107,'Matriz de Pesos e Notas'!BL107/'Matriz de Pesos e Notas'!$CM107*'Matriz de Pesos e Notas'!$A$145*$C107,0)</f>
        <v>0</v>
      </c>
      <c r="H107" s="175">
        <f>IF($C107,'Matriz de Pesos e Notas'!BM107/'Matriz de Pesos e Notas'!$CN107*'Matriz de Pesos e Notas'!$A$146*$C107,0)</f>
        <v>0</v>
      </c>
      <c r="I107" s="175"/>
      <c r="J107" s="163">
        <f>IF($C107,'Matriz de Pesos e Notas'!BO107/'Matriz de Pesos e Notas'!$CM107*'Matriz de Pesos e Notas'!$A$145*$C107,0)</f>
        <v>0</v>
      </c>
      <c r="K107" s="175">
        <f>IF($C107,'Matriz de Pesos e Notas'!BP107/'Matriz de Pesos e Notas'!$CN107*'Matriz de Pesos e Notas'!$A$146*$C107,0)</f>
        <v>0</v>
      </c>
      <c r="L107" s="175"/>
      <c r="M107" s="163">
        <f>IF($C107,'Matriz de Pesos e Notas'!BR107/'Matriz de Pesos e Notas'!$CM107*'Matriz de Pesos e Notas'!$A$145*$C107,0)</f>
        <v>0</v>
      </c>
      <c r="N107" s="175">
        <f>IF($C107,'Matriz de Pesos e Notas'!BS107/'Matriz de Pesos e Notas'!$CN107*'Matriz de Pesos e Notas'!$A$146*$C107,0)</f>
        <v>0</v>
      </c>
      <c r="O107" s="175"/>
      <c r="P107" s="163">
        <f>IF($C107,'Matriz de Pesos e Notas'!BU107/'Matriz de Pesos e Notas'!$CM107*'Matriz de Pesos e Notas'!$A$145*$C107,0)</f>
        <v>0</v>
      </c>
      <c r="Q107" s="175">
        <f>IF($C107,'Matriz de Pesos e Notas'!BV107/'Matriz de Pesos e Notas'!$CN107*'Matriz de Pesos e Notas'!$A$146*$C107,0)</f>
        <v>0</v>
      </c>
      <c r="R107" s="175"/>
      <c r="S107" s="163">
        <f>IF($C107,'Matriz de Pesos e Notas'!BX107/'Matriz de Pesos e Notas'!$CM107*'Matriz de Pesos e Notas'!$A$145*$C107,0)</f>
        <v>0</v>
      </c>
      <c r="T107" s="175">
        <f>IF($C107,'Matriz de Pesos e Notas'!BY107/'Matriz de Pesos e Notas'!$CN107*'Matriz de Pesos e Notas'!$A$146*$C107,0)</f>
        <v>0</v>
      </c>
      <c r="U107" s="175"/>
      <c r="V107" s="163">
        <f>IF($C107,'Matriz de Pesos e Notas'!CA107/'Matriz de Pesos e Notas'!$CM107*'Matriz de Pesos e Notas'!$A$145*$C107,0)</f>
        <v>0</v>
      </c>
      <c r="W107" s="175">
        <f>IF($C107,'Matriz de Pesos e Notas'!CB107/'Matriz de Pesos e Notas'!$CN107*'Matriz de Pesos e Notas'!$A$146*$C107,0)</f>
        <v>0</v>
      </c>
      <c r="X107" s="175"/>
      <c r="Y107" s="163">
        <f>IF($C107,'Matriz de Pesos e Notas'!CD107/'Matriz de Pesos e Notas'!$CM107*'Matriz de Pesos e Notas'!$A$145*$C107,0)</f>
        <v>0</v>
      </c>
      <c r="Z107" s="175">
        <f>IF($C107,'Matriz de Pesos e Notas'!CE107/'Matriz de Pesos e Notas'!$CN107*'Matriz de Pesos e Notas'!$A$146*$C107,0)</f>
        <v>0</v>
      </c>
      <c r="AA107" s="175"/>
      <c r="AB107" s="163">
        <f>IF($C107,'Matriz de Pesos e Notas'!CG107/'Matriz de Pesos e Notas'!$CM107*'Matriz de Pesos e Notas'!$A$145*$C107,0)</f>
        <v>0</v>
      </c>
      <c r="AC107" s="175">
        <f>IF($C107,'Matriz de Pesos e Notas'!CH107/'Matriz de Pesos e Notas'!$CN107*'Matriz de Pesos e Notas'!$A$146*$C107,0)</f>
        <v>0</v>
      </c>
      <c r="AD107" s="175"/>
      <c r="AE107" s="163">
        <f>IF($C107,'Matriz de Pesos e Notas'!CJ107/'Matriz de Pesos e Notas'!$CM107*'Matriz de Pesos e Notas'!$A$145*$C107,0)</f>
        <v>0</v>
      </c>
      <c r="AF107" s="175">
        <f>IF($C107,'Matriz de Pesos e Notas'!CK107/'Matriz de Pesos e Notas'!$CN107*'Matriz de Pesos e Notas'!$A$146*$C107,0)</f>
        <v>0</v>
      </c>
      <c r="AG107" s="164"/>
      <c r="AH107" s="4" t="str">
        <f>IF(C107,"Imprime","Não Imprime")</f>
        <v>Não Imprime</v>
      </c>
    </row>
    <row r="108" spans="1:34" x14ac:dyDescent="0.2">
      <c r="A108" s="43"/>
      <c r="B108" s="65" t="str">
        <f>TEXT(D107,"0,00%")&amp;"        "&amp;TEXT(E107,"0,00%")</f>
        <v>0,00%        0,00%</v>
      </c>
      <c r="C108" s="92"/>
      <c r="D108" s="73"/>
      <c r="E108" s="72"/>
      <c r="F108" s="72"/>
      <c r="G108" s="165"/>
      <c r="H108" s="176"/>
      <c r="I108" s="176"/>
      <c r="J108" s="165"/>
      <c r="K108" s="176"/>
      <c r="L108" s="176"/>
      <c r="M108" s="165"/>
      <c r="N108" s="176"/>
      <c r="O108" s="176"/>
      <c r="P108" s="165"/>
      <c r="Q108" s="176"/>
      <c r="R108" s="176"/>
      <c r="S108" s="165"/>
      <c r="T108" s="176"/>
      <c r="U108" s="176"/>
      <c r="V108" s="165"/>
      <c r="W108" s="176"/>
      <c r="X108" s="176"/>
      <c r="Y108" s="165"/>
      <c r="Z108" s="176"/>
      <c r="AA108" s="176"/>
      <c r="AB108" s="165"/>
      <c r="AC108" s="176"/>
      <c r="AD108" s="176"/>
      <c r="AE108" s="165"/>
      <c r="AF108" s="176"/>
      <c r="AG108" s="166"/>
      <c r="AH108" s="8" t="str">
        <f>+AH107</f>
        <v>Não Imprime</v>
      </c>
    </row>
    <row r="109" spans="1:34" x14ac:dyDescent="0.2">
      <c r="A109" s="628" t="str">
        <f>'Matriz de Pesos e Notas'!A109</f>
        <v>Nome da Atividade 4 da Unidade 6</v>
      </c>
      <c r="B109" s="629"/>
      <c r="C109" s="92">
        <f>IF(ISTEXT('Matriz de Pesos e Notas'!C109),letrapeso('Matriz de Pesos e Notas'!C109)/SUM(letrapeso('Matriz de Pesos e Notas'!C103)+letrapeso('Matriz de Pesos e Notas'!C105)+letrapeso('Matriz de Pesos e Notas'!C107)+letrapeso('Matriz de Pesos e Notas'!C109)+letrapeso('Matriz de Pesos e Notas'!C111)+letrapeso('Matriz de Pesos e Notas'!C113)+letrapeso('Matriz de Pesos e Notas'!C115))*C101,0)</f>
        <v>0</v>
      </c>
      <c r="D109" s="85">
        <f>G109+J109+M109+P109+S109+V109+Y109+AB109+AE109</f>
        <v>0</v>
      </c>
      <c r="E109" s="85">
        <f>H109+K109+N109+Q109+T109+W109+Z109+AC109+AF109</f>
        <v>0</v>
      </c>
      <c r="F109" s="72"/>
      <c r="G109" s="163">
        <f>IF($C109,'Matriz de Pesos e Notas'!BL109/'Matriz de Pesos e Notas'!$CM109*'Matriz de Pesos e Notas'!$A$145*$C109,0)</f>
        <v>0</v>
      </c>
      <c r="H109" s="175">
        <f>IF($C109,'Matriz de Pesos e Notas'!BM109/'Matriz de Pesos e Notas'!$CN109*'Matriz de Pesos e Notas'!$A$146*$C109,0)</f>
        <v>0</v>
      </c>
      <c r="I109" s="175"/>
      <c r="J109" s="163">
        <f>IF($C109,'Matriz de Pesos e Notas'!BO109/'Matriz de Pesos e Notas'!$CM109*'Matriz de Pesos e Notas'!$A$145*$C109,0)</f>
        <v>0</v>
      </c>
      <c r="K109" s="175">
        <f>IF($C109,'Matriz de Pesos e Notas'!BP109/'Matriz de Pesos e Notas'!$CN109*'Matriz de Pesos e Notas'!$A$146*$C109,0)</f>
        <v>0</v>
      </c>
      <c r="L109" s="175"/>
      <c r="M109" s="163">
        <f>IF($C109,'Matriz de Pesos e Notas'!BR109/'Matriz de Pesos e Notas'!$CM109*'Matriz de Pesos e Notas'!$A$145*$C109,0)</f>
        <v>0</v>
      </c>
      <c r="N109" s="175">
        <f>IF($C109,'Matriz de Pesos e Notas'!BS109/'Matriz de Pesos e Notas'!$CN109*'Matriz de Pesos e Notas'!$A$146*$C109,0)</f>
        <v>0</v>
      </c>
      <c r="O109" s="175"/>
      <c r="P109" s="163">
        <f>IF($C109,'Matriz de Pesos e Notas'!BU109/'Matriz de Pesos e Notas'!$CM109*'Matriz de Pesos e Notas'!$A$145*$C109,0)</f>
        <v>0</v>
      </c>
      <c r="Q109" s="175">
        <f>IF($C109,'Matriz de Pesos e Notas'!BV109/'Matriz de Pesos e Notas'!$CN109*'Matriz de Pesos e Notas'!$A$146*$C109,0)</f>
        <v>0</v>
      </c>
      <c r="R109" s="175"/>
      <c r="S109" s="163">
        <f>IF($C109,'Matriz de Pesos e Notas'!BX109/'Matriz de Pesos e Notas'!$CM109*'Matriz de Pesos e Notas'!$A$145*$C109,0)</f>
        <v>0</v>
      </c>
      <c r="T109" s="175">
        <f>IF($C109,'Matriz de Pesos e Notas'!BY109/'Matriz de Pesos e Notas'!$CN109*'Matriz de Pesos e Notas'!$A$146*$C109,0)</f>
        <v>0</v>
      </c>
      <c r="U109" s="175"/>
      <c r="V109" s="163">
        <f>IF($C109,'Matriz de Pesos e Notas'!CA109/'Matriz de Pesos e Notas'!$CM109*'Matriz de Pesos e Notas'!$A$145*$C109,0)</f>
        <v>0</v>
      </c>
      <c r="W109" s="175">
        <f>IF($C109,'Matriz de Pesos e Notas'!CB109/'Matriz de Pesos e Notas'!$CN109*'Matriz de Pesos e Notas'!$A$146*$C109,0)</f>
        <v>0</v>
      </c>
      <c r="X109" s="175"/>
      <c r="Y109" s="163">
        <f>IF($C109,'Matriz de Pesos e Notas'!CD109/'Matriz de Pesos e Notas'!$CM109*'Matriz de Pesos e Notas'!$A$145*$C109,0)</f>
        <v>0</v>
      </c>
      <c r="Z109" s="175">
        <f>IF($C109,'Matriz de Pesos e Notas'!CE109/'Matriz de Pesos e Notas'!$CN109*'Matriz de Pesos e Notas'!$A$146*$C109,0)</f>
        <v>0</v>
      </c>
      <c r="AA109" s="175"/>
      <c r="AB109" s="163">
        <f>IF($C109,'Matriz de Pesos e Notas'!CG109/'Matriz de Pesos e Notas'!$CM109*'Matriz de Pesos e Notas'!$A$145*$C109,0)</f>
        <v>0</v>
      </c>
      <c r="AC109" s="175">
        <f>IF($C109,'Matriz de Pesos e Notas'!CH109/'Matriz de Pesos e Notas'!$CN109*'Matriz de Pesos e Notas'!$A$146*$C109,0)</f>
        <v>0</v>
      </c>
      <c r="AD109" s="175"/>
      <c r="AE109" s="163">
        <f>IF($C109,'Matriz de Pesos e Notas'!CJ109/'Matriz de Pesos e Notas'!$CM109*'Matriz de Pesos e Notas'!$A$145*$C109,0)</f>
        <v>0</v>
      </c>
      <c r="AF109" s="175">
        <f>IF($C109,'Matriz de Pesos e Notas'!CK109/'Matriz de Pesos e Notas'!$CN109*'Matriz de Pesos e Notas'!$A$146*$C109,0)</f>
        <v>0</v>
      </c>
      <c r="AG109" s="164"/>
      <c r="AH109" s="1" t="str">
        <f>IF(C109,"Imprime","Não Imprime")</f>
        <v>Não Imprime</v>
      </c>
    </row>
    <row r="110" spans="1:34" x14ac:dyDescent="0.2">
      <c r="A110" s="43"/>
      <c r="B110" s="65" t="str">
        <f>TEXT(D109,"0,00%")&amp;"        "&amp;TEXT(E109,"0,00%")</f>
        <v>0,00%        0,00%</v>
      </c>
      <c r="C110" s="92"/>
      <c r="D110" s="74"/>
      <c r="E110" s="74"/>
      <c r="F110" s="86"/>
      <c r="G110" s="165"/>
      <c r="H110" s="176"/>
      <c r="I110" s="176"/>
      <c r="J110" s="165"/>
      <c r="K110" s="176"/>
      <c r="L110" s="176"/>
      <c r="M110" s="165"/>
      <c r="N110" s="176"/>
      <c r="O110" s="176"/>
      <c r="P110" s="165"/>
      <c r="Q110" s="176"/>
      <c r="R110" s="176"/>
      <c r="S110" s="165"/>
      <c r="T110" s="176"/>
      <c r="U110" s="176"/>
      <c r="V110" s="165"/>
      <c r="W110" s="176"/>
      <c r="X110" s="176"/>
      <c r="Y110" s="165"/>
      <c r="Z110" s="176"/>
      <c r="AA110" s="176"/>
      <c r="AB110" s="165"/>
      <c r="AC110" s="176"/>
      <c r="AD110" s="176"/>
      <c r="AE110" s="165"/>
      <c r="AF110" s="176"/>
      <c r="AG110" s="166"/>
      <c r="AH110" s="8" t="str">
        <f>+AH109</f>
        <v>Não Imprime</v>
      </c>
    </row>
    <row r="111" spans="1:34" x14ac:dyDescent="0.2">
      <c r="A111" s="628" t="str">
        <f>'Matriz de Pesos e Notas'!A111</f>
        <v>Nome da Atividade 5 da Unidade 6</v>
      </c>
      <c r="B111" s="629"/>
      <c r="C111" s="92">
        <f>IF(ISTEXT('Matriz de Pesos e Notas'!C111),letrapeso('Matriz de Pesos e Notas'!C111)/SUM(letrapeso('Matriz de Pesos e Notas'!C103)+letrapeso('Matriz de Pesos e Notas'!C105)+letrapeso('Matriz de Pesos e Notas'!C107)+letrapeso('Matriz de Pesos e Notas'!C109)+letrapeso('Matriz de Pesos e Notas'!C111)+letrapeso('Matriz de Pesos e Notas'!C113)+letrapeso('Matriz de Pesos e Notas'!C115))*C101,0)</f>
        <v>0</v>
      </c>
      <c r="D111" s="85">
        <f>G111+J111+M111+P111+S111+V111+Y111+AB111+AE111</f>
        <v>0</v>
      </c>
      <c r="E111" s="85">
        <f>H111+K111+N111+Q111+T111+W111+Z111+AC111+AF111</f>
        <v>0</v>
      </c>
      <c r="F111" s="72"/>
      <c r="G111" s="163">
        <f>IF($C111,'Matriz de Pesos e Notas'!BL111/'Matriz de Pesos e Notas'!$CM111*'Matriz de Pesos e Notas'!$A$145*$C111,0)</f>
        <v>0</v>
      </c>
      <c r="H111" s="175">
        <f>IF($C111,'Matriz de Pesos e Notas'!BM111/'Matriz de Pesos e Notas'!$CN111*'Matriz de Pesos e Notas'!$A$146*$C111,0)</f>
        <v>0</v>
      </c>
      <c r="I111" s="175"/>
      <c r="J111" s="163">
        <f>IF($C111,'Matriz de Pesos e Notas'!BO111/'Matriz de Pesos e Notas'!$CM111*'Matriz de Pesos e Notas'!$A$145*$C111,0)</f>
        <v>0</v>
      </c>
      <c r="K111" s="175">
        <f>IF($C111,'Matriz de Pesos e Notas'!BP111/'Matriz de Pesos e Notas'!$CN111*'Matriz de Pesos e Notas'!$A$146*$C111,0)</f>
        <v>0</v>
      </c>
      <c r="L111" s="175"/>
      <c r="M111" s="163">
        <f>IF($C111,'Matriz de Pesos e Notas'!BR111/'Matriz de Pesos e Notas'!$CM111*'Matriz de Pesos e Notas'!$A$145*$C111,0)</f>
        <v>0</v>
      </c>
      <c r="N111" s="175">
        <f>IF($C111,'Matriz de Pesos e Notas'!BS111/'Matriz de Pesos e Notas'!$CN111*'Matriz de Pesos e Notas'!$A$146*$C111,0)</f>
        <v>0</v>
      </c>
      <c r="O111" s="175"/>
      <c r="P111" s="163">
        <f>IF($C111,'Matriz de Pesos e Notas'!BU111/'Matriz de Pesos e Notas'!$CM111*'Matriz de Pesos e Notas'!$A$145*$C111,0)</f>
        <v>0</v>
      </c>
      <c r="Q111" s="175">
        <f>IF($C111,'Matriz de Pesos e Notas'!BV111/'Matriz de Pesos e Notas'!$CN111*'Matriz de Pesos e Notas'!$A$146*$C111,0)</f>
        <v>0</v>
      </c>
      <c r="R111" s="175"/>
      <c r="S111" s="163">
        <f>IF($C111,'Matriz de Pesos e Notas'!BX111/'Matriz de Pesos e Notas'!$CM111*'Matriz de Pesos e Notas'!$A$145*$C111,0)</f>
        <v>0</v>
      </c>
      <c r="T111" s="175">
        <f>IF($C111,'Matriz de Pesos e Notas'!BY111/'Matriz de Pesos e Notas'!$CN111*'Matriz de Pesos e Notas'!$A$146*$C111,0)</f>
        <v>0</v>
      </c>
      <c r="U111" s="175"/>
      <c r="V111" s="163">
        <f>IF($C111,'Matriz de Pesos e Notas'!CA111/'Matriz de Pesos e Notas'!$CM111*'Matriz de Pesos e Notas'!$A$145*$C111,0)</f>
        <v>0</v>
      </c>
      <c r="W111" s="175">
        <f>IF($C111,'Matriz de Pesos e Notas'!CB111/'Matriz de Pesos e Notas'!$CN111*'Matriz de Pesos e Notas'!$A$146*$C111,0)</f>
        <v>0</v>
      </c>
      <c r="X111" s="175"/>
      <c r="Y111" s="163">
        <f>IF($C111,'Matriz de Pesos e Notas'!CD111/'Matriz de Pesos e Notas'!$CM111*'Matriz de Pesos e Notas'!$A$145*$C111,0)</f>
        <v>0</v>
      </c>
      <c r="Z111" s="175">
        <f>IF($C111,'Matriz de Pesos e Notas'!CE111/'Matriz de Pesos e Notas'!$CN111*'Matriz de Pesos e Notas'!$A$146*$C111,0)</f>
        <v>0</v>
      </c>
      <c r="AA111" s="175"/>
      <c r="AB111" s="163">
        <f>IF($C111,'Matriz de Pesos e Notas'!CG111/'Matriz de Pesos e Notas'!$CM111*'Matriz de Pesos e Notas'!$A$145*$C111,0)</f>
        <v>0</v>
      </c>
      <c r="AC111" s="175">
        <f>IF($C111,'Matriz de Pesos e Notas'!CH111/'Matriz de Pesos e Notas'!$CN111*'Matriz de Pesos e Notas'!$A$146*$C111,0)</f>
        <v>0</v>
      </c>
      <c r="AD111" s="175"/>
      <c r="AE111" s="163">
        <f>IF($C111,'Matriz de Pesos e Notas'!CJ111/'Matriz de Pesos e Notas'!$CM111*'Matriz de Pesos e Notas'!$A$145*$C111,0)</f>
        <v>0</v>
      </c>
      <c r="AF111" s="175">
        <f>IF($C111,'Matriz de Pesos e Notas'!CK111/'Matriz de Pesos e Notas'!$CN111*'Matriz de Pesos e Notas'!$A$146*$C111,0)</f>
        <v>0</v>
      </c>
      <c r="AG111" s="164"/>
      <c r="AH111" s="1" t="str">
        <f>IF(C111,"Imprime","Não Imprime")</f>
        <v>Não Imprime</v>
      </c>
    </row>
    <row r="112" spans="1:34" x14ac:dyDescent="0.2">
      <c r="A112" s="43"/>
      <c r="B112" s="65" t="str">
        <f>TEXT(D111,"0,00%")&amp;"        "&amp;TEXT(E111,"0,00%")</f>
        <v>0,00%        0,00%</v>
      </c>
      <c r="C112" s="92"/>
      <c r="D112" s="74"/>
      <c r="E112" s="74"/>
      <c r="F112" s="86"/>
      <c r="G112" s="165"/>
      <c r="H112" s="176"/>
      <c r="I112" s="176"/>
      <c r="J112" s="165"/>
      <c r="K112" s="176"/>
      <c r="L112" s="176"/>
      <c r="M112" s="165"/>
      <c r="N112" s="176"/>
      <c r="O112" s="176"/>
      <c r="P112" s="165"/>
      <c r="Q112" s="176"/>
      <c r="R112" s="176"/>
      <c r="S112" s="165"/>
      <c r="T112" s="176"/>
      <c r="U112" s="176"/>
      <c r="V112" s="165"/>
      <c r="W112" s="176"/>
      <c r="X112" s="176"/>
      <c r="Y112" s="165"/>
      <c r="Z112" s="176"/>
      <c r="AA112" s="176"/>
      <c r="AB112" s="165"/>
      <c r="AC112" s="176"/>
      <c r="AD112" s="176"/>
      <c r="AE112" s="165"/>
      <c r="AF112" s="176"/>
      <c r="AG112" s="166"/>
      <c r="AH112" s="8" t="str">
        <f>+AH111</f>
        <v>Não Imprime</v>
      </c>
    </row>
    <row r="113" spans="1:34" x14ac:dyDescent="0.2">
      <c r="A113" s="628" t="str">
        <f>'Matriz de Pesos e Notas'!A113</f>
        <v>Nome da Atividade 6 da Unidade 6</v>
      </c>
      <c r="B113" s="629"/>
      <c r="C113" s="92">
        <f>IF(ISTEXT('Matriz de Pesos e Notas'!C113),letrapeso('Matriz de Pesos e Notas'!C113)/SUM(letrapeso('Matriz de Pesos e Notas'!C103)+letrapeso('Matriz de Pesos e Notas'!C105)+letrapeso('Matriz de Pesos e Notas'!C107)+letrapeso('Matriz de Pesos e Notas'!C109)+letrapeso('Matriz de Pesos e Notas'!C111)+letrapeso('Matriz de Pesos e Notas'!C113)+letrapeso('Matriz de Pesos e Notas'!C115))*C101,0)</f>
        <v>0</v>
      </c>
      <c r="D113" s="85">
        <f>G113+J113+M113+P113+S113+V113+Y113+AB113+AE113</f>
        <v>0</v>
      </c>
      <c r="E113" s="85">
        <f>H113+K113+N113+Q113+T113+W113+Z113+AC113+AF113</f>
        <v>0</v>
      </c>
      <c r="F113" s="72"/>
      <c r="G113" s="163">
        <f>IF($C113,'Matriz de Pesos e Notas'!BL113/'Matriz de Pesos e Notas'!$CM113*'Matriz de Pesos e Notas'!$A$145*$C113,0)</f>
        <v>0</v>
      </c>
      <c r="H113" s="175">
        <f>IF($C113,'Matriz de Pesos e Notas'!BM113/'Matriz de Pesos e Notas'!$CN113*'Matriz de Pesos e Notas'!$A$146*$C113,0)</f>
        <v>0</v>
      </c>
      <c r="I113" s="175"/>
      <c r="J113" s="163">
        <f>IF($C113,'Matriz de Pesos e Notas'!BO113/'Matriz de Pesos e Notas'!$CM113*'Matriz de Pesos e Notas'!$A$145*$C113,0)</f>
        <v>0</v>
      </c>
      <c r="K113" s="175">
        <f>IF($C113,'Matriz de Pesos e Notas'!BP113/'Matriz de Pesos e Notas'!$CN113*'Matriz de Pesos e Notas'!$A$146*$C113,0)</f>
        <v>0</v>
      </c>
      <c r="L113" s="175"/>
      <c r="M113" s="163">
        <f>IF($C113,'Matriz de Pesos e Notas'!BR113/'Matriz de Pesos e Notas'!$CM113*'Matriz de Pesos e Notas'!$A$145*$C113,0)</f>
        <v>0</v>
      </c>
      <c r="N113" s="175">
        <f>IF($C113,'Matriz de Pesos e Notas'!BS113/'Matriz de Pesos e Notas'!$CN113*'Matriz de Pesos e Notas'!$A$146*$C113,0)</f>
        <v>0</v>
      </c>
      <c r="O113" s="175"/>
      <c r="P113" s="163">
        <f>IF($C113,'Matriz de Pesos e Notas'!BU113/'Matriz de Pesos e Notas'!$CM113*'Matriz de Pesos e Notas'!$A$145*$C113,0)</f>
        <v>0</v>
      </c>
      <c r="Q113" s="175">
        <f>IF($C113,'Matriz de Pesos e Notas'!BV113/'Matriz de Pesos e Notas'!$CN113*'Matriz de Pesos e Notas'!$A$146*$C113,0)</f>
        <v>0</v>
      </c>
      <c r="R113" s="175"/>
      <c r="S113" s="163">
        <f>IF($C113,'Matriz de Pesos e Notas'!BX113/'Matriz de Pesos e Notas'!$CM113*'Matriz de Pesos e Notas'!$A$145*$C113,0)</f>
        <v>0</v>
      </c>
      <c r="T113" s="175">
        <f>IF($C113,'Matriz de Pesos e Notas'!BY113/'Matriz de Pesos e Notas'!$CN113*'Matriz de Pesos e Notas'!$A$146*$C113,0)</f>
        <v>0</v>
      </c>
      <c r="U113" s="175"/>
      <c r="V113" s="163">
        <f>IF($C113,'Matriz de Pesos e Notas'!CA113/'Matriz de Pesos e Notas'!$CM113*'Matriz de Pesos e Notas'!$A$145*$C113,0)</f>
        <v>0</v>
      </c>
      <c r="W113" s="175">
        <f>IF($C113,'Matriz de Pesos e Notas'!CB113/'Matriz de Pesos e Notas'!$CN113*'Matriz de Pesos e Notas'!$A$146*$C113,0)</f>
        <v>0</v>
      </c>
      <c r="X113" s="175"/>
      <c r="Y113" s="163">
        <f>IF($C113,'Matriz de Pesos e Notas'!CD113/'Matriz de Pesos e Notas'!$CM113*'Matriz de Pesos e Notas'!$A$145*$C113,0)</f>
        <v>0</v>
      </c>
      <c r="Z113" s="175">
        <f>IF($C113,'Matriz de Pesos e Notas'!CE113/'Matriz de Pesos e Notas'!$CN113*'Matriz de Pesos e Notas'!$A$146*$C113,0)</f>
        <v>0</v>
      </c>
      <c r="AA113" s="175"/>
      <c r="AB113" s="163">
        <f>IF($C113,'Matriz de Pesos e Notas'!CG113/'Matriz de Pesos e Notas'!$CM113*'Matriz de Pesos e Notas'!$A$145*$C113,0)</f>
        <v>0</v>
      </c>
      <c r="AC113" s="175">
        <f>IF($C113,'Matriz de Pesos e Notas'!CH113/'Matriz de Pesos e Notas'!$CN113*'Matriz de Pesos e Notas'!$A$146*$C113,0)</f>
        <v>0</v>
      </c>
      <c r="AD113" s="175"/>
      <c r="AE113" s="163">
        <f>IF($C113,'Matriz de Pesos e Notas'!CJ113/'Matriz de Pesos e Notas'!$CM113*'Matriz de Pesos e Notas'!$A$145*$C113,0)</f>
        <v>0</v>
      </c>
      <c r="AF113" s="175">
        <f>IF($C113,'Matriz de Pesos e Notas'!CK113/'Matriz de Pesos e Notas'!$CN113*'Matriz de Pesos e Notas'!$A$146*$C113,0)</f>
        <v>0</v>
      </c>
      <c r="AG113" s="164"/>
      <c r="AH113" s="1" t="str">
        <f>IF(C113,"Imprime","Não Imprime")</f>
        <v>Não Imprime</v>
      </c>
    </row>
    <row r="114" spans="1:34" x14ac:dyDescent="0.2">
      <c r="A114" s="43"/>
      <c r="B114" s="65" t="str">
        <f>TEXT(D113,"0,00%")&amp;"        "&amp;TEXT(E113,"0,00%")</f>
        <v>0,00%        0,00%</v>
      </c>
      <c r="C114" s="92"/>
      <c r="D114" s="74"/>
      <c r="E114" s="74"/>
      <c r="F114" s="86"/>
      <c r="G114" s="165"/>
      <c r="H114" s="176"/>
      <c r="I114" s="176"/>
      <c r="J114" s="165"/>
      <c r="K114" s="176"/>
      <c r="L114" s="176"/>
      <c r="M114" s="165"/>
      <c r="N114" s="176"/>
      <c r="O114" s="176"/>
      <c r="P114" s="165"/>
      <c r="Q114" s="176"/>
      <c r="R114" s="176"/>
      <c r="S114" s="165"/>
      <c r="T114" s="176"/>
      <c r="U114" s="176"/>
      <c r="V114" s="165"/>
      <c r="W114" s="176"/>
      <c r="X114" s="176"/>
      <c r="Y114" s="165"/>
      <c r="Z114" s="176"/>
      <c r="AA114" s="176"/>
      <c r="AB114" s="165"/>
      <c r="AC114" s="176"/>
      <c r="AD114" s="176"/>
      <c r="AE114" s="165"/>
      <c r="AF114" s="176"/>
      <c r="AG114" s="166"/>
      <c r="AH114" s="8" t="str">
        <f>+AH113</f>
        <v>Não Imprime</v>
      </c>
    </row>
    <row r="115" spans="1:34" x14ac:dyDescent="0.2">
      <c r="A115" s="628" t="str">
        <f>'Matriz de Pesos e Notas'!A115</f>
        <v>Nome da Atividade 7 da Unidade 6</v>
      </c>
      <c r="B115" s="629"/>
      <c r="C115" s="92">
        <f>IF(ISTEXT('Matriz de Pesos e Notas'!C115),letrapeso('Matriz de Pesos e Notas'!C115)/SUM(letrapeso('Matriz de Pesos e Notas'!C103)+letrapeso('Matriz de Pesos e Notas'!C105)+letrapeso('Matriz de Pesos e Notas'!C107)+letrapeso('Matriz de Pesos e Notas'!C109)+letrapeso('Matriz de Pesos e Notas'!C111)+letrapeso('Matriz de Pesos e Notas'!C113)+letrapeso('Matriz de Pesos e Notas'!C115))*C101,0)</f>
        <v>0</v>
      </c>
      <c r="D115" s="85">
        <f>G115+J115+M115+P115+S115+V115+Y115+AB115+AE115</f>
        <v>0</v>
      </c>
      <c r="E115" s="85">
        <f>H115+K115+N115+Q115+T115+W115+Z115+AC115+AF115</f>
        <v>0</v>
      </c>
      <c r="F115" s="72"/>
      <c r="G115" s="163">
        <f>IF($C115,'Matriz de Pesos e Notas'!BL115/'Matriz de Pesos e Notas'!$CM115*'Matriz de Pesos e Notas'!$A$145*$C115,0)</f>
        <v>0</v>
      </c>
      <c r="H115" s="175">
        <f>IF($C115,'Matriz de Pesos e Notas'!BM115/'Matriz de Pesos e Notas'!$CN115*'Matriz de Pesos e Notas'!$A$146*$C115,0)</f>
        <v>0</v>
      </c>
      <c r="I115" s="175"/>
      <c r="J115" s="163">
        <f>IF($C115,'Matriz de Pesos e Notas'!BO115/'Matriz de Pesos e Notas'!$CM115*'Matriz de Pesos e Notas'!$A$145*$C115,0)</f>
        <v>0</v>
      </c>
      <c r="K115" s="175">
        <f>IF($C115,'Matriz de Pesos e Notas'!BP115/'Matriz de Pesos e Notas'!$CN115*'Matriz de Pesos e Notas'!$A$146*$C115,0)</f>
        <v>0</v>
      </c>
      <c r="L115" s="175"/>
      <c r="M115" s="163">
        <f>IF($C115,'Matriz de Pesos e Notas'!BR115/'Matriz de Pesos e Notas'!$CM115*'Matriz de Pesos e Notas'!$A$145*$C115,0)</f>
        <v>0</v>
      </c>
      <c r="N115" s="175">
        <f>IF($C115,'Matriz de Pesos e Notas'!BS115/'Matriz de Pesos e Notas'!$CN115*'Matriz de Pesos e Notas'!$A$146*$C115,0)</f>
        <v>0</v>
      </c>
      <c r="O115" s="175"/>
      <c r="P115" s="163">
        <f>IF($C115,'Matriz de Pesos e Notas'!BU115/'Matriz de Pesos e Notas'!$CM115*'Matriz de Pesos e Notas'!$A$145*$C115,0)</f>
        <v>0</v>
      </c>
      <c r="Q115" s="175">
        <f>IF($C115,'Matriz de Pesos e Notas'!BV115/'Matriz de Pesos e Notas'!$CN115*'Matriz de Pesos e Notas'!$A$146*$C115,0)</f>
        <v>0</v>
      </c>
      <c r="R115" s="175"/>
      <c r="S115" s="163">
        <f>IF($C115,'Matriz de Pesos e Notas'!BX115/'Matriz de Pesos e Notas'!$CM115*'Matriz de Pesos e Notas'!$A$145*$C115,0)</f>
        <v>0</v>
      </c>
      <c r="T115" s="175">
        <f>IF($C115,'Matriz de Pesos e Notas'!BY115/'Matriz de Pesos e Notas'!$CN115*'Matriz de Pesos e Notas'!$A$146*$C115,0)</f>
        <v>0</v>
      </c>
      <c r="U115" s="175"/>
      <c r="V115" s="163">
        <f>IF($C115,'Matriz de Pesos e Notas'!CA115/'Matriz de Pesos e Notas'!$CM115*'Matriz de Pesos e Notas'!$A$145*$C115,0)</f>
        <v>0</v>
      </c>
      <c r="W115" s="175">
        <f>IF($C115,'Matriz de Pesos e Notas'!CB115/'Matriz de Pesos e Notas'!$CN115*'Matriz de Pesos e Notas'!$A$146*$C115,0)</f>
        <v>0</v>
      </c>
      <c r="X115" s="175"/>
      <c r="Y115" s="163">
        <f>IF($C115,'Matriz de Pesos e Notas'!CD115/'Matriz de Pesos e Notas'!$CM115*'Matriz de Pesos e Notas'!$A$145*$C115,0)</f>
        <v>0</v>
      </c>
      <c r="Z115" s="175">
        <f>IF($C115,'Matriz de Pesos e Notas'!CE115/'Matriz de Pesos e Notas'!$CN115*'Matriz de Pesos e Notas'!$A$146*$C115,0)</f>
        <v>0</v>
      </c>
      <c r="AA115" s="175"/>
      <c r="AB115" s="163">
        <f>IF($C115,'Matriz de Pesos e Notas'!CG115/'Matriz de Pesos e Notas'!$CM115*'Matriz de Pesos e Notas'!$A$145*$C115,0)</f>
        <v>0</v>
      </c>
      <c r="AC115" s="175">
        <f>IF($C115,'Matriz de Pesos e Notas'!CH115/'Matriz de Pesos e Notas'!$CN115*'Matriz de Pesos e Notas'!$A$146*$C115,0)</f>
        <v>0</v>
      </c>
      <c r="AD115" s="175"/>
      <c r="AE115" s="163">
        <f>IF($C115,'Matriz de Pesos e Notas'!CJ115/'Matriz de Pesos e Notas'!$CM115*'Matriz de Pesos e Notas'!$A$145*$C115,0)</f>
        <v>0</v>
      </c>
      <c r="AF115" s="175">
        <f>IF($C115,'Matriz de Pesos e Notas'!CK115/'Matriz de Pesos e Notas'!$CN115*'Matriz de Pesos e Notas'!$A$146*$C115,0)</f>
        <v>0</v>
      </c>
      <c r="AG115" s="164"/>
      <c r="AH115" s="1" t="str">
        <f>IF(C115,"Imprime","Não Imprime")</f>
        <v>Não Imprime</v>
      </c>
    </row>
    <row r="116" spans="1:34" x14ac:dyDescent="0.2">
      <c r="A116" s="43"/>
      <c r="B116" s="65" t="str">
        <f>TEXT(D115,"0,00%")&amp;"        "&amp;TEXT(E115,"0,00%")</f>
        <v>0,00%        0,00%</v>
      </c>
      <c r="C116" s="93"/>
      <c r="D116" s="76"/>
      <c r="E116" s="76"/>
      <c r="F116" s="100"/>
      <c r="G116" s="167"/>
      <c r="H116" s="177"/>
      <c r="I116" s="177"/>
      <c r="J116" s="167"/>
      <c r="K116" s="177"/>
      <c r="L116" s="177"/>
      <c r="M116" s="167"/>
      <c r="N116" s="177"/>
      <c r="O116" s="177"/>
      <c r="P116" s="167"/>
      <c r="Q116" s="177"/>
      <c r="R116" s="177"/>
      <c r="S116" s="167"/>
      <c r="T116" s="177"/>
      <c r="U116" s="177"/>
      <c r="V116" s="167"/>
      <c r="W116" s="177"/>
      <c r="X116" s="177"/>
      <c r="Y116" s="167"/>
      <c r="Z116" s="177"/>
      <c r="AA116" s="177"/>
      <c r="AB116" s="167"/>
      <c r="AC116" s="177"/>
      <c r="AD116" s="177"/>
      <c r="AE116" s="167"/>
      <c r="AF116" s="177"/>
      <c r="AG116" s="166"/>
      <c r="AH116" s="8" t="str">
        <f>+AH115</f>
        <v>Não Imprime</v>
      </c>
    </row>
    <row r="117" spans="1:34" x14ac:dyDescent="0.2">
      <c r="A117" s="105" t="str">
        <f>'Matriz de Pesos e Notas'!A117</f>
        <v>Nome da Unidade 8</v>
      </c>
      <c r="B117" s="106"/>
      <c r="C117" s="108">
        <f>C157*'Matriz de Pesos e Notas'!$A$135</f>
        <v>0</v>
      </c>
      <c r="D117" s="109">
        <f>SUM(D119:D131)</f>
        <v>0</v>
      </c>
      <c r="E117" s="111">
        <f>SUM(E119:E131)</f>
        <v>0</v>
      </c>
      <c r="F117" s="110"/>
      <c r="G117" s="162"/>
      <c r="H117" s="174"/>
      <c r="I117" s="174"/>
      <c r="J117" s="162"/>
      <c r="K117" s="174"/>
      <c r="L117" s="174"/>
      <c r="M117" s="162"/>
      <c r="N117" s="174"/>
      <c r="O117" s="174"/>
      <c r="P117" s="162"/>
      <c r="Q117" s="174"/>
      <c r="R117" s="174"/>
      <c r="S117" s="162"/>
      <c r="T117" s="174"/>
      <c r="U117" s="174"/>
      <c r="V117" s="162"/>
      <c r="W117" s="174"/>
      <c r="X117" s="174"/>
      <c r="Y117" s="162"/>
      <c r="Z117" s="174"/>
      <c r="AA117" s="174"/>
      <c r="AB117" s="162"/>
      <c r="AC117" s="174"/>
      <c r="AD117" s="174"/>
      <c r="AE117" s="162"/>
      <c r="AF117" s="174"/>
      <c r="AG117" s="164"/>
      <c r="AH117" s="102" t="str">
        <f>IF(C117,"Imprime","Não Imprime")</f>
        <v>Não Imprime</v>
      </c>
    </row>
    <row r="118" spans="1:34" x14ac:dyDescent="0.2">
      <c r="A118" s="113" t="str">
        <f>TEXT(D117,"0,00%")&amp;"        "&amp;TEXT(E117,"0,00%")</f>
        <v>0,00%        0,00%</v>
      </c>
      <c r="B118" s="114"/>
      <c r="C118" s="91"/>
      <c r="D118" s="71"/>
      <c r="E118" s="71"/>
      <c r="F118" s="99"/>
      <c r="G118" s="163"/>
      <c r="H118" s="175"/>
      <c r="I118" s="175"/>
      <c r="J118" s="163"/>
      <c r="K118" s="175"/>
      <c r="L118" s="175"/>
      <c r="M118" s="163"/>
      <c r="N118" s="175"/>
      <c r="O118" s="175"/>
      <c r="P118" s="163"/>
      <c r="Q118" s="175"/>
      <c r="R118" s="175"/>
      <c r="S118" s="163"/>
      <c r="T118" s="175"/>
      <c r="U118" s="175"/>
      <c r="V118" s="163"/>
      <c r="W118" s="175"/>
      <c r="X118" s="175"/>
      <c r="Y118" s="163"/>
      <c r="Z118" s="175"/>
      <c r="AA118" s="175"/>
      <c r="AB118" s="163"/>
      <c r="AC118" s="175"/>
      <c r="AD118" s="175"/>
      <c r="AE118" s="163"/>
      <c r="AF118" s="175"/>
      <c r="AG118" s="164"/>
      <c r="AH118" s="1" t="str">
        <f>+AH117</f>
        <v>Não Imprime</v>
      </c>
    </row>
    <row r="119" spans="1:34" s="41" customFormat="1" x14ac:dyDescent="0.2">
      <c r="A119" s="628" t="str">
        <f>'Matriz de Pesos e Notas'!A119</f>
        <v>Nome da Atividade 1 da Unidade 8</v>
      </c>
      <c r="B119" s="629"/>
      <c r="C119" s="92">
        <f>IF(ISTEXT('Matriz de Pesos e Notas'!C119),letrapeso('Matriz de Pesos e Notas'!C119)/SUM(letrapeso('Matriz de Pesos e Notas'!C119)+letrapeso('Matriz de Pesos e Notas'!C121)+letrapeso('Matriz de Pesos e Notas'!C123)+letrapeso('Matriz de Pesos e Notas'!C125)+letrapeso('Matriz de Pesos e Notas'!C127)+letrapeso('Matriz de Pesos e Notas'!C129)+letrapeso('Matriz de Pesos e Notas'!C131))*C117,0)</f>
        <v>0</v>
      </c>
      <c r="D119" s="85">
        <f>G119+J119+M119+P119+S119+V119+Y119+AB119+AE119</f>
        <v>0</v>
      </c>
      <c r="E119" s="85">
        <f>H119+K119+N119+Q119+T119+W119+Z119+AC119+AF119</f>
        <v>0</v>
      </c>
      <c r="F119" s="72"/>
      <c r="G119" s="163">
        <f>IF($C119,'Matriz de Pesos e Notas'!BL119/'Matriz de Pesos e Notas'!$CM119*'Matriz de Pesos e Notas'!$A$145*$C119,0)</f>
        <v>0</v>
      </c>
      <c r="H119" s="175">
        <f>IF($C119,'Matriz de Pesos e Notas'!BM119/'Matriz de Pesos e Notas'!$CN119*'Matriz de Pesos e Notas'!$A$146*$C119,0)</f>
        <v>0</v>
      </c>
      <c r="I119" s="175"/>
      <c r="J119" s="163">
        <f>IF($C119,'Matriz de Pesos e Notas'!BO119/'Matriz de Pesos e Notas'!$CM119*'Matriz de Pesos e Notas'!$A$145*$C119,0)</f>
        <v>0</v>
      </c>
      <c r="K119" s="175">
        <f>IF($C119,'Matriz de Pesos e Notas'!BP119/'Matriz de Pesos e Notas'!$CN119*'Matriz de Pesos e Notas'!$A$146*$C119,0)</f>
        <v>0</v>
      </c>
      <c r="L119" s="175"/>
      <c r="M119" s="163">
        <f>IF($C119,'Matriz de Pesos e Notas'!BR119/'Matriz de Pesos e Notas'!$CM119*'Matriz de Pesos e Notas'!$A$145*$C119,0)</f>
        <v>0</v>
      </c>
      <c r="N119" s="175">
        <f>IF($C119,'Matriz de Pesos e Notas'!BS119/'Matriz de Pesos e Notas'!$CN119*'Matriz de Pesos e Notas'!$A$146*$C119,0)</f>
        <v>0</v>
      </c>
      <c r="O119" s="175"/>
      <c r="P119" s="163">
        <f>IF($C119,'Matriz de Pesos e Notas'!BU119/'Matriz de Pesos e Notas'!$CM119*'Matriz de Pesos e Notas'!$A$145*$C119,0)</f>
        <v>0</v>
      </c>
      <c r="Q119" s="175">
        <f>IF($C119,'Matriz de Pesos e Notas'!BV119/'Matriz de Pesos e Notas'!$CN119*'Matriz de Pesos e Notas'!$A$146*$C119,0)</f>
        <v>0</v>
      </c>
      <c r="R119" s="175"/>
      <c r="S119" s="163">
        <f>IF($C119,'Matriz de Pesos e Notas'!BX119/'Matriz de Pesos e Notas'!$CM119*'Matriz de Pesos e Notas'!$A$145*$C119,0)</f>
        <v>0</v>
      </c>
      <c r="T119" s="175">
        <f>IF($C119,'Matriz de Pesos e Notas'!BY119/'Matriz de Pesos e Notas'!$CN119*'Matriz de Pesos e Notas'!$A$146*$C119,0)</f>
        <v>0</v>
      </c>
      <c r="U119" s="175"/>
      <c r="V119" s="163">
        <f>IF($C119,'Matriz de Pesos e Notas'!CA119/'Matriz de Pesos e Notas'!$CM119*'Matriz de Pesos e Notas'!$A$145*$C119,0)</f>
        <v>0</v>
      </c>
      <c r="W119" s="175">
        <f>IF($C119,'Matriz de Pesos e Notas'!CB119/'Matriz de Pesos e Notas'!$CN119*'Matriz de Pesos e Notas'!$A$146*$C119,0)</f>
        <v>0</v>
      </c>
      <c r="X119" s="175"/>
      <c r="Y119" s="163">
        <f>IF($C119,'Matriz de Pesos e Notas'!CD119/'Matriz de Pesos e Notas'!$CM119*'Matriz de Pesos e Notas'!$A$145*$C119,0)</f>
        <v>0</v>
      </c>
      <c r="Z119" s="175">
        <f>IF($C119,'Matriz de Pesos e Notas'!CE119/'Matriz de Pesos e Notas'!$CN119*'Matriz de Pesos e Notas'!$A$146*$C119,0)</f>
        <v>0</v>
      </c>
      <c r="AA119" s="175"/>
      <c r="AB119" s="163">
        <f>IF($C119,'Matriz de Pesos e Notas'!CG119/'Matriz de Pesos e Notas'!$CM119*'Matriz de Pesos e Notas'!$A$145*$C119,0)</f>
        <v>0</v>
      </c>
      <c r="AC119" s="175">
        <f>IF($C119,'Matriz de Pesos e Notas'!CH119/'Matriz de Pesos e Notas'!$CN119*'Matriz de Pesos e Notas'!$A$146*$C119,0)</f>
        <v>0</v>
      </c>
      <c r="AD119" s="175"/>
      <c r="AE119" s="163">
        <f>IF($C119,'Matriz de Pesos e Notas'!CJ119/'Matriz de Pesos e Notas'!$CM119*'Matriz de Pesos e Notas'!$A$145*$C119,0)</f>
        <v>0</v>
      </c>
      <c r="AF119" s="175">
        <f>IF($C119,'Matriz de Pesos e Notas'!CK119/'Matriz de Pesos e Notas'!$CN119*'Matriz de Pesos e Notas'!$A$146*$C119,0)</f>
        <v>0</v>
      </c>
      <c r="AG119" s="164"/>
      <c r="AH119" s="102" t="str">
        <f>IF(C119,"Imprime","Não Imprime")</f>
        <v>Não Imprime</v>
      </c>
    </row>
    <row r="120" spans="1:34" s="41" customFormat="1" x14ac:dyDescent="0.2">
      <c r="A120" s="42"/>
      <c r="B120" s="65" t="str">
        <f>TEXT(D119,"0,00%")&amp;"        "&amp;TEXT(E119,"0,00%")</f>
        <v>0,00%        0,00%</v>
      </c>
      <c r="C120" s="92"/>
      <c r="D120" s="73"/>
      <c r="E120" s="72"/>
      <c r="F120" s="72"/>
      <c r="G120" s="165"/>
      <c r="H120" s="176"/>
      <c r="I120" s="176"/>
      <c r="J120" s="165"/>
      <c r="K120" s="176"/>
      <c r="L120" s="176"/>
      <c r="M120" s="165"/>
      <c r="N120" s="176"/>
      <c r="O120" s="176"/>
      <c r="P120" s="165"/>
      <c r="Q120" s="176"/>
      <c r="R120" s="176"/>
      <c r="S120" s="165"/>
      <c r="T120" s="176"/>
      <c r="U120" s="176"/>
      <c r="V120" s="165"/>
      <c r="W120" s="176"/>
      <c r="X120" s="176"/>
      <c r="Y120" s="165"/>
      <c r="Z120" s="176"/>
      <c r="AA120" s="176"/>
      <c r="AB120" s="165"/>
      <c r="AC120" s="176"/>
      <c r="AD120" s="176"/>
      <c r="AE120" s="165"/>
      <c r="AF120" s="176"/>
      <c r="AG120" s="166"/>
      <c r="AH120" s="8" t="str">
        <f>+AH119</f>
        <v>Não Imprime</v>
      </c>
    </row>
    <row r="121" spans="1:34" x14ac:dyDescent="0.2">
      <c r="A121" s="628" t="str">
        <f>'Matriz de Pesos e Notas'!A121</f>
        <v>Nome da Atividade 2 da Unidade 7</v>
      </c>
      <c r="B121" s="629"/>
      <c r="C121" s="92">
        <f>IF(ISTEXT('Matriz de Pesos e Notas'!C121),letrapeso('Matriz de Pesos e Notas'!C121)/SUM(letrapeso('Matriz de Pesos e Notas'!C119)+letrapeso('Matriz de Pesos e Notas'!C121)+letrapeso('Matriz de Pesos e Notas'!C123)+letrapeso('Matriz de Pesos e Notas'!C125)+letrapeso('Matriz de Pesos e Notas'!C127)+letrapeso('Matriz de Pesos e Notas'!C129)+letrapeso('Matriz de Pesos e Notas'!C131))*C117,0)</f>
        <v>0</v>
      </c>
      <c r="D121" s="85">
        <f>G121+J121+M121+P121+S121+V121+Y121+AB121+AE121</f>
        <v>0</v>
      </c>
      <c r="E121" s="85">
        <f>H121+K121+N121+Q121+T121+W121+Z121+AC121+AF121</f>
        <v>0</v>
      </c>
      <c r="F121" s="72"/>
      <c r="G121" s="163">
        <f>IF($C121,'Matriz de Pesos e Notas'!BL121/'Matriz de Pesos e Notas'!$CM121*'Matriz de Pesos e Notas'!$A$145*$C121,0)</f>
        <v>0</v>
      </c>
      <c r="H121" s="175">
        <f>IF($C121,'Matriz de Pesos e Notas'!BM121/'Matriz de Pesos e Notas'!$CN121*'Matriz de Pesos e Notas'!$A$146*$C121,0)</f>
        <v>0</v>
      </c>
      <c r="I121" s="175"/>
      <c r="J121" s="163">
        <f>IF($C121,'Matriz de Pesos e Notas'!BO121/'Matriz de Pesos e Notas'!$CM121*'Matriz de Pesos e Notas'!$A$145*$C121,0)</f>
        <v>0</v>
      </c>
      <c r="K121" s="175">
        <f>IF($C121,'Matriz de Pesos e Notas'!BP121/'Matriz de Pesos e Notas'!$CN121*'Matriz de Pesos e Notas'!$A$146*$C121,0)</f>
        <v>0</v>
      </c>
      <c r="L121" s="175"/>
      <c r="M121" s="163">
        <f>IF($C121,'Matriz de Pesos e Notas'!BR121/'Matriz de Pesos e Notas'!$CM121*'Matriz de Pesos e Notas'!$A$145*$C121,0)</f>
        <v>0</v>
      </c>
      <c r="N121" s="175">
        <f>IF($C121,'Matriz de Pesos e Notas'!BS121/'Matriz de Pesos e Notas'!$CN121*'Matriz de Pesos e Notas'!$A$146*$C121,0)</f>
        <v>0</v>
      </c>
      <c r="O121" s="175"/>
      <c r="P121" s="163">
        <f>IF($C121,'Matriz de Pesos e Notas'!BU121/'Matriz de Pesos e Notas'!$CM121*'Matriz de Pesos e Notas'!$A$145*$C121,0)</f>
        <v>0</v>
      </c>
      <c r="Q121" s="175">
        <f>IF($C121,'Matriz de Pesos e Notas'!BV121/'Matriz de Pesos e Notas'!$CN121*'Matriz de Pesos e Notas'!$A$146*$C121,0)</f>
        <v>0</v>
      </c>
      <c r="R121" s="175"/>
      <c r="S121" s="163">
        <f>IF($C121,'Matriz de Pesos e Notas'!BX121/'Matriz de Pesos e Notas'!$CM121*'Matriz de Pesos e Notas'!$A$145*$C121,0)</f>
        <v>0</v>
      </c>
      <c r="T121" s="175">
        <f>IF($C121,'Matriz de Pesos e Notas'!BY121/'Matriz de Pesos e Notas'!$CN121*'Matriz de Pesos e Notas'!$A$146*$C121,0)</f>
        <v>0</v>
      </c>
      <c r="U121" s="175"/>
      <c r="V121" s="163">
        <f>IF($C121,'Matriz de Pesos e Notas'!CA121/'Matriz de Pesos e Notas'!$CM121*'Matriz de Pesos e Notas'!$A$145*$C121,0)</f>
        <v>0</v>
      </c>
      <c r="W121" s="175">
        <f>IF($C121,'Matriz de Pesos e Notas'!CB121/'Matriz de Pesos e Notas'!$CN121*'Matriz de Pesos e Notas'!$A$146*$C121,0)</f>
        <v>0</v>
      </c>
      <c r="X121" s="175"/>
      <c r="Y121" s="163">
        <f>IF($C121,'Matriz de Pesos e Notas'!CD121/'Matriz de Pesos e Notas'!$CM121*'Matriz de Pesos e Notas'!$A$145*$C121,0)</f>
        <v>0</v>
      </c>
      <c r="Z121" s="175">
        <f>IF($C121,'Matriz de Pesos e Notas'!CE121/'Matriz de Pesos e Notas'!$CN121*'Matriz de Pesos e Notas'!$A$146*$C121,0)</f>
        <v>0</v>
      </c>
      <c r="AA121" s="175"/>
      <c r="AB121" s="163">
        <f>IF($C121,'Matriz de Pesos e Notas'!CG121/'Matriz de Pesos e Notas'!$CM121*'Matriz de Pesos e Notas'!$A$145*$C121,0)</f>
        <v>0</v>
      </c>
      <c r="AC121" s="175">
        <f>IF($C121,'Matriz de Pesos e Notas'!CH121/'Matriz de Pesos e Notas'!$CN121*'Matriz de Pesos e Notas'!$A$146*$C121,0)</f>
        <v>0</v>
      </c>
      <c r="AD121" s="175"/>
      <c r="AE121" s="163">
        <f>IF($C121,'Matriz de Pesos e Notas'!CJ121/'Matriz de Pesos e Notas'!$CM121*'Matriz de Pesos e Notas'!$A$145*$C121,0)</f>
        <v>0</v>
      </c>
      <c r="AF121" s="175">
        <f>IF($C121,'Matriz de Pesos e Notas'!CK121/'Matriz de Pesos e Notas'!$CN121*'Matriz de Pesos e Notas'!$A$146*$C121,0)</f>
        <v>0</v>
      </c>
      <c r="AG121" s="164"/>
      <c r="AH121" s="4" t="str">
        <f>IF(C121,"Imprime","Não Imprime")</f>
        <v>Não Imprime</v>
      </c>
    </row>
    <row r="122" spans="1:34" x14ac:dyDescent="0.2">
      <c r="A122" s="43"/>
      <c r="B122" s="65" t="str">
        <f>TEXT(D121,"0,00%")&amp;"        "&amp;TEXT(E121,"0,00%")</f>
        <v>0,00%        0,00%</v>
      </c>
      <c r="C122" s="92"/>
      <c r="D122" s="73"/>
      <c r="E122" s="72"/>
      <c r="F122" s="72"/>
      <c r="G122" s="165"/>
      <c r="H122" s="176"/>
      <c r="I122" s="176"/>
      <c r="J122" s="165"/>
      <c r="K122" s="176"/>
      <c r="L122" s="176"/>
      <c r="M122" s="165"/>
      <c r="N122" s="176"/>
      <c r="O122" s="176"/>
      <c r="P122" s="165"/>
      <c r="Q122" s="176"/>
      <c r="R122" s="176"/>
      <c r="S122" s="165"/>
      <c r="T122" s="176"/>
      <c r="U122" s="176"/>
      <c r="V122" s="165"/>
      <c r="W122" s="176"/>
      <c r="X122" s="176"/>
      <c r="Y122" s="165"/>
      <c r="Z122" s="176"/>
      <c r="AA122" s="176"/>
      <c r="AB122" s="165"/>
      <c r="AC122" s="176"/>
      <c r="AD122" s="176"/>
      <c r="AE122" s="165"/>
      <c r="AF122" s="176"/>
      <c r="AG122" s="166"/>
      <c r="AH122" s="8" t="str">
        <f>+AH121</f>
        <v>Não Imprime</v>
      </c>
    </row>
    <row r="123" spans="1:34" x14ac:dyDescent="0.2">
      <c r="A123" s="628" t="str">
        <f>'Matriz de Pesos e Notas'!A123</f>
        <v>Nome da Atividade 3 da Unidade 7</v>
      </c>
      <c r="B123" s="629"/>
      <c r="C123" s="92">
        <f>IF(ISTEXT('Matriz de Pesos e Notas'!C123),letrapeso('Matriz de Pesos e Notas'!C123)/SUM(letrapeso('Matriz de Pesos e Notas'!C119)+letrapeso('Matriz de Pesos e Notas'!C121)+letrapeso('Matriz de Pesos e Notas'!C123)+letrapeso('Matriz de Pesos e Notas'!C125)+letrapeso('Matriz de Pesos e Notas'!C127)+letrapeso('Matriz de Pesos e Notas'!C129)+letrapeso('Matriz de Pesos e Notas'!C131))*C117,0)</f>
        <v>0</v>
      </c>
      <c r="D123" s="85">
        <f>G123+J123+M123+P123+S123+V123+Y123+AB123+AE123</f>
        <v>0</v>
      </c>
      <c r="E123" s="85">
        <f>H123+K123+N123+Q123+T123+W123+Z123+AC123+AF123</f>
        <v>0</v>
      </c>
      <c r="F123" s="72"/>
      <c r="G123" s="163">
        <f>IF($C123,'Matriz de Pesos e Notas'!BL123/'Matriz de Pesos e Notas'!$CM123*'Matriz de Pesos e Notas'!$A$145*$C123,0)</f>
        <v>0</v>
      </c>
      <c r="H123" s="175">
        <f>IF($C123,'Matriz de Pesos e Notas'!BM123/'Matriz de Pesos e Notas'!$CN123*'Matriz de Pesos e Notas'!$A$146*$C123,0)</f>
        <v>0</v>
      </c>
      <c r="I123" s="175"/>
      <c r="J123" s="163">
        <f>IF($C123,'Matriz de Pesos e Notas'!BO123/'Matriz de Pesos e Notas'!$CM123*'Matriz de Pesos e Notas'!$A$145*$C123,0)</f>
        <v>0</v>
      </c>
      <c r="K123" s="175">
        <f>IF($C123,'Matriz de Pesos e Notas'!BP123/'Matriz de Pesos e Notas'!$CN123*'Matriz de Pesos e Notas'!$A$146*$C123,0)</f>
        <v>0</v>
      </c>
      <c r="L123" s="175"/>
      <c r="M123" s="163">
        <f>IF($C123,'Matriz de Pesos e Notas'!BR123/'Matriz de Pesos e Notas'!$CM123*'Matriz de Pesos e Notas'!$A$145*$C123,0)</f>
        <v>0</v>
      </c>
      <c r="N123" s="175">
        <f>IF($C123,'Matriz de Pesos e Notas'!BS123/'Matriz de Pesos e Notas'!$CN123*'Matriz de Pesos e Notas'!$A$146*$C123,0)</f>
        <v>0</v>
      </c>
      <c r="O123" s="175"/>
      <c r="P123" s="163">
        <f>IF($C123,'Matriz de Pesos e Notas'!BU123/'Matriz de Pesos e Notas'!$CM123*'Matriz de Pesos e Notas'!$A$145*$C123,0)</f>
        <v>0</v>
      </c>
      <c r="Q123" s="175">
        <f>IF($C123,'Matriz de Pesos e Notas'!BV123/'Matriz de Pesos e Notas'!$CN123*'Matriz de Pesos e Notas'!$A$146*$C123,0)</f>
        <v>0</v>
      </c>
      <c r="R123" s="175"/>
      <c r="S123" s="163">
        <f>IF($C123,'Matriz de Pesos e Notas'!BX123/'Matriz de Pesos e Notas'!$CM123*'Matriz de Pesos e Notas'!$A$145*$C123,0)</f>
        <v>0</v>
      </c>
      <c r="T123" s="175">
        <f>IF($C123,'Matriz de Pesos e Notas'!BY123/'Matriz de Pesos e Notas'!$CN123*'Matriz de Pesos e Notas'!$A$146*$C123,0)</f>
        <v>0</v>
      </c>
      <c r="U123" s="175"/>
      <c r="V123" s="163">
        <f>IF($C123,'Matriz de Pesos e Notas'!CA123/'Matriz de Pesos e Notas'!$CM123*'Matriz de Pesos e Notas'!$A$145*$C123,0)</f>
        <v>0</v>
      </c>
      <c r="W123" s="175">
        <f>IF($C123,'Matriz de Pesos e Notas'!CB123/'Matriz de Pesos e Notas'!$CN123*'Matriz de Pesos e Notas'!$A$146*$C123,0)</f>
        <v>0</v>
      </c>
      <c r="X123" s="175"/>
      <c r="Y123" s="163">
        <f>IF($C123,'Matriz de Pesos e Notas'!CD123/'Matriz de Pesos e Notas'!$CM123*'Matriz de Pesos e Notas'!$A$145*$C123,0)</f>
        <v>0</v>
      </c>
      <c r="Z123" s="175">
        <f>IF($C123,'Matriz de Pesos e Notas'!CE123/'Matriz de Pesos e Notas'!$CN123*'Matriz de Pesos e Notas'!$A$146*$C123,0)</f>
        <v>0</v>
      </c>
      <c r="AA123" s="175"/>
      <c r="AB123" s="163">
        <f>IF($C123,'Matriz de Pesos e Notas'!CG123/'Matriz de Pesos e Notas'!$CM123*'Matriz de Pesos e Notas'!$A$145*$C123,0)</f>
        <v>0</v>
      </c>
      <c r="AC123" s="175">
        <f>IF($C123,'Matriz de Pesos e Notas'!CH123/'Matriz de Pesos e Notas'!$CN123*'Matriz de Pesos e Notas'!$A$146*$C123,0)</f>
        <v>0</v>
      </c>
      <c r="AD123" s="175"/>
      <c r="AE123" s="163">
        <f>IF($C123,'Matriz de Pesos e Notas'!CJ123/'Matriz de Pesos e Notas'!$CM123*'Matriz de Pesos e Notas'!$A$145*$C123,0)</f>
        <v>0</v>
      </c>
      <c r="AF123" s="175">
        <f>IF($C123,'Matriz de Pesos e Notas'!CK123/'Matriz de Pesos e Notas'!$CN123*'Matriz de Pesos e Notas'!$A$146*$C123,0)</f>
        <v>0</v>
      </c>
      <c r="AG123" s="164"/>
      <c r="AH123" s="4" t="str">
        <f>IF(C123,"Imprime","Não Imprime")</f>
        <v>Não Imprime</v>
      </c>
    </row>
    <row r="124" spans="1:34" x14ac:dyDescent="0.2">
      <c r="A124" s="43"/>
      <c r="B124" s="65" t="str">
        <f>TEXT(D123,"0,00%")&amp;"        "&amp;TEXT(E123,"0,00%")</f>
        <v>0,00%        0,00%</v>
      </c>
      <c r="C124" s="92"/>
      <c r="D124" s="73"/>
      <c r="E124" s="72"/>
      <c r="F124" s="72"/>
      <c r="G124" s="165"/>
      <c r="H124" s="176"/>
      <c r="I124" s="176"/>
      <c r="J124" s="165"/>
      <c r="K124" s="176"/>
      <c r="L124" s="176"/>
      <c r="M124" s="165"/>
      <c r="N124" s="176"/>
      <c r="O124" s="176"/>
      <c r="P124" s="165"/>
      <c r="Q124" s="176"/>
      <c r="R124" s="176"/>
      <c r="S124" s="165"/>
      <c r="T124" s="176"/>
      <c r="U124" s="176"/>
      <c r="V124" s="165"/>
      <c r="W124" s="176"/>
      <c r="X124" s="176"/>
      <c r="Y124" s="165"/>
      <c r="Z124" s="176"/>
      <c r="AA124" s="176"/>
      <c r="AB124" s="165"/>
      <c r="AC124" s="176"/>
      <c r="AD124" s="176"/>
      <c r="AE124" s="165"/>
      <c r="AF124" s="176"/>
      <c r="AG124" s="166"/>
      <c r="AH124" s="8" t="str">
        <f>+AH123</f>
        <v>Não Imprime</v>
      </c>
    </row>
    <row r="125" spans="1:34" x14ac:dyDescent="0.2">
      <c r="A125" s="628" t="str">
        <f>'Matriz de Pesos e Notas'!A125</f>
        <v>Nome da Atividade 4 da Unidade 7</v>
      </c>
      <c r="B125" s="629"/>
      <c r="C125" s="92">
        <f>IF(ISTEXT('Matriz de Pesos e Notas'!C125),letrapeso('Matriz de Pesos e Notas'!C125)/SUM(letrapeso('Matriz de Pesos e Notas'!C119)+letrapeso('Matriz de Pesos e Notas'!C121)+letrapeso('Matriz de Pesos e Notas'!C123)+letrapeso('Matriz de Pesos e Notas'!C125)+letrapeso('Matriz de Pesos e Notas'!C127)+letrapeso('Matriz de Pesos e Notas'!C129)+letrapeso('Matriz de Pesos e Notas'!C131))*C117,0)</f>
        <v>0</v>
      </c>
      <c r="D125" s="85">
        <f>G125+J125+M125+P125+S125+V125+Y125+AB125+AE125</f>
        <v>0</v>
      </c>
      <c r="E125" s="85">
        <f>H125+K125+N125+Q125+T125+W125+Z125+AC125+AF125</f>
        <v>0</v>
      </c>
      <c r="F125" s="72"/>
      <c r="G125" s="163">
        <f>IF($C125,'Matriz de Pesos e Notas'!BL125/'Matriz de Pesos e Notas'!$CM125*'Matriz de Pesos e Notas'!$A$145*$C125,0)</f>
        <v>0</v>
      </c>
      <c r="H125" s="175">
        <f>IF($C125,'Matriz de Pesos e Notas'!BM125/'Matriz de Pesos e Notas'!$CN125*'Matriz de Pesos e Notas'!$A$146*$C125,0)</f>
        <v>0</v>
      </c>
      <c r="I125" s="175"/>
      <c r="J125" s="163">
        <f>IF($C125,'Matriz de Pesos e Notas'!BO125/'Matriz de Pesos e Notas'!$CM125*'Matriz de Pesos e Notas'!$A$145*$C125,0)</f>
        <v>0</v>
      </c>
      <c r="K125" s="175">
        <f>IF($C125,'Matriz de Pesos e Notas'!BP125/'Matriz de Pesos e Notas'!$CN125*'Matriz de Pesos e Notas'!$A$146*$C125,0)</f>
        <v>0</v>
      </c>
      <c r="L125" s="175"/>
      <c r="M125" s="163">
        <f>IF($C125,'Matriz de Pesos e Notas'!BR125/'Matriz de Pesos e Notas'!$CM125*'Matriz de Pesos e Notas'!$A$145*$C125,0)</f>
        <v>0</v>
      </c>
      <c r="N125" s="175">
        <f>IF($C125,'Matriz de Pesos e Notas'!BS125/'Matriz de Pesos e Notas'!$CN125*'Matriz de Pesos e Notas'!$A$146*$C125,0)</f>
        <v>0</v>
      </c>
      <c r="O125" s="175"/>
      <c r="P125" s="163">
        <f>IF($C125,'Matriz de Pesos e Notas'!BU125/'Matriz de Pesos e Notas'!$CM125*'Matriz de Pesos e Notas'!$A$145*$C125,0)</f>
        <v>0</v>
      </c>
      <c r="Q125" s="175">
        <f>IF($C125,'Matriz de Pesos e Notas'!BV125/'Matriz de Pesos e Notas'!$CN125*'Matriz de Pesos e Notas'!$A$146*$C125,0)</f>
        <v>0</v>
      </c>
      <c r="R125" s="175"/>
      <c r="S125" s="163">
        <f>IF($C125,'Matriz de Pesos e Notas'!BX125/'Matriz de Pesos e Notas'!$CM125*'Matriz de Pesos e Notas'!$A$145*$C125,0)</f>
        <v>0</v>
      </c>
      <c r="T125" s="175">
        <f>IF($C125,'Matriz de Pesos e Notas'!BY125/'Matriz de Pesos e Notas'!$CN125*'Matriz de Pesos e Notas'!$A$146*$C125,0)</f>
        <v>0</v>
      </c>
      <c r="U125" s="175"/>
      <c r="V125" s="163">
        <f>IF($C125,'Matriz de Pesos e Notas'!CA125/'Matriz de Pesos e Notas'!$CM125*'Matriz de Pesos e Notas'!$A$145*$C125,0)</f>
        <v>0</v>
      </c>
      <c r="W125" s="175">
        <f>IF($C125,'Matriz de Pesos e Notas'!CB125/'Matriz de Pesos e Notas'!$CN125*'Matriz de Pesos e Notas'!$A$146*$C125,0)</f>
        <v>0</v>
      </c>
      <c r="X125" s="175"/>
      <c r="Y125" s="163">
        <f>IF($C125,'Matriz de Pesos e Notas'!CD125/'Matriz de Pesos e Notas'!$CM125*'Matriz de Pesos e Notas'!$A$145*$C125,0)</f>
        <v>0</v>
      </c>
      <c r="Z125" s="175">
        <f>IF($C125,'Matriz de Pesos e Notas'!CE125/'Matriz de Pesos e Notas'!$CN125*'Matriz de Pesos e Notas'!$A$146*$C125,0)</f>
        <v>0</v>
      </c>
      <c r="AA125" s="175"/>
      <c r="AB125" s="163">
        <f>IF($C125,'Matriz de Pesos e Notas'!CG125/'Matriz de Pesos e Notas'!$CM125*'Matriz de Pesos e Notas'!$A$145*$C125,0)</f>
        <v>0</v>
      </c>
      <c r="AC125" s="175">
        <f>IF($C125,'Matriz de Pesos e Notas'!CH125/'Matriz de Pesos e Notas'!$CN125*'Matriz de Pesos e Notas'!$A$146*$C125,0)</f>
        <v>0</v>
      </c>
      <c r="AD125" s="175"/>
      <c r="AE125" s="163">
        <f>IF($C125,'Matriz de Pesos e Notas'!CJ125/'Matriz de Pesos e Notas'!$CM125*'Matriz de Pesos e Notas'!$A$145*$C125,0)</f>
        <v>0</v>
      </c>
      <c r="AF125" s="175">
        <f>IF($C125,'Matriz de Pesos e Notas'!CK125/'Matriz de Pesos e Notas'!$CN125*'Matriz de Pesos e Notas'!$A$146*$C125,0)</f>
        <v>0</v>
      </c>
      <c r="AG125" s="164"/>
      <c r="AH125" s="1" t="str">
        <f>IF(C125,"Imprime","Não Imprime")</f>
        <v>Não Imprime</v>
      </c>
    </row>
    <row r="126" spans="1:34" x14ac:dyDescent="0.2">
      <c r="A126" s="43"/>
      <c r="B126" s="65" t="str">
        <f>TEXT(D125,"0,00%")&amp;"        "&amp;TEXT(E125,"0,00%")</f>
        <v>0,00%        0,00%</v>
      </c>
      <c r="C126" s="92"/>
      <c r="D126" s="74"/>
      <c r="E126" s="74"/>
      <c r="F126" s="86"/>
      <c r="G126" s="165"/>
      <c r="H126" s="176"/>
      <c r="I126" s="176"/>
      <c r="J126" s="165"/>
      <c r="K126" s="176"/>
      <c r="L126" s="176"/>
      <c r="M126" s="165"/>
      <c r="N126" s="176"/>
      <c r="O126" s="176"/>
      <c r="P126" s="165"/>
      <c r="Q126" s="176"/>
      <c r="R126" s="176"/>
      <c r="S126" s="165"/>
      <c r="T126" s="176"/>
      <c r="U126" s="176"/>
      <c r="V126" s="165"/>
      <c r="W126" s="176"/>
      <c r="X126" s="176"/>
      <c r="Y126" s="165"/>
      <c r="Z126" s="176"/>
      <c r="AA126" s="176"/>
      <c r="AB126" s="165"/>
      <c r="AC126" s="176"/>
      <c r="AD126" s="176"/>
      <c r="AE126" s="165"/>
      <c r="AF126" s="176"/>
      <c r="AG126" s="166"/>
      <c r="AH126" s="8" t="str">
        <f>+AH125</f>
        <v>Não Imprime</v>
      </c>
    </row>
    <row r="127" spans="1:34" x14ac:dyDescent="0.2">
      <c r="A127" s="628" t="str">
        <f>'Matriz de Pesos e Notas'!A127</f>
        <v>Nome da Atividade 5 da Unidade 7</v>
      </c>
      <c r="B127" s="629"/>
      <c r="C127" s="92">
        <f>IF(ISTEXT('Matriz de Pesos e Notas'!C127),letrapeso('Matriz de Pesos e Notas'!C127)/SUM(letrapeso('Matriz de Pesos e Notas'!C119)+letrapeso('Matriz de Pesos e Notas'!C121)+letrapeso('Matriz de Pesos e Notas'!C123)+letrapeso('Matriz de Pesos e Notas'!C125)+letrapeso('Matriz de Pesos e Notas'!C127)+letrapeso('Matriz de Pesos e Notas'!C129)+letrapeso('Matriz de Pesos e Notas'!C131))*C117,0)</f>
        <v>0</v>
      </c>
      <c r="D127" s="85">
        <f>G127+J127+M127+P127+S127+V127+Y127+AB127+AE127</f>
        <v>0</v>
      </c>
      <c r="E127" s="85">
        <f>H127+K127+N127+Q127+T127+W127+Z127+AC127+AF127</f>
        <v>0</v>
      </c>
      <c r="F127" s="72"/>
      <c r="G127" s="163">
        <f>IF($C127,'Matriz de Pesos e Notas'!BL127/'Matriz de Pesos e Notas'!$CM127*'Matriz de Pesos e Notas'!$A$145*$C127,0)</f>
        <v>0</v>
      </c>
      <c r="H127" s="175">
        <f>IF($C127,'Matriz de Pesos e Notas'!BM127/'Matriz de Pesos e Notas'!$CN127*'Matriz de Pesos e Notas'!$A$146*$C127,0)</f>
        <v>0</v>
      </c>
      <c r="I127" s="175"/>
      <c r="J127" s="163">
        <f>IF($C127,'Matriz de Pesos e Notas'!BO127/'Matriz de Pesos e Notas'!$CM127*'Matriz de Pesos e Notas'!$A$145*$C127,0)</f>
        <v>0</v>
      </c>
      <c r="K127" s="175">
        <f>IF($C127,'Matriz de Pesos e Notas'!BP127/'Matriz de Pesos e Notas'!$CN127*'Matriz de Pesos e Notas'!$A$146*$C127,0)</f>
        <v>0</v>
      </c>
      <c r="L127" s="175"/>
      <c r="M127" s="163">
        <f>IF($C127,'Matriz de Pesos e Notas'!BR127/'Matriz de Pesos e Notas'!$CM127*'Matriz de Pesos e Notas'!$A$145*$C127,0)</f>
        <v>0</v>
      </c>
      <c r="N127" s="175">
        <f>IF($C127,'Matriz de Pesos e Notas'!BS127/'Matriz de Pesos e Notas'!$CN127*'Matriz de Pesos e Notas'!$A$146*$C127,0)</f>
        <v>0</v>
      </c>
      <c r="O127" s="175"/>
      <c r="P127" s="163">
        <f>IF($C127,'Matriz de Pesos e Notas'!BU127/'Matriz de Pesos e Notas'!$CM127*'Matriz de Pesos e Notas'!$A$145*$C127,0)</f>
        <v>0</v>
      </c>
      <c r="Q127" s="175">
        <f>IF($C127,'Matriz de Pesos e Notas'!BV127/'Matriz de Pesos e Notas'!$CN127*'Matriz de Pesos e Notas'!$A$146*$C127,0)</f>
        <v>0</v>
      </c>
      <c r="R127" s="175"/>
      <c r="S127" s="163">
        <f>IF($C127,'Matriz de Pesos e Notas'!BX127/'Matriz de Pesos e Notas'!$CM127*'Matriz de Pesos e Notas'!$A$145*$C127,0)</f>
        <v>0</v>
      </c>
      <c r="T127" s="175">
        <f>IF($C127,'Matriz de Pesos e Notas'!BY127/'Matriz de Pesos e Notas'!$CN127*'Matriz de Pesos e Notas'!$A$146*$C127,0)</f>
        <v>0</v>
      </c>
      <c r="U127" s="175"/>
      <c r="V127" s="163">
        <f>IF($C127,'Matriz de Pesos e Notas'!CA127/'Matriz de Pesos e Notas'!$CM127*'Matriz de Pesos e Notas'!$A$145*$C127,0)</f>
        <v>0</v>
      </c>
      <c r="W127" s="175">
        <f>IF($C127,'Matriz de Pesos e Notas'!CB127/'Matriz de Pesos e Notas'!$CN127*'Matriz de Pesos e Notas'!$A$146*$C127,0)</f>
        <v>0</v>
      </c>
      <c r="X127" s="175"/>
      <c r="Y127" s="163">
        <f>IF($C127,'Matriz de Pesos e Notas'!CD127/'Matriz de Pesos e Notas'!$CM127*'Matriz de Pesos e Notas'!$A$145*$C127,0)</f>
        <v>0</v>
      </c>
      <c r="Z127" s="175">
        <f>IF($C127,'Matriz de Pesos e Notas'!CE127/'Matriz de Pesos e Notas'!$CN127*'Matriz de Pesos e Notas'!$A$146*$C127,0)</f>
        <v>0</v>
      </c>
      <c r="AA127" s="175"/>
      <c r="AB127" s="163">
        <f>IF($C127,'Matriz de Pesos e Notas'!CG127/'Matriz de Pesos e Notas'!$CM127*'Matriz de Pesos e Notas'!$A$145*$C127,0)</f>
        <v>0</v>
      </c>
      <c r="AC127" s="175">
        <f>IF($C127,'Matriz de Pesos e Notas'!CH127/'Matriz de Pesos e Notas'!$CN127*'Matriz de Pesos e Notas'!$A$146*$C127,0)</f>
        <v>0</v>
      </c>
      <c r="AD127" s="175"/>
      <c r="AE127" s="163">
        <f>IF($C127,'Matriz de Pesos e Notas'!CJ127/'Matriz de Pesos e Notas'!$CM127*'Matriz de Pesos e Notas'!$A$145*$C127,0)</f>
        <v>0</v>
      </c>
      <c r="AF127" s="175">
        <f>IF($C127,'Matriz de Pesos e Notas'!CK127/'Matriz de Pesos e Notas'!$CN127*'Matriz de Pesos e Notas'!$A$146*$C127,0)</f>
        <v>0</v>
      </c>
      <c r="AG127" s="164"/>
      <c r="AH127" s="1" t="str">
        <f>IF(C127,"Imprime","Não Imprime")</f>
        <v>Não Imprime</v>
      </c>
    </row>
    <row r="128" spans="1:34" x14ac:dyDescent="0.2">
      <c r="A128" s="43"/>
      <c r="B128" s="65" t="str">
        <f>TEXT(D127,"0,00%")&amp;"        "&amp;TEXT(E127,"0,00%")</f>
        <v>0,00%        0,00%</v>
      </c>
      <c r="C128" s="92"/>
      <c r="D128" s="74"/>
      <c r="E128" s="74"/>
      <c r="F128" s="86"/>
      <c r="G128" s="165"/>
      <c r="H128" s="176"/>
      <c r="I128" s="176"/>
      <c r="J128" s="165"/>
      <c r="K128" s="176"/>
      <c r="L128" s="176"/>
      <c r="M128" s="165"/>
      <c r="N128" s="176"/>
      <c r="O128" s="176"/>
      <c r="P128" s="165"/>
      <c r="Q128" s="176"/>
      <c r="R128" s="176"/>
      <c r="S128" s="165"/>
      <c r="T128" s="176"/>
      <c r="U128" s="176"/>
      <c r="V128" s="165"/>
      <c r="W128" s="176"/>
      <c r="X128" s="176"/>
      <c r="Y128" s="165"/>
      <c r="Z128" s="176"/>
      <c r="AA128" s="176"/>
      <c r="AB128" s="165"/>
      <c r="AC128" s="176"/>
      <c r="AD128" s="176"/>
      <c r="AE128" s="165"/>
      <c r="AF128" s="176"/>
      <c r="AG128" s="166"/>
      <c r="AH128" s="8" t="str">
        <f>+AH127</f>
        <v>Não Imprime</v>
      </c>
    </row>
    <row r="129" spans="1:34" x14ac:dyDescent="0.2">
      <c r="A129" s="628" t="str">
        <f>'Matriz de Pesos e Notas'!A129</f>
        <v>Nome da Atividade 6 da Unidade 7</v>
      </c>
      <c r="B129" s="629"/>
      <c r="C129" s="92">
        <f>IF(ISTEXT('Matriz de Pesos e Notas'!C129),letrapeso('Matriz de Pesos e Notas'!C129)/SUM(letrapeso('Matriz de Pesos e Notas'!C119)+letrapeso('Matriz de Pesos e Notas'!C121)+letrapeso('Matriz de Pesos e Notas'!C123)+letrapeso('Matriz de Pesos e Notas'!C125)+letrapeso('Matriz de Pesos e Notas'!C127)+letrapeso('Matriz de Pesos e Notas'!C129)+letrapeso('Matriz de Pesos e Notas'!C131))*C117,0)</f>
        <v>0</v>
      </c>
      <c r="D129" s="85">
        <f>G129+J129+M129+P129+S129+V129+Y129+AB129+AE129</f>
        <v>0</v>
      </c>
      <c r="E129" s="85">
        <f>H129+K129+N129+Q129+T129+W129+Z129+AC129+AF129</f>
        <v>0</v>
      </c>
      <c r="F129" s="72"/>
      <c r="G129" s="163">
        <f>IF($C129,'Matriz de Pesos e Notas'!BL129/'Matriz de Pesos e Notas'!$CM129*'Matriz de Pesos e Notas'!$A$145*$C129,0)</f>
        <v>0</v>
      </c>
      <c r="H129" s="175">
        <f>IF($C129,'Matriz de Pesos e Notas'!BM129/'Matriz de Pesos e Notas'!$CN129*'Matriz de Pesos e Notas'!$A$146*$C129,0)</f>
        <v>0</v>
      </c>
      <c r="I129" s="175"/>
      <c r="J129" s="163">
        <f>IF($C129,'Matriz de Pesos e Notas'!BO129/'Matriz de Pesos e Notas'!$CM129*'Matriz de Pesos e Notas'!$A$145*$C129,0)</f>
        <v>0</v>
      </c>
      <c r="K129" s="175">
        <f>IF($C129,'Matriz de Pesos e Notas'!BP129/'Matriz de Pesos e Notas'!$CN129*'Matriz de Pesos e Notas'!$A$146*$C129,0)</f>
        <v>0</v>
      </c>
      <c r="L129" s="175"/>
      <c r="M129" s="163">
        <f>IF($C129,'Matriz de Pesos e Notas'!BR129/'Matriz de Pesos e Notas'!$CM129*'Matriz de Pesos e Notas'!$A$145*$C129,0)</f>
        <v>0</v>
      </c>
      <c r="N129" s="175">
        <f>IF($C129,'Matriz de Pesos e Notas'!BS129/'Matriz de Pesos e Notas'!$CN129*'Matriz de Pesos e Notas'!$A$146*$C129,0)</f>
        <v>0</v>
      </c>
      <c r="O129" s="175"/>
      <c r="P129" s="163">
        <f>IF($C129,'Matriz de Pesos e Notas'!BU129/'Matriz de Pesos e Notas'!$CM129*'Matriz de Pesos e Notas'!$A$145*$C129,0)</f>
        <v>0</v>
      </c>
      <c r="Q129" s="175">
        <f>IF($C129,'Matriz de Pesos e Notas'!BV129/'Matriz de Pesos e Notas'!$CN129*'Matriz de Pesos e Notas'!$A$146*$C129,0)</f>
        <v>0</v>
      </c>
      <c r="R129" s="175"/>
      <c r="S129" s="163">
        <f>IF($C129,'Matriz de Pesos e Notas'!BX129/'Matriz de Pesos e Notas'!$CM129*'Matriz de Pesos e Notas'!$A$145*$C129,0)</f>
        <v>0</v>
      </c>
      <c r="T129" s="175">
        <f>IF($C129,'Matriz de Pesos e Notas'!BY129/'Matriz de Pesos e Notas'!$CN129*'Matriz de Pesos e Notas'!$A$146*$C129,0)</f>
        <v>0</v>
      </c>
      <c r="U129" s="175"/>
      <c r="V129" s="163">
        <f>IF($C129,'Matriz de Pesos e Notas'!CA129/'Matriz de Pesos e Notas'!$CM129*'Matriz de Pesos e Notas'!$A$145*$C129,0)</f>
        <v>0</v>
      </c>
      <c r="W129" s="175">
        <f>IF($C129,'Matriz de Pesos e Notas'!CB129/'Matriz de Pesos e Notas'!$CN129*'Matriz de Pesos e Notas'!$A$146*$C129,0)</f>
        <v>0</v>
      </c>
      <c r="X129" s="175"/>
      <c r="Y129" s="163">
        <f>IF($C129,'Matriz de Pesos e Notas'!CD129/'Matriz de Pesos e Notas'!$CM129*'Matriz de Pesos e Notas'!$A$145*$C129,0)</f>
        <v>0</v>
      </c>
      <c r="Z129" s="175">
        <f>IF($C129,'Matriz de Pesos e Notas'!CE129/'Matriz de Pesos e Notas'!$CN129*'Matriz de Pesos e Notas'!$A$146*$C129,0)</f>
        <v>0</v>
      </c>
      <c r="AA129" s="175"/>
      <c r="AB129" s="163">
        <f>IF($C129,'Matriz de Pesos e Notas'!CG129/'Matriz de Pesos e Notas'!$CM129*'Matriz de Pesos e Notas'!$A$145*$C129,0)</f>
        <v>0</v>
      </c>
      <c r="AC129" s="175">
        <f>IF($C129,'Matriz de Pesos e Notas'!CH129/'Matriz de Pesos e Notas'!$CN129*'Matriz de Pesos e Notas'!$A$146*$C129,0)</f>
        <v>0</v>
      </c>
      <c r="AD129" s="175"/>
      <c r="AE129" s="163">
        <f>IF($C129,'Matriz de Pesos e Notas'!CJ129/'Matriz de Pesos e Notas'!$CM129*'Matriz de Pesos e Notas'!$A$145*$C129,0)</f>
        <v>0</v>
      </c>
      <c r="AF129" s="175">
        <f>IF($C129,'Matriz de Pesos e Notas'!CK129/'Matriz de Pesos e Notas'!$CN129*'Matriz de Pesos e Notas'!$A$146*$C129,0)</f>
        <v>0</v>
      </c>
      <c r="AG129" s="164"/>
      <c r="AH129" s="1" t="str">
        <f>IF(C129,"Imprime","Não Imprime")</f>
        <v>Não Imprime</v>
      </c>
    </row>
    <row r="130" spans="1:34" x14ac:dyDescent="0.2">
      <c r="A130" s="43"/>
      <c r="B130" s="65" t="str">
        <f>TEXT(D129,"0,00%")&amp;"        "&amp;TEXT(E129,"0,00%")</f>
        <v>0,00%        0,00%</v>
      </c>
      <c r="C130" s="92"/>
      <c r="D130" s="74"/>
      <c r="E130" s="74"/>
      <c r="F130" s="86"/>
      <c r="G130" s="165"/>
      <c r="H130" s="176"/>
      <c r="I130" s="176"/>
      <c r="J130" s="165"/>
      <c r="K130" s="176"/>
      <c r="L130" s="176"/>
      <c r="M130" s="165"/>
      <c r="N130" s="176"/>
      <c r="O130" s="176"/>
      <c r="P130" s="165"/>
      <c r="Q130" s="176"/>
      <c r="R130" s="176"/>
      <c r="S130" s="165"/>
      <c r="T130" s="176"/>
      <c r="U130" s="176"/>
      <c r="V130" s="165"/>
      <c r="W130" s="176"/>
      <c r="X130" s="176"/>
      <c r="Y130" s="165"/>
      <c r="Z130" s="176"/>
      <c r="AA130" s="176"/>
      <c r="AB130" s="165"/>
      <c r="AC130" s="176"/>
      <c r="AD130" s="176"/>
      <c r="AE130" s="165"/>
      <c r="AF130" s="176"/>
      <c r="AG130" s="166"/>
      <c r="AH130" s="8" t="str">
        <f>+AH129</f>
        <v>Não Imprime</v>
      </c>
    </row>
    <row r="131" spans="1:34" x14ac:dyDescent="0.2">
      <c r="A131" s="628" t="str">
        <f>'Matriz de Pesos e Notas'!A131</f>
        <v>Nome da Atividade 7 da Unidade 7</v>
      </c>
      <c r="B131" s="629"/>
      <c r="C131" s="92">
        <f>IF(ISTEXT('Matriz de Pesos e Notas'!C131),letrapeso('Matriz de Pesos e Notas'!C131)/SUM(letrapeso('Matriz de Pesos e Notas'!C119)+letrapeso('Matriz de Pesos e Notas'!C121)+letrapeso('Matriz de Pesos e Notas'!C123)+letrapeso('Matriz de Pesos e Notas'!C125)+letrapeso('Matriz de Pesos e Notas'!C127)+letrapeso('Matriz de Pesos e Notas'!C129)+letrapeso('Matriz de Pesos e Notas'!C131))*C117,0)</f>
        <v>0</v>
      </c>
      <c r="D131" s="85">
        <f>G131+J131+M131+P131+S131+V131+Y131+AB131+AE131</f>
        <v>0</v>
      </c>
      <c r="E131" s="85">
        <f>H131+K131+N131+Q131+T131+W131+Z131+AC131+AF131</f>
        <v>0</v>
      </c>
      <c r="F131" s="72"/>
      <c r="G131" s="163">
        <f>IF($C131,'Matriz de Pesos e Notas'!BL131/'Matriz de Pesos e Notas'!$CM131*'Matriz de Pesos e Notas'!$A$145*$C131,0)</f>
        <v>0</v>
      </c>
      <c r="H131" s="175">
        <f>IF($C131,'Matriz de Pesos e Notas'!BM131/'Matriz de Pesos e Notas'!$CN131*'Matriz de Pesos e Notas'!$A$146*$C131,0)</f>
        <v>0</v>
      </c>
      <c r="I131" s="175"/>
      <c r="J131" s="163">
        <f>IF($C131,'Matriz de Pesos e Notas'!BO131/'Matriz de Pesos e Notas'!$CM131*'Matriz de Pesos e Notas'!$A$145*$C131,0)</f>
        <v>0</v>
      </c>
      <c r="K131" s="175">
        <f>IF($C131,'Matriz de Pesos e Notas'!BP131/'Matriz de Pesos e Notas'!$CN131*'Matriz de Pesos e Notas'!$A$146*$C131,0)</f>
        <v>0</v>
      </c>
      <c r="L131" s="175"/>
      <c r="M131" s="163">
        <f>IF($C131,'Matriz de Pesos e Notas'!BR131/'Matriz de Pesos e Notas'!$CM131*'Matriz de Pesos e Notas'!$A$145*$C131,0)</f>
        <v>0</v>
      </c>
      <c r="N131" s="175">
        <f>IF($C131,'Matriz de Pesos e Notas'!BS131/'Matriz de Pesos e Notas'!$CN131*'Matriz de Pesos e Notas'!$A$146*$C131,0)</f>
        <v>0</v>
      </c>
      <c r="O131" s="175"/>
      <c r="P131" s="163">
        <f>IF($C131,'Matriz de Pesos e Notas'!BU131/'Matriz de Pesos e Notas'!$CM131*'Matriz de Pesos e Notas'!$A$145*$C131,0)</f>
        <v>0</v>
      </c>
      <c r="Q131" s="175">
        <f>IF($C131,'Matriz de Pesos e Notas'!BV131/'Matriz de Pesos e Notas'!$CN131*'Matriz de Pesos e Notas'!$A$146*$C131,0)</f>
        <v>0</v>
      </c>
      <c r="R131" s="175"/>
      <c r="S131" s="163">
        <f>IF($C131,'Matriz de Pesos e Notas'!BX131/'Matriz de Pesos e Notas'!$CM131*'Matriz de Pesos e Notas'!$A$145*$C131,0)</f>
        <v>0</v>
      </c>
      <c r="T131" s="175">
        <f>IF($C131,'Matriz de Pesos e Notas'!BY131/'Matriz de Pesos e Notas'!$CN131*'Matriz de Pesos e Notas'!$A$146*$C131,0)</f>
        <v>0</v>
      </c>
      <c r="U131" s="175"/>
      <c r="V131" s="163">
        <f>IF($C131,'Matriz de Pesos e Notas'!CA131/'Matriz de Pesos e Notas'!$CM131*'Matriz de Pesos e Notas'!$A$145*$C131,0)</f>
        <v>0</v>
      </c>
      <c r="W131" s="175">
        <f>IF($C131,'Matriz de Pesos e Notas'!CB131/'Matriz de Pesos e Notas'!$CN131*'Matriz de Pesos e Notas'!$A$146*$C131,0)</f>
        <v>0</v>
      </c>
      <c r="X131" s="175"/>
      <c r="Y131" s="163">
        <f>IF($C131,'Matriz de Pesos e Notas'!CD131/'Matriz de Pesos e Notas'!$CM131*'Matriz de Pesos e Notas'!$A$145*$C131,0)</f>
        <v>0</v>
      </c>
      <c r="Z131" s="175">
        <f>IF($C131,'Matriz de Pesos e Notas'!CE131/'Matriz de Pesos e Notas'!$CN131*'Matriz de Pesos e Notas'!$A$146*$C131,0)</f>
        <v>0</v>
      </c>
      <c r="AA131" s="175"/>
      <c r="AB131" s="163">
        <f>IF($C131,'Matriz de Pesos e Notas'!CG131/'Matriz de Pesos e Notas'!$CM131*'Matriz de Pesos e Notas'!$A$145*$C131,0)</f>
        <v>0</v>
      </c>
      <c r="AC131" s="175">
        <f>IF($C131,'Matriz de Pesos e Notas'!CH131/'Matriz de Pesos e Notas'!$CN131*'Matriz de Pesos e Notas'!$A$146*$C131,0)</f>
        <v>0</v>
      </c>
      <c r="AD131" s="175"/>
      <c r="AE131" s="163">
        <f>IF($C131,'Matriz de Pesos e Notas'!CJ131/'Matriz de Pesos e Notas'!$CM131*'Matriz de Pesos e Notas'!$A$145*$C131,0)</f>
        <v>0</v>
      </c>
      <c r="AF131" s="175">
        <f>IF($C131,'Matriz de Pesos e Notas'!CK131/'Matriz de Pesos e Notas'!$CN131*'Matriz de Pesos e Notas'!$A$146*$C131,0)</f>
        <v>0</v>
      </c>
      <c r="AG131" s="164"/>
      <c r="AH131" s="1" t="str">
        <f>IF(C131,"Imprime","Não Imprime")</f>
        <v>Não Imprime</v>
      </c>
    </row>
    <row r="132" spans="1:34" ht="15.75" thickBot="1" x14ac:dyDescent="0.25">
      <c r="A132" s="30"/>
      <c r="B132" s="107" t="str">
        <f>TEXT(D131,"0,00%")&amp;"        "&amp;TEXT(E131,"0,00%")</f>
        <v>0,00%        0,00%</v>
      </c>
      <c r="C132" s="93"/>
      <c r="D132" s="76"/>
      <c r="E132" s="76"/>
      <c r="F132" s="100"/>
      <c r="G132" s="168"/>
      <c r="H132" s="178"/>
      <c r="I132" s="178"/>
      <c r="J132" s="168"/>
      <c r="K132" s="178"/>
      <c r="L132" s="178"/>
      <c r="M132" s="168"/>
      <c r="N132" s="180"/>
      <c r="O132" s="180"/>
      <c r="P132" s="168"/>
      <c r="Q132" s="178"/>
      <c r="R132" s="178"/>
      <c r="S132" s="168"/>
      <c r="T132" s="178"/>
      <c r="U132" s="178"/>
      <c r="V132" s="168"/>
      <c r="W132" s="178"/>
      <c r="X132" s="178"/>
      <c r="Y132" s="168"/>
      <c r="Z132" s="178"/>
      <c r="AA132" s="178"/>
      <c r="AB132" s="168"/>
      <c r="AC132" s="178"/>
      <c r="AD132" s="178"/>
      <c r="AE132" s="168"/>
      <c r="AF132" s="178"/>
      <c r="AG132" s="169"/>
      <c r="AH132" s="8" t="str">
        <f>+AH131</f>
        <v>Não Imprime</v>
      </c>
    </row>
    <row r="133" spans="1:34" s="28" customFormat="1" ht="13.5" thickTop="1" thickBot="1" x14ac:dyDescent="0.25">
      <c r="A133" s="45"/>
      <c r="B133" s="66"/>
      <c r="C133" s="67"/>
      <c r="D133" s="77"/>
      <c r="E133" s="77"/>
      <c r="F133" s="78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6"/>
      <c r="AH133" s="1" t="s">
        <v>10</v>
      </c>
    </row>
    <row r="134" spans="1:34" ht="17.25" thickTop="1" thickBot="1" x14ac:dyDescent="0.25">
      <c r="A134" s="46"/>
      <c r="B134" s="47" t="s">
        <v>36</v>
      </c>
      <c r="C134" s="39" t="s">
        <v>46</v>
      </c>
      <c r="D134" s="74"/>
      <c r="E134" s="74"/>
      <c r="F134" s="75"/>
      <c r="G134" s="639" t="s">
        <v>12</v>
      </c>
      <c r="H134" s="640"/>
      <c r="I134" s="170"/>
      <c r="J134" s="639" t="s">
        <v>2</v>
      </c>
      <c r="K134" s="640"/>
      <c r="L134" s="170"/>
      <c r="M134" s="639" t="s">
        <v>3</v>
      </c>
      <c r="N134" s="640"/>
      <c r="O134" s="170"/>
      <c r="P134" s="639" t="s">
        <v>11</v>
      </c>
      <c r="Q134" s="640"/>
      <c r="R134" s="170"/>
      <c r="S134" s="639" t="s">
        <v>202</v>
      </c>
      <c r="T134" s="640"/>
      <c r="U134" s="170"/>
      <c r="V134" s="639" t="s">
        <v>0</v>
      </c>
      <c r="W134" s="640"/>
      <c r="X134" s="170"/>
      <c r="Y134" s="639" t="s">
        <v>1</v>
      </c>
      <c r="Z134" s="640"/>
      <c r="AA134" s="170"/>
      <c r="AB134" s="639" t="s">
        <v>7</v>
      </c>
      <c r="AC134" s="640"/>
      <c r="AD134" s="170"/>
      <c r="AE134" s="639" t="s">
        <v>8</v>
      </c>
      <c r="AF134" s="640"/>
      <c r="AG134" s="170"/>
      <c r="AH134" s="4" t="s">
        <v>10</v>
      </c>
    </row>
    <row r="135" spans="1:34" ht="15.75" thickTop="1" x14ac:dyDescent="0.2">
      <c r="A135" s="649" t="s">
        <v>48</v>
      </c>
      <c r="B135" s="643" t="str">
        <f>TEXT(D135,"0,00%")&amp;"        "&amp;TEXT(E135,"0,00%")</f>
        <v>33,00%        27,00%</v>
      </c>
      <c r="C135" s="661">
        <f>'Matriz de Pesos e Notas'!A135</f>
        <v>0.6</v>
      </c>
      <c r="D135" s="645">
        <f>G135+J135+M135+P135+S135+V135+Y135+AB135+AE135</f>
        <v>0.33</v>
      </c>
      <c r="E135" s="647">
        <f>H135+K135+N135+Q135+T135+W135+Z135+AC135+AF135</f>
        <v>0.27</v>
      </c>
      <c r="F135" s="641"/>
      <c r="G135" s="181">
        <f>SUM(G7:G132)</f>
        <v>0.20482758620689656</v>
      </c>
      <c r="H135" s="182">
        <f>SUM(H7:H132)</f>
        <v>0.16758620689655174</v>
      </c>
      <c r="I135" s="183"/>
      <c r="J135" s="181">
        <f>SUM(J7:J132)</f>
        <v>4.5517241379310347E-2</v>
      </c>
      <c r="K135" s="182">
        <f>SUM(K7:K132)</f>
        <v>3.7241379310344831E-2</v>
      </c>
      <c r="L135" s="182"/>
      <c r="M135" s="181">
        <f>SUM(M7:M132)</f>
        <v>4.5517241379310347E-2</v>
      </c>
      <c r="N135" s="182">
        <f>SUM(N7:N132)</f>
        <v>3.7241379310344831E-2</v>
      </c>
      <c r="O135" s="182"/>
      <c r="P135" s="181">
        <f>SUM(P7:P132)</f>
        <v>3.413793103448276E-2</v>
      </c>
      <c r="Q135" s="182">
        <f>SUM(Q7:Q132)</f>
        <v>2.7931034482758625E-2</v>
      </c>
      <c r="R135" s="182"/>
      <c r="S135" s="181">
        <f>SUM(S7:S132)</f>
        <v>0</v>
      </c>
      <c r="T135" s="182">
        <f>SUM(T7:T132)</f>
        <v>0</v>
      </c>
      <c r="U135" s="182"/>
      <c r="V135" s="181">
        <f>SUM(V7:V132)</f>
        <v>0</v>
      </c>
      <c r="W135" s="182">
        <f>SUM(W7:W132)</f>
        <v>0</v>
      </c>
      <c r="X135" s="182"/>
      <c r="Y135" s="181">
        <f>SUM(Y7:Y132)</f>
        <v>0</v>
      </c>
      <c r="Z135" s="182">
        <f>SUM(Z7:Z132)</f>
        <v>0</v>
      </c>
      <c r="AA135" s="182"/>
      <c r="AB135" s="181">
        <f>SUM(AB7:AB132)</f>
        <v>0</v>
      </c>
      <c r="AC135" s="182">
        <f>SUM(AC7:AC132)</f>
        <v>0</v>
      </c>
      <c r="AD135" s="182"/>
      <c r="AE135" s="181">
        <f>SUM(AE7:AE132)</f>
        <v>0</v>
      </c>
      <c r="AF135" s="182">
        <f>SUM(AF7:AF132)</f>
        <v>0</v>
      </c>
      <c r="AG135" s="202"/>
      <c r="AH135" s="4" t="s">
        <v>10</v>
      </c>
    </row>
    <row r="136" spans="1:34" x14ac:dyDescent="0.2">
      <c r="A136" s="650"/>
      <c r="B136" s="644" t="str">
        <f>TEXT(D135,"0,00%")&amp;"        "&amp;TEXT(E135,"0,00%")</f>
        <v>33,00%        27,00%</v>
      </c>
      <c r="C136" s="536"/>
      <c r="D136" s="646" t="e">
        <f>G136+#REF!+J136+M136+P136+S136+V136+Y136+AB136+AE136</f>
        <v>#REF!</v>
      </c>
      <c r="E136" s="648" t="e">
        <f>H136+#REF!+K136+N136+Q136+T136+W136+Z136+AC136+AF136</f>
        <v>#REF!</v>
      </c>
      <c r="F136" s="642"/>
      <c r="G136" s="103"/>
      <c r="H136" s="95"/>
      <c r="I136" s="95"/>
      <c r="J136" s="103"/>
      <c r="K136" s="95"/>
      <c r="L136" s="95"/>
      <c r="M136" s="103"/>
      <c r="N136" s="95"/>
      <c r="O136" s="95"/>
      <c r="P136" s="103"/>
      <c r="Q136" s="95"/>
      <c r="R136" s="95"/>
      <c r="S136" s="103"/>
      <c r="T136" s="95"/>
      <c r="U136" s="95"/>
      <c r="V136" s="103"/>
      <c r="W136" s="95"/>
      <c r="X136" s="95"/>
      <c r="Y136" s="103"/>
      <c r="Z136" s="95"/>
      <c r="AA136" s="95"/>
      <c r="AB136" s="103"/>
      <c r="AC136" s="95"/>
      <c r="AD136" s="95"/>
      <c r="AE136" s="103"/>
      <c r="AF136" s="95"/>
      <c r="AG136" s="203"/>
      <c r="AH136" s="4" t="s">
        <v>10</v>
      </c>
    </row>
    <row r="137" spans="1:34" x14ac:dyDescent="0.2">
      <c r="A137" s="659" t="s">
        <v>47</v>
      </c>
      <c r="B137" s="643" t="str">
        <f>TEXT(D137,"0,00%")&amp;"        "&amp;TEXT(E137,"0,00%")</f>
        <v>22,00%        18,00%</v>
      </c>
      <c r="C137" s="662">
        <f>'Matriz de Pesos e Notas'!A137</f>
        <v>0.4</v>
      </c>
      <c r="D137" s="653">
        <f>G137+J137+M137+P137+S137+V137+Y137+AB137+AE137</f>
        <v>0.22</v>
      </c>
      <c r="E137" s="655">
        <f>H137+K137+N137+Q137+T137+W137+Z137+AC137+AF137</f>
        <v>0.18000000000000002</v>
      </c>
      <c r="F137" s="657"/>
      <c r="G137" s="160">
        <f>IF($C137,'Matriz de Pesos e Notas'!BL137/'Matriz de Pesos e Notas'!$CM137*'Matriz de Pesos e Notas'!$A$145*$C137,0)</f>
        <v>0</v>
      </c>
      <c r="H137" s="161">
        <f>IF($C137,'Matriz de Pesos e Notas'!BM137/'Matriz de Pesos e Notas'!$CN137*'Matriz de Pesos e Notas'!$A$146*$C137,0)</f>
        <v>0</v>
      </c>
      <c r="I137" s="161"/>
      <c r="J137" s="160">
        <f>IF($C137,'Matriz de Pesos e Notas'!BO137/'Matriz de Pesos e Notas'!$CM137*'Matriz de Pesos e Notas'!$A$145*$C137,0)</f>
        <v>0</v>
      </c>
      <c r="K137" s="161">
        <f>IF($C137,'Matriz de Pesos e Notas'!BP137/'Matriz de Pesos e Notas'!$CN137*'Matriz de Pesos e Notas'!$A$146*$C137,0)</f>
        <v>0</v>
      </c>
      <c r="L137" s="161"/>
      <c r="M137" s="160">
        <f>IF($C137,'Matriz de Pesos e Notas'!BR137/'Matriz de Pesos e Notas'!$CM137*'Matriz de Pesos e Notas'!$A$145*$C137,0)</f>
        <v>0</v>
      </c>
      <c r="N137" s="161">
        <f>IF($C137,'Matriz de Pesos e Notas'!BS137/'Matriz de Pesos e Notas'!$CN137*'Matriz de Pesos e Notas'!$A$146*$C137,0)</f>
        <v>0</v>
      </c>
      <c r="O137" s="161"/>
      <c r="P137" s="160">
        <f>IF($C137,'Matriz de Pesos e Notas'!BU137/'Matriz de Pesos e Notas'!$CM137*'Matriz de Pesos e Notas'!$A$145*$C137,0)</f>
        <v>0</v>
      </c>
      <c r="Q137" s="161">
        <f>IF($C137,'Matriz de Pesos e Notas'!BV137/'Matriz de Pesos e Notas'!$CN137*'Matriz de Pesos e Notas'!$A$146*$C137,0)</f>
        <v>0</v>
      </c>
      <c r="R137" s="161"/>
      <c r="S137" s="160">
        <f>IF($C137,'Matriz de Pesos e Notas'!BX137/'Matriz de Pesos e Notas'!$CM137*'Matriz de Pesos e Notas'!$A$145*$C137,0)</f>
        <v>5.5000000000000007E-2</v>
      </c>
      <c r="T137" s="161">
        <f>IF($C137,'Matriz de Pesos e Notas'!BY137/'Matriz de Pesos e Notas'!$CN137*'Matriz de Pesos e Notas'!$A$146*$C137,0)</f>
        <v>4.5000000000000005E-2</v>
      </c>
      <c r="U137" s="161"/>
      <c r="V137" s="160">
        <f>IF($C137,'Matriz de Pesos e Notas'!CA137/'Matriz de Pesos e Notas'!$CM137*'Matriz de Pesos e Notas'!$A$145*$C137,0)</f>
        <v>2.7500000000000004E-2</v>
      </c>
      <c r="W137" s="161">
        <f>IF($C137,'Matriz de Pesos e Notas'!CB137/'Matriz de Pesos e Notas'!$CN137*'Matriz de Pesos e Notas'!$A$146*$C137,0)</f>
        <v>2.2500000000000003E-2</v>
      </c>
      <c r="X137" s="161"/>
      <c r="Y137" s="160">
        <f>IF($C137,'Matriz de Pesos e Notas'!CD137/'Matriz de Pesos e Notas'!$CM137*'Matriz de Pesos e Notas'!$A$145*$C137,0)</f>
        <v>5.5000000000000007E-2</v>
      </c>
      <c r="Z137" s="161">
        <f>IF($C137,'Matriz de Pesos e Notas'!CE137/'Matriz de Pesos e Notas'!$CN137*'Matriz de Pesos e Notas'!$A$146*$C137,0)</f>
        <v>4.5000000000000005E-2</v>
      </c>
      <c r="AA137" s="161"/>
      <c r="AB137" s="160">
        <f>IF($C137,'Matriz de Pesos e Notas'!CG137/'Matriz de Pesos e Notas'!$CM137*'Matriz de Pesos e Notas'!$A$145*$C137,0)</f>
        <v>5.5000000000000007E-2</v>
      </c>
      <c r="AC137" s="161">
        <f>IF($C137,'Matriz de Pesos e Notas'!CH137/'Matriz de Pesos e Notas'!$CN137*'Matriz de Pesos e Notas'!$A$146*$C137,0)</f>
        <v>4.5000000000000005E-2</v>
      </c>
      <c r="AD137" s="161"/>
      <c r="AE137" s="160">
        <f>IF($C137,'Matriz de Pesos e Notas'!CJ137/'Matriz de Pesos e Notas'!$CM137*'Matriz de Pesos e Notas'!$A$145*$C137,0)</f>
        <v>2.7500000000000004E-2</v>
      </c>
      <c r="AF137" s="161">
        <f>IF($C137,'Matriz de Pesos e Notas'!CK137/'Matriz de Pesos e Notas'!$CN137*'Matriz de Pesos e Notas'!$A$146*$C137,0)</f>
        <v>2.2500000000000003E-2</v>
      </c>
      <c r="AG137" s="204"/>
      <c r="AH137" s="4" t="s">
        <v>10</v>
      </c>
    </row>
    <row r="138" spans="1:34" ht="15.75" thickBot="1" x14ac:dyDescent="0.25">
      <c r="A138" s="660"/>
      <c r="B138" s="663" t="str">
        <f>TEXT(D137,"0,00%")&amp;"        "&amp;TEXT(E137,"0,00%")</f>
        <v>22,00%        18,00%</v>
      </c>
      <c r="C138" s="540"/>
      <c r="D138" s="654" t="e">
        <f>G138+#REF!+J138+M138+P138+S138+V138+Y138+AB138+AE138</f>
        <v>#REF!</v>
      </c>
      <c r="E138" s="656" t="e">
        <f>H138+#REF!+K138+N138+Q138+T138+W138+Z138+AC138+AF138</f>
        <v>#REF!</v>
      </c>
      <c r="F138" s="658"/>
      <c r="G138" s="101"/>
      <c r="H138" s="89"/>
      <c r="I138" s="89"/>
      <c r="J138" s="101"/>
      <c r="K138" s="89"/>
      <c r="L138" s="89"/>
      <c r="M138" s="101"/>
      <c r="N138" s="89"/>
      <c r="O138" s="89"/>
      <c r="P138" s="101"/>
      <c r="Q138" s="89"/>
      <c r="R138" s="89"/>
      <c r="S138" s="101"/>
      <c r="T138" s="89"/>
      <c r="U138" s="89"/>
      <c r="V138" s="101"/>
      <c r="W138" s="89"/>
      <c r="X138" s="89"/>
      <c r="Y138" s="101"/>
      <c r="Z138" s="89"/>
      <c r="AA138" s="89"/>
      <c r="AB138" s="101"/>
      <c r="AC138" s="89"/>
      <c r="AD138" s="89"/>
      <c r="AE138" s="101"/>
      <c r="AF138" s="89"/>
      <c r="AG138" s="90"/>
      <c r="AH138" s="4" t="s">
        <v>10</v>
      </c>
    </row>
    <row r="139" spans="1:34" s="28" customFormat="1" ht="13.5" thickTop="1" thickBot="1" x14ac:dyDescent="0.25">
      <c r="A139" s="48"/>
      <c r="B139" s="49"/>
      <c r="C139" s="50"/>
      <c r="D139" s="79"/>
      <c r="E139" s="79"/>
      <c r="F139" s="79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1" t="s">
        <v>10</v>
      </c>
    </row>
    <row r="140" spans="1:34" ht="20.25" thickTop="1" x14ac:dyDescent="0.2">
      <c r="A140" s="51"/>
      <c r="B140" s="52" t="s">
        <v>43</v>
      </c>
      <c r="C140" s="53"/>
      <c r="D140" s="80"/>
      <c r="E140" s="80"/>
      <c r="F140" s="81"/>
      <c r="G140" s="159">
        <f>G135+G137</f>
        <v>0.20482758620689656</v>
      </c>
      <c r="H140" s="179">
        <f>H135+H137</f>
        <v>0.16758620689655174</v>
      </c>
      <c r="I140" s="179"/>
      <c r="J140" s="159">
        <f>J135+J137</f>
        <v>4.5517241379310347E-2</v>
      </c>
      <c r="K140" s="179">
        <f>K135+K137</f>
        <v>3.7241379310344831E-2</v>
      </c>
      <c r="L140" s="179"/>
      <c r="M140" s="159">
        <f>M135+M137</f>
        <v>4.5517241379310347E-2</v>
      </c>
      <c r="N140" s="179">
        <f>N135+N137</f>
        <v>3.7241379310344831E-2</v>
      </c>
      <c r="O140" s="179"/>
      <c r="P140" s="159">
        <f>P135+P137</f>
        <v>3.413793103448276E-2</v>
      </c>
      <c r="Q140" s="179">
        <f>Q135+Q137</f>
        <v>2.7931034482758625E-2</v>
      </c>
      <c r="R140" s="179"/>
      <c r="S140" s="159">
        <f>S135+S137</f>
        <v>5.5000000000000007E-2</v>
      </c>
      <c r="T140" s="179">
        <f>T135+T137</f>
        <v>4.5000000000000005E-2</v>
      </c>
      <c r="U140" s="179"/>
      <c r="V140" s="159">
        <f>V135+V137</f>
        <v>2.7500000000000004E-2</v>
      </c>
      <c r="W140" s="179">
        <f>W135+W137</f>
        <v>2.2500000000000003E-2</v>
      </c>
      <c r="X140" s="179"/>
      <c r="Y140" s="159">
        <f>Y135+Y137</f>
        <v>5.5000000000000007E-2</v>
      </c>
      <c r="Z140" s="179">
        <f>Z135+Z137</f>
        <v>4.5000000000000005E-2</v>
      </c>
      <c r="AA140" s="179"/>
      <c r="AB140" s="159">
        <f>AB135+AB137</f>
        <v>5.5000000000000007E-2</v>
      </c>
      <c r="AC140" s="179">
        <f>AC135+AC137</f>
        <v>4.5000000000000005E-2</v>
      </c>
      <c r="AD140" s="179"/>
      <c r="AE140" s="159">
        <f>AE135+AE137</f>
        <v>2.7500000000000004E-2</v>
      </c>
      <c r="AF140" s="179">
        <f>AF135+AF137</f>
        <v>2.2500000000000003E-2</v>
      </c>
      <c r="AG140" s="194"/>
      <c r="AH140" s="4" t="s">
        <v>10</v>
      </c>
    </row>
    <row r="141" spans="1:34" ht="23.25" thickBot="1" x14ac:dyDescent="0.25">
      <c r="A141" s="54"/>
      <c r="B141" s="104" t="s">
        <v>44</v>
      </c>
      <c r="C141" s="55"/>
      <c r="D141" s="82"/>
      <c r="E141" s="80"/>
      <c r="F141" s="81"/>
      <c r="G141" s="97"/>
      <c r="H141" s="98"/>
      <c r="I141" s="98"/>
      <c r="J141" s="97"/>
      <c r="K141" s="98"/>
      <c r="L141" s="98"/>
      <c r="M141" s="97"/>
      <c r="N141" s="98"/>
      <c r="O141" s="98"/>
      <c r="P141" s="97"/>
      <c r="Q141" s="98"/>
      <c r="R141" s="98"/>
      <c r="S141" s="97"/>
      <c r="T141" s="98"/>
      <c r="U141" s="98"/>
      <c r="V141" s="97"/>
      <c r="W141" s="98"/>
      <c r="X141" s="98"/>
      <c r="Y141" s="97"/>
      <c r="Z141" s="98"/>
      <c r="AA141" s="98"/>
      <c r="AB141" s="97"/>
      <c r="AC141" s="98"/>
      <c r="AD141" s="98"/>
      <c r="AE141" s="97"/>
      <c r="AF141" s="98"/>
      <c r="AG141" s="195"/>
      <c r="AH141" s="4" t="s">
        <v>10</v>
      </c>
    </row>
    <row r="142" spans="1:34" ht="19.5" customHeight="1" thickTop="1" x14ac:dyDescent="0.2">
      <c r="A142" s="544" t="s">
        <v>35</v>
      </c>
      <c r="B142" s="544"/>
      <c r="C142" s="544"/>
      <c r="E142" s="2"/>
      <c r="F142" s="7"/>
      <c r="G142" s="88"/>
      <c r="H142" s="88"/>
      <c r="I142" s="88"/>
      <c r="J142" s="57"/>
      <c r="K142" s="57"/>
      <c r="L142" s="57"/>
      <c r="M142" s="88"/>
      <c r="N142" s="88"/>
      <c r="O142" s="57"/>
      <c r="P142" s="88"/>
      <c r="Q142" s="88"/>
      <c r="R142" s="57"/>
      <c r="S142" s="88"/>
      <c r="T142" s="88"/>
      <c r="U142" s="57"/>
      <c r="V142" s="88"/>
      <c r="W142" s="88"/>
      <c r="X142" s="57"/>
      <c r="Y142" s="40"/>
      <c r="Z142" s="40"/>
      <c r="AB142" s="40"/>
      <c r="AC142" s="40"/>
      <c r="AE142" s="58"/>
      <c r="AF142" s="13"/>
      <c r="AG142" s="13"/>
      <c r="AH142" s="8" t="s">
        <v>10</v>
      </c>
    </row>
    <row r="143" spans="1:34" x14ac:dyDescent="0.2">
      <c r="A143" s="652"/>
      <c r="B143" s="652"/>
      <c r="C143" s="652"/>
      <c r="D143" s="59"/>
      <c r="E143" s="2"/>
      <c r="F143" s="7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8" t="s">
        <v>10</v>
      </c>
    </row>
    <row r="144" spans="1:34" ht="23.25" x14ac:dyDescent="0.2">
      <c r="A144" s="68" t="s">
        <v>6</v>
      </c>
      <c r="B144" s="69" t="str">
        <f xml:space="preserve"> "= R x "&amp;A145&amp;" + C x "&amp;A146</f>
        <v>= R x 0,55 + C x 0,45</v>
      </c>
      <c r="C144" s="70"/>
      <c r="F144" s="7"/>
      <c r="M144" s="40"/>
      <c r="N144" s="3"/>
      <c r="O144" s="3"/>
      <c r="P144" s="40"/>
      <c r="Q144" s="40"/>
      <c r="S144" s="40"/>
      <c r="T144" s="40"/>
      <c r="V144" s="40"/>
      <c r="W144" s="40"/>
      <c r="Y144" s="87"/>
      <c r="Z144" s="40"/>
      <c r="AB144" s="40"/>
      <c r="AC144" s="3"/>
      <c r="AD144" s="3"/>
      <c r="AE144" s="60"/>
      <c r="AF144" s="3"/>
      <c r="AG144" s="3"/>
      <c r="AH144" s="8" t="s">
        <v>45</v>
      </c>
    </row>
    <row r="145" spans="1:34" x14ac:dyDescent="0.2">
      <c r="A145" s="651">
        <f>'Matriz de Pesos e Notas'!A145</f>
        <v>0.55000000000000004</v>
      </c>
      <c r="B145" s="651"/>
      <c r="C145" s="651"/>
      <c r="D145" s="61"/>
      <c r="E145" s="61"/>
      <c r="F145" s="62"/>
      <c r="J145" s="60"/>
      <c r="K145" s="3"/>
      <c r="L145" s="3"/>
      <c r="M145" s="60"/>
      <c r="N145" s="3"/>
      <c r="O145" s="3"/>
      <c r="P145" s="60"/>
      <c r="Q145" s="3"/>
      <c r="R145" s="3"/>
      <c r="S145" s="60"/>
      <c r="T145" s="3"/>
      <c r="U145" s="3"/>
      <c r="V145" s="60"/>
      <c r="W145" s="40"/>
      <c r="Y145" s="40"/>
      <c r="Z145" s="40"/>
      <c r="AB145" s="60"/>
      <c r="AC145" s="3"/>
      <c r="AD145" s="3"/>
      <c r="AE145" s="60"/>
      <c r="AF145" s="3"/>
      <c r="AG145" s="3"/>
      <c r="AH145" s="8" t="s">
        <v>45</v>
      </c>
    </row>
    <row r="146" spans="1:34" x14ac:dyDescent="0.2">
      <c r="A146" s="651">
        <f>'Matriz de Pesos e Notas'!A146</f>
        <v>0.45</v>
      </c>
      <c r="B146" s="651"/>
      <c r="C146" s="651"/>
      <c r="D146" s="63"/>
      <c r="E146" s="63"/>
      <c r="M146" s="40"/>
      <c r="N146" s="40"/>
      <c r="P146" s="40"/>
      <c r="Q146" s="40"/>
      <c r="S146" s="40"/>
      <c r="T146" s="40"/>
      <c r="V146" s="40"/>
      <c r="W146" s="40"/>
      <c r="Y146" s="40"/>
      <c r="Z146" s="40"/>
      <c r="AB146" s="40"/>
      <c r="AC146" s="40"/>
      <c r="AE146" s="40"/>
      <c r="AF146" s="40"/>
      <c r="AG146" s="40"/>
      <c r="AH146" s="8" t="s">
        <v>45</v>
      </c>
    </row>
    <row r="147" spans="1:34" x14ac:dyDescent="0.2">
      <c r="M147" s="40"/>
      <c r="N147" s="40"/>
      <c r="P147" s="40"/>
      <c r="Q147" s="40"/>
      <c r="S147" s="40"/>
      <c r="T147" s="40"/>
      <c r="V147" s="40"/>
      <c r="W147" s="40"/>
      <c r="Y147" s="40"/>
      <c r="Z147" s="40"/>
      <c r="AB147" s="40"/>
      <c r="AC147" s="40"/>
      <c r="AE147" s="40"/>
      <c r="AF147" s="40"/>
      <c r="AG147" s="40"/>
    </row>
    <row r="148" spans="1:34" x14ac:dyDescent="0.2">
      <c r="M148" s="40"/>
      <c r="N148" s="40"/>
      <c r="P148" s="40"/>
      <c r="Q148" s="40"/>
      <c r="S148" s="40"/>
      <c r="T148" s="40"/>
      <c r="V148" s="40"/>
      <c r="W148" s="40"/>
      <c r="Y148" s="40"/>
      <c r="Z148" s="40"/>
      <c r="AB148" s="40"/>
      <c r="AC148" s="40"/>
      <c r="AE148" s="40"/>
      <c r="AF148" s="40"/>
      <c r="AG148" s="40"/>
    </row>
    <row r="149" spans="1:34" x14ac:dyDescent="0.2">
      <c r="M149" s="40"/>
      <c r="N149" s="40"/>
      <c r="P149" s="40"/>
      <c r="Q149" s="40"/>
      <c r="S149" s="40"/>
      <c r="T149" s="40"/>
      <c r="V149" s="40"/>
      <c r="W149" s="40"/>
      <c r="Y149" s="40"/>
      <c r="Z149" s="40"/>
      <c r="AB149" s="40"/>
      <c r="AC149" s="40"/>
      <c r="AE149" s="40"/>
      <c r="AF149" s="40"/>
      <c r="AG149" s="40"/>
    </row>
    <row r="150" spans="1:34" x14ac:dyDescent="0.2">
      <c r="A150" s="29" t="str">
        <f>'Matriz de Pesos e Notas'!C5</f>
        <v>a</v>
      </c>
      <c r="B150" s="64">
        <f t="shared" ref="B150:B157" si="0">letrapeso(A150)</f>
        <v>8</v>
      </c>
      <c r="C150" s="44">
        <f>+B150/$B$159</f>
        <v>0.27586206896551724</v>
      </c>
      <c r="M150" s="40"/>
      <c r="N150" s="40"/>
      <c r="P150" s="40"/>
      <c r="Q150" s="40"/>
      <c r="S150" s="40"/>
      <c r="T150" s="40"/>
      <c r="V150" s="40"/>
      <c r="W150" s="40"/>
      <c r="Y150" s="40"/>
      <c r="Z150" s="40"/>
      <c r="AB150" s="40"/>
      <c r="AC150" s="40"/>
      <c r="AE150" s="40"/>
      <c r="AF150" s="40"/>
      <c r="AG150" s="40"/>
    </row>
    <row r="151" spans="1:34" x14ac:dyDescent="0.2">
      <c r="A151" s="29" t="str">
        <f>'Matriz de Pesos e Notas'!C21</f>
        <v>ma</v>
      </c>
      <c r="B151" s="64">
        <f t="shared" si="0"/>
        <v>4</v>
      </c>
      <c r="C151" s="44">
        <f t="shared" ref="C151:C157" si="1">+B151/$B$159</f>
        <v>0.13793103448275862</v>
      </c>
      <c r="M151" s="40"/>
      <c r="N151" s="40"/>
      <c r="P151" s="40"/>
      <c r="Q151" s="40"/>
      <c r="S151" s="40"/>
      <c r="T151" s="40"/>
      <c r="V151" s="40"/>
      <c r="W151" s="40"/>
      <c r="Y151" s="40"/>
      <c r="Z151" s="40"/>
      <c r="AB151" s="40"/>
      <c r="AC151" s="40"/>
      <c r="AE151" s="40"/>
      <c r="AF151" s="40"/>
      <c r="AG151" s="40"/>
    </row>
    <row r="152" spans="1:34" x14ac:dyDescent="0.2">
      <c r="A152" s="29" t="str">
        <f>'Matriz de Pesos e Notas'!C37</f>
        <v>ma</v>
      </c>
      <c r="B152" s="64">
        <f t="shared" si="0"/>
        <v>4</v>
      </c>
      <c r="C152" s="44">
        <f t="shared" si="1"/>
        <v>0.13793103448275862</v>
      </c>
      <c r="M152" s="40"/>
      <c r="N152" s="40"/>
      <c r="P152" s="40"/>
      <c r="Q152" s="40"/>
      <c r="S152" s="40"/>
      <c r="T152" s="40"/>
      <c r="V152" s="40"/>
      <c r="W152" s="40"/>
      <c r="Y152" s="40"/>
      <c r="Z152" s="40"/>
      <c r="AB152" s="40"/>
      <c r="AC152" s="40"/>
      <c r="AE152" s="40"/>
      <c r="AF152" s="40"/>
      <c r="AG152" s="40"/>
    </row>
    <row r="153" spans="1:34" x14ac:dyDescent="0.2">
      <c r="A153" s="29" t="str">
        <f>'Matriz de Pesos e Notas'!C53</f>
        <v>mb</v>
      </c>
      <c r="B153" s="64">
        <f t="shared" si="0"/>
        <v>2</v>
      </c>
      <c r="C153" s="44">
        <f t="shared" si="1"/>
        <v>6.8965517241379309E-2</v>
      </c>
      <c r="M153" s="40"/>
      <c r="N153" s="40"/>
      <c r="P153" s="40"/>
      <c r="Q153" s="40"/>
      <c r="S153" s="40"/>
      <c r="T153" s="40"/>
      <c r="V153" s="40"/>
      <c r="W153" s="40"/>
      <c r="Y153" s="40"/>
      <c r="Z153" s="40"/>
      <c r="AB153" s="40"/>
      <c r="AC153" s="40"/>
      <c r="AE153" s="40"/>
      <c r="AF153" s="40"/>
      <c r="AG153" s="40"/>
    </row>
    <row r="154" spans="1:34" x14ac:dyDescent="0.2">
      <c r="A154" s="29" t="str">
        <f>'Matriz de Pesos e Notas'!C69</f>
        <v>a</v>
      </c>
      <c r="B154" s="64">
        <f t="shared" si="0"/>
        <v>8</v>
      </c>
      <c r="C154" s="44">
        <f t="shared" si="1"/>
        <v>0.27586206896551724</v>
      </c>
      <c r="M154" s="40"/>
      <c r="N154" s="40"/>
      <c r="P154" s="40"/>
      <c r="Q154" s="40"/>
      <c r="S154" s="40"/>
      <c r="T154" s="40"/>
      <c r="V154" s="40"/>
      <c r="W154" s="40"/>
      <c r="Y154" s="40"/>
      <c r="Z154" s="40"/>
      <c r="AB154" s="40"/>
      <c r="AC154" s="40"/>
      <c r="AE154" s="40"/>
      <c r="AF154" s="40"/>
      <c r="AG154" s="40"/>
    </row>
    <row r="155" spans="1:34" x14ac:dyDescent="0.2">
      <c r="A155" s="29" t="str">
        <f>'Matriz de Pesos e Notas'!C85</f>
        <v>mb</v>
      </c>
      <c r="B155" s="64">
        <f t="shared" si="0"/>
        <v>2</v>
      </c>
      <c r="C155" s="44">
        <f t="shared" si="1"/>
        <v>6.8965517241379309E-2</v>
      </c>
      <c r="M155" s="40"/>
      <c r="N155" s="40"/>
      <c r="P155" s="40"/>
      <c r="Q155" s="40"/>
      <c r="S155" s="40"/>
      <c r="T155" s="40"/>
      <c r="V155" s="40"/>
      <c r="W155" s="40"/>
      <c r="Y155" s="40"/>
      <c r="Z155" s="40"/>
      <c r="AB155" s="40"/>
      <c r="AC155" s="40"/>
      <c r="AE155" s="40"/>
      <c r="AF155" s="40"/>
      <c r="AG155" s="40"/>
    </row>
    <row r="156" spans="1:34" x14ac:dyDescent="0.2">
      <c r="A156" s="29" t="str">
        <f>'Matriz de Pesos e Notas'!C101</f>
        <v>b</v>
      </c>
      <c r="B156" s="64">
        <f t="shared" si="0"/>
        <v>1</v>
      </c>
      <c r="C156" s="44">
        <f t="shared" si="1"/>
        <v>3.4482758620689655E-2</v>
      </c>
    </row>
    <row r="157" spans="1:34" x14ac:dyDescent="0.2">
      <c r="A157" s="29">
        <f>'Matriz de Pesos e Notas'!C117</f>
        <v>0</v>
      </c>
      <c r="B157" s="64">
        <f t="shared" si="0"/>
        <v>0</v>
      </c>
      <c r="C157" s="44">
        <f t="shared" si="1"/>
        <v>0</v>
      </c>
    </row>
    <row r="158" spans="1:34" x14ac:dyDescent="0.2">
      <c r="A158" s="83" t="s">
        <v>40</v>
      </c>
    </row>
    <row r="159" spans="1:34" x14ac:dyDescent="0.2">
      <c r="B159" s="84">
        <f>SUM(B150:B157)</f>
        <v>29</v>
      </c>
    </row>
  </sheetData>
  <autoFilter ref="A3:AH146">
    <filterColumn colId="6" showButton="0"/>
    <filterColumn colId="9" showButton="0"/>
    <filterColumn colId="12" showButton="0"/>
    <filterColumn colId="15" showButton="0"/>
    <filterColumn colId="18" showButton="0"/>
    <filterColumn colId="21" showButton="0"/>
    <filterColumn colId="24" showButton="0"/>
    <filterColumn colId="27" showButton="0"/>
    <filterColumn colId="30" showButton="0"/>
  </autoFilter>
  <dataConsolidate/>
  <mergeCells count="103">
    <mergeCell ref="A145:C145"/>
    <mergeCell ref="A146:C146"/>
    <mergeCell ref="P134:Q134"/>
    <mergeCell ref="A142:C143"/>
    <mergeCell ref="D137:D138"/>
    <mergeCell ref="E137:E138"/>
    <mergeCell ref="F137:F138"/>
    <mergeCell ref="A137:A138"/>
    <mergeCell ref="C135:C136"/>
    <mergeCell ref="C137:C138"/>
    <mergeCell ref="B137:B138"/>
    <mergeCell ref="S134:T134"/>
    <mergeCell ref="G134:H134"/>
    <mergeCell ref="J134:K134"/>
    <mergeCell ref="M134:N134"/>
    <mergeCell ref="A127:B127"/>
    <mergeCell ref="A129:B129"/>
    <mergeCell ref="F135:F136"/>
    <mergeCell ref="B135:B136"/>
    <mergeCell ref="D135:D136"/>
    <mergeCell ref="E135:E136"/>
    <mergeCell ref="A135:A136"/>
    <mergeCell ref="A105:B105"/>
    <mergeCell ref="A107:B107"/>
    <mergeCell ref="A121:B121"/>
    <mergeCell ref="A123:B123"/>
    <mergeCell ref="A109:B109"/>
    <mergeCell ref="A111:B111"/>
    <mergeCell ref="A67:B67"/>
    <mergeCell ref="A71:B71"/>
    <mergeCell ref="A87:B87"/>
    <mergeCell ref="A89:B89"/>
    <mergeCell ref="A91:B91"/>
    <mergeCell ref="A93:B93"/>
    <mergeCell ref="A73:B73"/>
    <mergeCell ref="A75:B75"/>
    <mergeCell ref="A77:B77"/>
    <mergeCell ref="A79:B79"/>
    <mergeCell ref="A113:B113"/>
    <mergeCell ref="A115:B115"/>
    <mergeCell ref="A31:B31"/>
    <mergeCell ref="A33:B33"/>
    <mergeCell ref="A55:B55"/>
    <mergeCell ref="A57:B57"/>
    <mergeCell ref="A59:B59"/>
    <mergeCell ref="A61:B61"/>
    <mergeCell ref="A63:B63"/>
    <mergeCell ref="A65:B65"/>
    <mergeCell ref="A35:B35"/>
    <mergeCell ref="A49:B49"/>
    <mergeCell ref="A51:B51"/>
    <mergeCell ref="A41:B41"/>
    <mergeCell ref="A43:B43"/>
    <mergeCell ref="A45:B45"/>
    <mergeCell ref="A47:B47"/>
    <mergeCell ref="AE134:AF134"/>
    <mergeCell ref="AB134:AC134"/>
    <mergeCell ref="V134:W134"/>
    <mergeCell ref="Y3:Z3"/>
    <mergeCell ref="Y134:Z134"/>
    <mergeCell ref="AB3:AC3"/>
    <mergeCell ref="V3:W3"/>
    <mergeCell ref="A95:B95"/>
    <mergeCell ref="A97:B97"/>
    <mergeCell ref="A99:B99"/>
    <mergeCell ref="A131:B131"/>
    <mergeCell ref="A103:B103"/>
    <mergeCell ref="A119:B119"/>
    <mergeCell ref="A125:B125"/>
    <mergeCell ref="A81:B81"/>
    <mergeCell ref="A83:B83"/>
    <mergeCell ref="A23:B23"/>
    <mergeCell ref="A15:B15"/>
    <mergeCell ref="A17:B17"/>
    <mergeCell ref="A19:B19"/>
    <mergeCell ref="A39:B39"/>
    <mergeCell ref="A25:B25"/>
    <mergeCell ref="A27:B27"/>
    <mergeCell ref="A29:B29"/>
    <mergeCell ref="AE3:AF3"/>
    <mergeCell ref="J4:K4"/>
    <mergeCell ref="G4:H4"/>
    <mergeCell ref="AE4:AF4"/>
    <mergeCell ref="G3:H3"/>
    <mergeCell ref="A11:B11"/>
    <mergeCell ref="A13:B13"/>
    <mergeCell ref="G1:AF1"/>
    <mergeCell ref="M4:N4"/>
    <mergeCell ref="P4:Q4"/>
    <mergeCell ref="S4:T4"/>
    <mergeCell ref="V4:W4"/>
    <mergeCell ref="Y4:Z4"/>
    <mergeCell ref="AB4:AC4"/>
    <mergeCell ref="G2:AF2"/>
    <mergeCell ref="S3:T3"/>
    <mergeCell ref="F3:F4"/>
    <mergeCell ref="P3:Q3"/>
    <mergeCell ref="E3:E4"/>
    <mergeCell ref="D3:D4"/>
    <mergeCell ref="A7:B7"/>
    <mergeCell ref="A9:B9"/>
    <mergeCell ref="J3:K3"/>
    <mergeCell ref="M3:N3"/>
  </mergeCells>
  <phoneticPr fontId="0" type="noConversion"/>
  <conditionalFormatting sqref="M133:O133 M132 P132:AG133 G132:L133 G120:AG120 G122:AG122 G124:AG124 G128:AG128 G126:AG126 G130:AG130 G36:AG36 G52:AG52 G68:AG68 G100:AG100 G8:AG8 G10:AG10 G12:AG12 G72:AG72 G74:AG74 G76:AG76 G88:AG88 G90:AG90 G92:AG92 G104:AG104 G106:AG106 G108:AG108 G24:AG24 G26:AG26 G28:AG28 G40:AG40 G42:AG42 G44:AG44 G56:AG56 G58:AG58 G60:AG60 G64:AG64 G62:AG62 G66:AG66 G48:AG48 G46:AG46 G32:AG32 G30:AG30 G112:AG112 G110:AG110 G96:AG96 G94:AG94 G80:AG80 G78:AG78 G84:AG84 G20:AG20 G50:AG50 G34:AG34 G114:AG114 G82:AG82 G116:AG116 G16:AG16 G14:AG14 G18:AG18 G98:AG98 G138:AG139">
    <cfRule type="cellIs" dxfId="3" priority="1" stopIfTrue="1" operator="equal">
      <formula>"a"</formula>
    </cfRule>
    <cfRule type="cellIs" dxfId="2" priority="2" stopIfTrue="1" operator="equal">
      <formula>"b"</formula>
    </cfRule>
    <cfRule type="cellIs" dxfId="1" priority="3" stopIfTrue="1" operator="equal">
      <formula>"m"</formula>
    </cfRule>
  </conditionalFormatting>
  <printOptions horizontalCentered="1"/>
  <pageMargins left="0.39370078740157483" right="0.39370078740157483" top="0.59055118110236227" bottom="0.39370078740157483" header="0.11811023622047245" footer="0.11811023622047245"/>
  <pageSetup paperSize="9" scale="53" orientation="landscape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sconderLinhas">
                <anchor>
                  <from>
                    <xdr:col>1</xdr:col>
                    <xdr:colOff>1162050</xdr:colOff>
                    <xdr:row>0</xdr:row>
                    <xdr:rowOff>66675</xdr:rowOff>
                  </from>
                  <to>
                    <xdr:col>3</xdr:col>
                    <xdr:colOff>447675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Linhas">
                <anchor>
                  <from>
                    <xdr:col>2</xdr:col>
                    <xdr:colOff>0</xdr:colOff>
                    <xdr:row>0</xdr:row>
                    <xdr:rowOff>285750</xdr:rowOff>
                  </from>
                  <to>
                    <xdr:col>3</xdr:col>
                    <xdr:colOff>419100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L23"/>
  <sheetViews>
    <sheetView workbookViewId="0">
      <selection activeCell="A2" sqref="A2"/>
    </sheetView>
  </sheetViews>
  <sheetFormatPr defaultRowHeight="12.75" x14ac:dyDescent="0.2"/>
  <cols>
    <col min="1" max="1" width="21" bestFit="1" customWidth="1"/>
  </cols>
  <sheetData>
    <row r="1" spans="1:1" x14ac:dyDescent="0.2">
      <c r="A1" s="347" t="s">
        <v>217</v>
      </c>
    </row>
    <row r="17" spans="7:12" x14ac:dyDescent="0.2">
      <c r="G17" s="356"/>
      <c r="J17" s="357"/>
    </row>
    <row r="18" spans="7:12" x14ac:dyDescent="0.2">
      <c r="G18" s="356"/>
      <c r="H18" s="356"/>
      <c r="J18" s="357"/>
      <c r="L18" s="361"/>
    </row>
    <row r="19" spans="7:12" x14ac:dyDescent="0.2">
      <c r="H19" s="356"/>
      <c r="J19" s="360"/>
      <c r="L19" s="361"/>
    </row>
    <row r="20" spans="7:12" x14ac:dyDescent="0.2">
      <c r="J20" s="358"/>
      <c r="L20" s="361"/>
    </row>
    <row r="21" spans="7:12" x14ac:dyDescent="0.2">
      <c r="J21" s="359"/>
      <c r="L21" s="361"/>
    </row>
    <row r="22" spans="7:12" x14ac:dyDescent="0.2">
      <c r="L22" s="361"/>
    </row>
    <row r="23" spans="7:12" x14ac:dyDescent="0.2">
      <c r="L23" s="361"/>
    </row>
  </sheetData>
  <conditionalFormatting sqref="F17:F18 H17:J17">
    <cfRule type="cellIs" dxfId="0" priority="1" stopIfTrue="1" operator="equal">
      <formula>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28</vt:i4>
      </vt:variant>
    </vt:vector>
  </HeadingPairs>
  <TitlesOfParts>
    <vt:vector size="44" baseType="lpstr">
      <vt:lpstr>Digitar aqui Notas e Pesos</vt:lpstr>
      <vt:lpstr>Notas_ARCs</vt:lpstr>
      <vt:lpstr>Add_On</vt:lpstr>
      <vt:lpstr>Matriz de Pesos e Notas</vt:lpstr>
      <vt:lpstr>Quanti_Apres</vt:lpstr>
      <vt:lpstr>Quanti_CONCLU</vt:lpstr>
      <vt:lpstr>Graf_Quanti</vt:lpstr>
      <vt:lpstr>SRC_AnteriorxAtual</vt:lpstr>
      <vt:lpstr>Notas_ARCs_ES</vt:lpstr>
      <vt:lpstr>Graf_Quali</vt:lpstr>
      <vt:lpstr>Trabalhos decorrentes</vt:lpstr>
      <vt:lpstr>Dias_úteisXHomens</vt:lpstr>
      <vt:lpstr>Balancete</vt:lpstr>
      <vt:lpstr>Balancete_Ajustes</vt:lpstr>
      <vt:lpstr>Participação-apenas fórmulas</vt:lpstr>
      <vt:lpstr>Informações</vt:lpstr>
      <vt:lpstr>'Digitar aqui Notas e Pesos'!Area_de_impressao</vt:lpstr>
      <vt:lpstr>'Matriz de Pesos e Notas'!Area_de_impressao</vt:lpstr>
      <vt:lpstr>Notas_ARCs!Area_de_impressao</vt:lpstr>
      <vt:lpstr>Notas_ARCs_ES!Area_de_impressao</vt:lpstr>
      <vt:lpstr>'Participação-apenas fórmulas'!Area_de_impressao</vt:lpstr>
      <vt:lpstr>AreaAuxiliar</vt:lpstr>
      <vt:lpstr>'Participação-apenas fórmulas'!AreaOculta</vt:lpstr>
      <vt:lpstr>AreaOculta</vt:lpstr>
      <vt:lpstr>AreaOcultaP</vt:lpstr>
      <vt:lpstr>'Digitar aqui Notas e Pesos'!AreaPlanilha</vt:lpstr>
      <vt:lpstr>'Participação-apenas fórmulas'!AreaPlanilha</vt:lpstr>
      <vt:lpstr>AreaPlanilha</vt:lpstr>
      <vt:lpstr>'Participação-apenas fórmulas'!ColunaNotas</vt:lpstr>
      <vt:lpstr>ColunaNotas</vt:lpstr>
      <vt:lpstr>ColunaPartic</vt:lpstr>
      <vt:lpstr>'Digitar aqui Notas e Pesos'!Nota_Final</vt:lpstr>
      <vt:lpstr>'Participação-apenas fórmulas'!Nota_Final</vt:lpstr>
      <vt:lpstr>Nota_Final</vt:lpstr>
      <vt:lpstr>Partic</vt:lpstr>
      <vt:lpstr>'Digitar aqui Notas e Pesos'!PlanilhaTotal</vt:lpstr>
      <vt:lpstr>'Participação-apenas fórmulas'!PlanilhaTotal</vt:lpstr>
      <vt:lpstr>PlanilhaTotal</vt:lpstr>
      <vt:lpstr>'Digitar aqui Notas e Pesos'!ResumoNotas</vt:lpstr>
      <vt:lpstr>'Participação-apenas fórmulas'!ResumoNotas</vt:lpstr>
      <vt:lpstr>ResumoNotas</vt:lpstr>
      <vt:lpstr>'Digitar aqui Notas e Pesos'!Titulos_de_impressao</vt:lpstr>
      <vt:lpstr>'Matriz de Pesos e Notas'!Titulos_de_impressao</vt:lpstr>
      <vt:lpstr>'Participação-apenas fórmulas'!Titulos_de_impressao</vt:lpstr>
    </vt:vector>
  </TitlesOfParts>
  <Company>Andersen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Adriano Gave da Silva</cp:lastModifiedBy>
  <cp:lastPrinted>2013-11-25T12:41:16Z</cp:lastPrinted>
  <dcterms:created xsi:type="dcterms:W3CDTF">2002-05-27T13:20:20Z</dcterms:created>
  <dcterms:modified xsi:type="dcterms:W3CDTF">2014-04-10T19:29:47Z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